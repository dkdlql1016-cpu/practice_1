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omments1.xml" ContentType="application/vnd.openxmlformats-officedocument.spreadsheetml.comments+xml"/>
  <Override PartName="/xl/customProperty5.bin" ContentType="application/vnd.openxmlformats-officedocument.spreadsheetml.customProperty"/>
  <Override PartName="/xl/comments2.xml" ContentType="application/vnd.openxmlformats-officedocument.spreadsheetml.comments+xml"/>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C:\Users\ckim19\Desktop\python\practice_1\"/>
    </mc:Choice>
  </mc:AlternateContent>
  <xr:revisionPtr revIDLastSave="0" documentId="13_ncr:1_{05354C6E-C8BF-4896-933A-DE8FF9CDA9C0}" xr6:coauthVersionLast="47" xr6:coauthVersionMax="47" xr10:uidLastSave="{00000000-0000-0000-0000-000000000000}"/>
  <bookViews>
    <workbookView xWindow="-120" yWindow="-120" windowWidth="29040" windowHeight="15720" activeTab="6" xr2:uid="{2B5349C4-0357-4FCE-904E-9AF6E744D6FC}"/>
  </bookViews>
  <sheets>
    <sheet name="교육대상자" sheetId="29" r:id="rId1"/>
    <sheet name="보고자료" sheetId="14" r:id="rId2"/>
    <sheet name="FY25&gt;&gt;&gt;" sheetId="22" r:id="rId3"/>
    <sheet name="FY25_현황" sheetId="12" r:id="rId4"/>
    <sheet name="이메일 주소(전체)" sheetId="17" state="hidden" r:id="rId5"/>
    <sheet name="이메일 주소(ICA)" sheetId="18" state="hidden" r:id="rId6"/>
    <sheet name="FY25_결과" sheetId="26" r:id="rId7"/>
    <sheet name="FY25_비용" sheetId="31" r:id="rId8"/>
    <sheet name="FY24&gt;&gt;&gt;" sheetId="21" r:id="rId9"/>
    <sheet name="FY24_현황" sheetId="9" r:id="rId10"/>
    <sheet name="FY24_결과" sheetId="27" r:id="rId11"/>
    <sheet name="FY24_비용" sheetId="10" r:id="rId12"/>
    <sheet name="FY23&gt;&gt;&gt;" sheetId="24" r:id="rId13"/>
    <sheet name="FY23_결과" sheetId="25" r:id="rId14"/>
    <sheet name="FY23_비용" sheetId="11" r:id="rId15"/>
    <sheet name="251029 메일" sheetId="28" r:id="rId16"/>
  </sheets>
  <definedNames>
    <definedName name="_xlnm._FilterDatabase" localSheetId="15" hidden="1">'251029 메일'!$A$1:$O$71</definedName>
    <definedName name="_xlnm._FilterDatabase" localSheetId="13" hidden="1">FY23_결과!$A$1:$O$38</definedName>
    <definedName name="_xlnm._FilterDatabase" localSheetId="14" hidden="1">FY23_비용!$A$1:$E$33</definedName>
    <definedName name="_xlnm._FilterDatabase" localSheetId="10" hidden="1">FY24_결과!$B$2:$W$250</definedName>
    <definedName name="_xlnm._FilterDatabase" localSheetId="9" hidden="1">FY24_현황!$A$5:$AK$70</definedName>
    <definedName name="_xlnm._FilterDatabase" localSheetId="6" hidden="1">FY25_결과!$A$2:$V$485</definedName>
    <definedName name="_xlnm._FilterDatabase" localSheetId="7" hidden="1">FY25_비용!$A$2:$H$111</definedName>
    <definedName name="_xlnm._FilterDatabase" localSheetId="3" hidden="1">FY25_현황!$A$7:$DF$240</definedName>
    <definedName name="Engagement_evaluation_statu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83" i="26" l="1"/>
  <c r="L483" i="26"/>
  <c r="P483" i="26" s="1"/>
  <c r="M482" i="26"/>
  <c r="L482" i="26"/>
  <c r="P482" i="26" s="1"/>
  <c r="M481" i="26"/>
  <c r="L481" i="26"/>
  <c r="N481" i="26" s="1"/>
  <c r="M480" i="26"/>
  <c r="L480" i="26"/>
  <c r="O480" i="26" s="1"/>
  <c r="M479" i="26"/>
  <c r="L479" i="26"/>
  <c r="P479" i="26" s="1"/>
  <c r="M478" i="26"/>
  <c r="L478" i="26"/>
  <c r="P478" i="26" s="1"/>
  <c r="M477" i="26"/>
  <c r="L477" i="26"/>
  <c r="P477" i="26" s="1"/>
  <c r="M476" i="26"/>
  <c r="L476" i="26"/>
  <c r="P476" i="26" s="1"/>
  <c r="M475" i="26"/>
  <c r="L475" i="26"/>
  <c r="P475" i="26" s="1"/>
  <c r="M474" i="26"/>
  <c r="L474" i="26"/>
  <c r="P474" i="26" s="1"/>
  <c r="L473" i="26"/>
  <c r="N473" i="26" s="1"/>
  <c r="L472" i="26"/>
  <c r="N472" i="26" s="1"/>
  <c r="M473" i="26"/>
  <c r="M472" i="26"/>
  <c r="M469" i="26"/>
  <c r="L469" i="26"/>
  <c r="P469" i="26" s="1"/>
  <c r="M468" i="26"/>
  <c r="L468" i="26"/>
  <c r="N468" i="26" s="1"/>
  <c r="M471" i="26"/>
  <c r="L471" i="26"/>
  <c r="P471" i="26" s="1"/>
  <c r="M470" i="26"/>
  <c r="L470" i="26"/>
  <c r="P470" i="26" s="1"/>
  <c r="M467" i="26"/>
  <c r="L467" i="26"/>
  <c r="P467" i="26" s="1"/>
  <c r="M466" i="26"/>
  <c r="L466" i="26"/>
  <c r="P466" i="26" s="1"/>
  <c r="M460" i="26"/>
  <c r="L460" i="26"/>
  <c r="P460" i="26" s="1"/>
  <c r="M459" i="26"/>
  <c r="L459" i="26"/>
  <c r="P459" i="26" s="1"/>
  <c r="M463" i="26"/>
  <c r="L463" i="26"/>
  <c r="P463" i="26" s="1"/>
  <c r="M462" i="26"/>
  <c r="L462" i="26"/>
  <c r="O462" i="26" s="1"/>
  <c r="M461" i="26"/>
  <c r="L461" i="26"/>
  <c r="P461" i="26" s="1"/>
  <c r="M457" i="26"/>
  <c r="L457" i="26"/>
  <c r="P457" i="26" s="1"/>
  <c r="M456" i="26"/>
  <c r="L456" i="26"/>
  <c r="P456" i="26" s="1"/>
  <c r="M453" i="26"/>
  <c r="L453" i="26"/>
  <c r="P453" i="26" s="1"/>
  <c r="M452" i="26"/>
  <c r="L452" i="26"/>
  <c r="P452" i="26" s="1"/>
  <c r="M451" i="26"/>
  <c r="L451" i="26"/>
  <c r="P451" i="26" s="1"/>
  <c r="M444" i="26"/>
  <c r="L444" i="26"/>
  <c r="P444" i="26" s="1"/>
  <c r="M443" i="26"/>
  <c r="L443" i="26"/>
  <c r="P443" i="26" s="1"/>
  <c r="M442" i="26"/>
  <c r="L442" i="26"/>
  <c r="N442" i="26" s="1"/>
  <c r="M441" i="26"/>
  <c r="L441" i="26"/>
  <c r="P441" i="26" s="1"/>
  <c r="M440" i="26"/>
  <c r="L440" i="26"/>
  <c r="P440" i="26" s="1"/>
  <c r="M439" i="26"/>
  <c r="L439" i="26"/>
  <c r="O439" i="26" s="1"/>
  <c r="M431" i="26"/>
  <c r="L431" i="26"/>
  <c r="P431" i="26" s="1"/>
  <c r="M430" i="26"/>
  <c r="L430" i="26"/>
  <c r="P430" i="26" s="1"/>
  <c r="M427" i="26"/>
  <c r="L427" i="26"/>
  <c r="P427" i="26" s="1"/>
  <c r="M426" i="26"/>
  <c r="L426" i="26"/>
  <c r="P426" i="26" s="1"/>
  <c r="M423" i="26"/>
  <c r="L423" i="26"/>
  <c r="P423" i="26" s="1"/>
  <c r="M422" i="26"/>
  <c r="L422" i="26"/>
  <c r="P422" i="26" s="1"/>
  <c r="M421" i="26"/>
  <c r="L421" i="26"/>
  <c r="P421" i="26" s="1"/>
  <c r="M420" i="26"/>
  <c r="L420" i="26"/>
  <c r="P420" i="26" s="1"/>
  <c r="M419" i="26"/>
  <c r="L419" i="26"/>
  <c r="P419" i="26" s="1"/>
  <c r="M418" i="26"/>
  <c r="L418" i="26"/>
  <c r="P418" i="26" s="1"/>
  <c r="M414" i="26"/>
  <c r="L414" i="26"/>
  <c r="P414" i="26" s="1"/>
  <c r="M413" i="26"/>
  <c r="L413" i="26"/>
  <c r="P413" i="26" s="1"/>
  <c r="M412" i="26"/>
  <c r="L412" i="26"/>
  <c r="O412" i="26" s="1"/>
  <c r="M411" i="26"/>
  <c r="L411" i="26"/>
  <c r="P411" i="26" s="1"/>
  <c r="M410" i="26"/>
  <c r="L410" i="26"/>
  <c r="P410" i="26" s="1"/>
  <c r="M406" i="26"/>
  <c r="L406" i="26"/>
  <c r="P406" i="26" s="1"/>
  <c r="M405" i="26"/>
  <c r="L405" i="26"/>
  <c r="N405" i="26" s="1"/>
  <c r="M402" i="26"/>
  <c r="L402" i="26"/>
  <c r="P402" i="26" s="1"/>
  <c r="M401" i="26"/>
  <c r="L401" i="26"/>
  <c r="O401" i="26" s="1"/>
  <c r="M400" i="26"/>
  <c r="L400" i="26"/>
  <c r="P400" i="26" s="1"/>
  <c r="M399" i="26"/>
  <c r="L399" i="26"/>
  <c r="P399" i="26" s="1"/>
  <c r="M398" i="26"/>
  <c r="L398" i="26"/>
  <c r="P398" i="26" s="1"/>
  <c r="M397" i="26"/>
  <c r="L397" i="26"/>
  <c r="P397" i="26" s="1"/>
  <c r="M396" i="26"/>
  <c r="L396" i="26"/>
  <c r="O396" i="26" s="1"/>
  <c r="M395" i="26"/>
  <c r="L395" i="26"/>
  <c r="O395" i="26" s="1"/>
  <c r="M391" i="26"/>
  <c r="L391" i="26"/>
  <c r="P391" i="26" s="1"/>
  <c r="M394" i="26"/>
  <c r="L394" i="26"/>
  <c r="P394" i="26" s="1"/>
  <c r="M393" i="26"/>
  <c r="L393" i="26"/>
  <c r="O393" i="26" s="1"/>
  <c r="M392" i="26"/>
  <c r="L392" i="26"/>
  <c r="P392" i="26" s="1"/>
  <c r="M382" i="26"/>
  <c r="L382" i="26"/>
  <c r="P382" i="26" s="1"/>
  <c r="M381" i="26"/>
  <c r="L381" i="26"/>
  <c r="P381" i="26" s="1"/>
  <c r="M380" i="26"/>
  <c r="L380" i="26"/>
  <c r="P380" i="26" s="1"/>
  <c r="M379" i="26"/>
  <c r="L379" i="26"/>
  <c r="O379" i="26" s="1"/>
  <c r="M378" i="26"/>
  <c r="L378" i="26"/>
  <c r="O378" i="26" s="1"/>
  <c r="M377" i="26"/>
  <c r="L377" i="26"/>
  <c r="O377" i="26" s="1"/>
  <c r="M376" i="26"/>
  <c r="L376" i="26"/>
  <c r="N376" i="26" s="1"/>
  <c r="M375" i="26"/>
  <c r="L375" i="26"/>
  <c r="P375" i="26" s="1"/>
  <c r="M374" i="26"/>
  <c r="L374" i="26"/>
  <c r="P374" i="26" s="1"/>
  <c r="M373" i="26"/>
  <c r="L373" i="26"/>
  <c r="N373" i="26" s="1"/>
  <c r="M372" i="26"/>
  <c r="L372" i="26"/>
  <c r="P372" i="26" s="1"/>
  <c r="M364" i="26"/>
  <c r="L364" i="26"/>
  <c r="P364" i="26" s="1"/>
  <c r="M363" i="26"/>
  <c r="L363" i="26"/>
  <c r="O363" i="26" s="1"/>
  <c r="M362" i="26"/>
  <c r="L362" i="26"/>
  <c r="P362" i="26" s="1"/>
  <c r="M361" i="26"/>
  <c r="L361" i="26"/>
  <c r="P361" i="26" s="1"/>
  <c r="M360" i="26"/>
  <c r="L360" i="26"/>
  <c r="P360" i="26" s="1"/>
  <c r="M356" i="26"/>
  <c r="L356" i="26"/>
  <c r="P356" i="26" s="1"/>
  <c r="M355" i="26"/>
  <c r="L355" i="26"/>
  <c r="P355" i="26" s="1"/>
  <c r="M352" i="26"/>
  <c r="L352" i="26"/>
  <c r="P352" i="26" s="1"/>
  <c r="M351" i="26"/>
  <c r="L351" i="26"/>
  <c r="P351" i="26" s="1"/>
  <c r="M344" i="26"/>
  <c r="L344" i="26"/>
  <c r="P344" i="26" s="1"/>
  <c r="M343" i="26"/>
  <c r="L343" i="26"/>
  <c r="P343" i="26" s="1"/>
  <c r="M342" i="26"/>
  <c r="L342" i="26"/>
  <c r="P342" i="26" s="1"/>
  <c r="M341" i="26"/>
  <c r="L341" i="26"/>
  <c r="O341" i="26" s="1"/>
  <c r="M334" i="26"/>
  <c r="L334" i="26"/>
  <c r="P334" i="26" s="1"/>
  <c r="M333" i="26"/>
  <c r="L333" i="26"/>
  <c r="P333" i="26" s="1"/>
  <c r="M332" i="26"/>
  <c r="L332" i="26"/>
  <c r="P332" i="26" s="1"/>
  <c r="M324" i="26"/>
  <c r="L324" i="26"/>
  <c r="P324" i="26" s="1"/>
  <c r="M323" i="26"/>
  <c r="L323" i="26"/>
  <c r="P323" i="26" s="1"/>
  <c r="M322" i="26"/>
  <c r="L322" i="26"/>
  <c r="P322" i="26" s="1"/>
  <c r="M321" i="26"/>
  <c r="L321" i="26"/>
  <c r="P321" i="26" s="1"/>
  <c r="M320" i="26"/>
  <c r="L320" i="26"/>
  <c r="P320" i="26" s="1"/>
  <c r="M319" i="26"/>
  <c r="L319" i="26"/>
  <c r="P319" i="26" s="1"/>
  <c r="M316" i="26"/>
  <c r="L316" i="26"/>
  <c r="P316" i="26" s="1"/>
  <c r="M315" i="26"/>
  <c r="L315" i="26"/>
  <c r="O315" i="26" s="1"/>
  <c r="M314" i="26"/>
  <c r="L314" i="26"/>
  <c r="P314" i="26" s="1"/>
  <c r="M313" i="26"/>
  <c r="L313" i="26"/>
  <c r="P313" i="26" s="1"/>
  <c r="M312" i="26"/>
  <c r="L312" i="26"/>
  <c r="P312" i="26" s="1"/>
  <c r="M311" i="26"/>
  <c r="L311" i="26"/>
  <c r="O311" i="26" s="1"/>
  <c r="M307" i="26"/>
  <c r="L307" i="26"/>
  <c r="P307" i="26" s="1"/>
  <c r="M306" i="26"/>
  <c r="L306" i="26"/>
  <c r="P306" i="26" s="1"/>
  <c r="M305" i="26"/>
  <c r="L305" i="26"/>
  <c r="P305" i="26" s="1"/>
  <c r="M301" i="26"/>
  <c r="L301" i="26"/>
  <c r="P301" i="26" s="1"/>
  <c r="M300" i="26"/>
  <c r="L300" i="26"/>
  <c r="P300" i="26" s="1"/>
  <c r="M299" i="26"/>
  <c r="L299" i="26"/>
  <c r="P299" i="26" s="1"/>
  <c r="M298" i="26"/>
  <c r="L298" i="26"/>
  <c r="P298" i="26" s="1"/>
  <c r="M295" i="26"/>
  <c r="L295" i="26"/>
  <c r="P295" i="26" s="1"/>
  <c r="M294" i="26"/>
  <c r="L294" i="26"/>
  <c r="P294" i="26" s="1"/>
  <c r="M293" i="26"/>
  <c r="L293" i="26"/>
  <c r="P293" i="26" s="1"/>
  <c r="M281" i="26"/>
  <c r="L281" i="26"/>
  <c r="P281" i="26" s="1"/>
  <c r="M280" i="26"/>
  <c r="L280" i="26"/>
  <c r="P280" i="26" s="1"/>
  <c r="M277" i="26"/>
  <c r="L277" i="26"/>
  <c r="P277" i="26" s="1"/>
  <c r="M276" i="26"/>
  <c r="L276" i="26"/>
  <c r="P276" i="26" s="1"/>
  <c r="M275" i="26"/>
  <c r="L275" i="26"/>
  <c r="O275" i="26" s="1"/>
  <c r="M268" i="26"/>
  <c r="L268" i="26"/>
  <c r="P268" i="26" s="1"/>
  <c r="M267" i="26"/>
  <c r="L267" i="26"/>
  <c r="P267" i="26" s="1"/>
  <c r="M264" i="26"/>
  <c r="L264" i="26"/>
  <c r="P264" i="26" s="1"/>
  <c r="M263" i="26"/>
  <c r="L263" i="26"/>
  <c r="P263" i="26" s="1"/>
  <c r="M260" i="26"/>
  <c r="L260" i="26"/>
  <c r="P260" i="26" s="1"/>
  <c r="M259" i="26"/>
  <c r="L259" i="26"/>
  <c r="O259" i="26" s="1"/>
  <c r="M258" i="26"/>
  <c r="L258" i="26"/>
  <c r="P258" i="26" s="1"/>
  <c r="M249" i="26"/>
  <c r="L249" i="26"/>
  <c r="P249" i="26" s="1"/>
  <c r="M248" i="26"/>
  <c r="L248" i="26"/>
  <c r="P248" i="26" s="1"/>
  <c r="M247" i="26"/>
  <c r="L247" i="26"/>
  <c r="P247" i="26" s="1"/>
  <c r="M246" i="26"/>
  <c r="L246" i="26"/>
  <c r="P246" i="26" s="1"/>
  <c r="M241" i="26"/>
  <c r="L241" i="26"/>
  <c r="P241" i="26" s="1"/>
  <c r="M240" i="26"/>
  <c r="L240" i="26"/>
  <c r="N240" i="26" s="1"/>
  <c r="M239" i="26"/>
  <c r="L239" i="26"/>
  <c r="N239" i="26" s="1"/>
  <c r="M235" i="26"/>
  <c r="L235" i="26"/>
  <c r="P235" i="26" s="1"/>
  <c r="M234" i="26"/>
  <c r="L234" i="26"/>
  <c r="P234" i="26" s="1"/>
  <c r="M231" i="26"/>
  <c r="L231" i="26"/>
  <c r="P231" i="26" s="1"/>
  <c r="M230" i="26"/>
  <c r="L230" i="26"/>
  <c r="P230" i="26" s="1"/>
  <c r="M227" i="26"/>
  <c r="L227" i="26"/>
  <c r="P227" i="26" s="1"/>
  <c r="M226" i="26"/>
  <c r="L226" i="26"/>
  <c r="P226" i="26" s="1"/>
  <c r="M225" i="26"/>
  <c r="L225" i="26"/>
  <c r="P225" i="26" s="1"/>
  <c r="M224" i="26"/>
  <c r="L224" i="26"/>
  <c r="P224" i="26" s="1"/>
  <c r="M221" i="26"/>
  <c r="L221" i="26"/>
  <c r="P221" i="26" s="1"/>
  <c r="M220" i="26"/>
  <c r="L220" i="26"/>
  <c r="N220" i="26" s="1"/>
  <c r="M217" i="26"/>
  <c r="L217" i="26"/>
  <c r="P217" i="26" s="1"/>
  <c r="M216" i="26"/>
  <c r="L216" i="26"/>
  <c r="P216" i="26" s="1"/>
  <c r="M215" i="26"/>
  <c r="L215" i="26"/>
  <c r="P215" i="26" s="1"/>
  <c r="M211" i="26"/>
  <c r="L211" i="26"/>
  <c r="P211" i="26" s="1"/>
  <c r="M210" i="26"/>
  <c r="L210" i="26"/>
  <c r="O210" i="26" s="1"/>
  <c r="M207" i="26"/>
  <c r="L207" i="26"/>
  <c r="P207" i="26" s="1"/>
  <c r="M206" i="26"/>
  <c r="L206" i="26"/>
  <c r="P206" i="26" s="1"/>
  <c r="M203" i="26"/>
  <c r="L203" i="26"/>
  <c r="P203" i="26" s="1"/>
  <c r="M202" i="26"/>
  <c r="L202" i="26"/>
  <c r="P202" i="26" s="1"/>
  <c r="M201" i="26"/>
  <c r="L201" i="26"/>
  <c r="P201" i="26" s="1"/>
  <c r="M200" i="26"/>
  <c r="L200" i="26"/>
  <c r="P200" i="26" s="1"/>
  <c r="M197" i="26"/>
  <c r="L197" i="26"/>
  <c r="P197" i="26" s="1"/>
  <c r="M196" i="26"/>
  <c r="L196" i="26"/>
  <c r="P196" i="26" s="1"/>
  <c r="M195" i="26"/>
  <c r="L195" i="26"/>
  <c r="P195" i="26" s="1"/>
  <c r="M194" i="26"/>
  <c r="L194" i="26"/>
  <c r="P194" i="26" s="1"/>
  <c r="M193" i="26"/>
  <c r="L193" i="26"/>
  <c r="N193" i="26" s="1"/>
  <c r="M192" i="26"/>
  <c r="L192" i="26"/>
  <c r="N192" i="26" s="1"/>
  <c r="M188" i="26"/>
  <c r="L188" i="26"/>
  <c r="P188" i="26" s="1"/>
  <c r="M187" i="26"/>
  <c r="L187" i="26"/>
  <c r="P187" i="26" s="1"/>
  <c r="M181" i="26"/>
  <c r="L181" i="26"/>
  <c r="P181" i="26" s="1"/>
  <c r="M180" i="26"/>
  <c r="L180" i="26"/>
  <c r="P180" i="26" s="1"/>
  <c r="M177" i="26"/>
  <c r="L177" i="26"/>
  <c r="P177" i="26" s="1"/>
  <c r="M176" i="26"/>
  <c r="L176" i="26"/>
  <c r="P176" i="26" s="1"/>
  <c r="M173" i="26"/>
  <c r="L173" i="26"/>
  <c r="P173" i="26" s="1"/>
  <c r="M172" i="26"/>
  <c r="L172" i="26"/>
  <c r="P172" i="26" s="1"/>
  <c r="M171" i="26"/>
  <c r="L171" i="26"/>
  <c r="N171" i="26" s="1"/>
  <c r="M170" i="26"/>
  <c r="L170" i="26"/>
  <c r="P170" i="26" s="1"/>
  <c r="M157" i="26"/>
  <c r="L157" i="26"/>
  <c r="P157" i="26" s="1"/>
  <c r="M156" i="26"/>
  <c r="L156" i="26"/>
  <c r="P156" i="26" s="1"/>
  <c r="M155" i="26"/>
  <c r="L155" i="26"/>
  <c r="P155" i="26" s="1"/>
  <c r="M151" i="26"/>
  <c r="L151" i="26"/>
  <c r="P151" i="26" s="1"/>
  <c r="M150" i="26"/>
  <c r="L150" i="26"/>
  <c r="O150" i="26" s="1"/>
  <c r="M147" i="26"/>
  <c r="L147" i="26"/>
  <c r="P147" i="26" s="1"/>
  <c r="M146" i="26"/>
  <c r="L146" i="26"/>
  <c r="P146" i="26" s="1"/>
  <c r="M142" i="26"/>
  <c r="L142" i="26"/>
  <c r="P142" i="26" s="1"/>
  <c r="M141" i="26"/>
  <c r="L141" i="26"/>
  <c r="P141" i="26" s="1"/>
  <c r="M140" i="26"/>
  <c r="L140" i="26"/>
  <c r="P140" i="26" s="1"/>
  <c r="M127" i="26"/>
  <c r="L127" i="26"/>
  <c r="P127" i="26" s="1"/>
  <c r="L128" i="26"/>
  <c r="O128" i="26" s="1"/>
  <c r="M128" i="26"/>
  <c r="L129" i="26"/>
  <c r="O129" i="26" s="1"/>
  <c r="M129" i="26"/>
  <c r="L130" i="26"/>
  <c r="P130" i="26" s="1"/>
  <c r="M130" i="26"/>
  <c r="M136" i="26"/>
  <c r="L136" i="26"/>
  <c r="P136" i="26" s="1"/>
  <c r="M135" i="26"/>
  <c r="L135" i="26"/>
  <c r="P135" i="26" s="1"/>
  <c r="M134" i="26"/>
  <c r="L134" i="26"/>
  <c r="P134" i="26" s="1"/>
  <c r="M133" i="26"/>
  <c r="L133" i="26"/>
  <c r="P133" i="26" s="1"/>
  <c r="M132" i="26"/>
  <c r="L132" i="26"/>
  <c r="P132" i="26" s="1"/>
  <c r="M131" i="26"/>
  <c r="L131" i="26"/>
  <c r="P131" i="26" s="1"/>
  <c r="M118" i="26"/>
  <c r="L118" i="26"/>
  <c r="P118" i="26" s="1"/>
  <c r="M117" i="26"/>
  <c r="L117" i="26"/>
  <c r="P117" i="26" s="1"/>
  <c r="M114" i="26"/>
  <c r="L114" i="26"/>
  <c r="P114" i="26" s="1"/>
  <c r="M113" i="26"/>
  <c r="L113" i="26"/>
  <c r="P113" i="26" s="1"/>
  <c r="M112" i="26"/>
  <c r="L112" i="26"/>
  <c r="P112" i="26" s="1"/>
  <c r="M111" i="26"/>
  <c r="L111" i="26"/>
  <c r="P111" i="26" s="1"/>
  <c r="M110" i="26"/>
  <c r="L110" i="26"/>
  <c r="P110" i="26" s="1"/>
  <c r="M109" i="26"/>
  <c r="L109" i="26"/>
  <c r="P109" i="26" s="1"/>
  <c r="M108" i="26"/>
  <c r="L108" i="26"/>
  <c r="N108" i="26" s="1"/>
  <c r="M105" i="26"/>
  <c r="L105" i="26"/>
  <c r="P105" i="26" s="1"/>
  <c r="M104" i="26"/>
  <c r="L104" i="26"/>
  <c r="O104" i="26" s="1"/>
  <c r="M103" i="26"/>
  <c r="L103" i="26"/>
  <c r="P103" i="26" s="1"/>
  <c r="M102" i="26"/>
  <c r="L102" i="26"/>
  <c r="P102" i="26" s="1"/>
  <c r="M101" i="26"/>
  <c r="L101" i="26"/>
  <c r="P101" i="26" s="1"/>
  <c r="M100" i="26"/>
  <c r="L100" i="26"/>
  <c r="N100" i="26" s="1"/>
  <c r="L99" i="26"/>
  <c r="P99" i="26" s="1"/>
  <c r="M99" i="26"/>
  <c r="M98" i="26"/>
  <c r="L98" i="26"/>
  <c r="P98" i="26" s="1"/>
  <c r="M97" i="26"/>
  <c r="L97" i="26"/>
  <c r="O97" i="26" s="1"/>
  <c r="M94" i="26"/>
  <c r="L94" i="26"/>
  <c r="P94" i="26" s="1"/>
  <c r="M93" i="26"/>
  <c r="L93" i="26"/>
  <c r="P93" i="26" s="1"/>
  <c r="M92" i="26"/>
  <c r="L92" i="26"/>
  <c r="O92" i="26" s="1"/>
  <c r="M91" i="26"/>
  <c r="L91" i="26"/>
  <c r="P91" i="26" s="1"/>
  <c r="M90" i="26"/>
  <c r="L90" i="26"/>
  <c r="P90" i="26" s="1"/>
  <c r="M89" i="26"/>
  <c r="L89" i="26"/>
  <c r="P89" i="26" s="1"/>
  <c r="M85" i="26"/>
  <c r="L85" i="26"/>
  <c r="P85" i="26" s="1"/>
  <c r="M84" i="26"/>
  <c r="L84" i="26"/>
  <c r="O84" i="26" s="1"/>
  <c r="M81" i="26"/>
  <c r="L81" i="26"/>
  <c r="P81" i="26" s="1"/>
  <c r="M80" i="26"/>
  <c r="L80" i="26"/>
  <c r="N80" i="26" s="1"/>
  <c r="M77" i="26"/>
  <c r="L77" i="26"/>
  <c r="P77" i="26" s="1"/>
  <c r="M76" i="26"/>
  <c r="L76" i="26"/>
  <c r="P76" i="26" s="1"/>
  <c r="M75" i="26"/>
  <c r="L75" i="26"/>
  <c r="P75" i="26" s="1"/>
  <c r="M74" i="26"/>
  <c r="L74" i="26"/>
  <c r="P74" i="26" s="1"/>
  <c r="M73" i="26"/>
  <c r="L73" i="26"/>
  <c r="P73" i="26" s="1"/>
  <c r="M72" i="26"/>
  <c r="L72" i="26"/>
  <c r="P72" i="26" s="1"/>
  <c r="M71" i="26"/>
  <c r="L71" i="26"/>
  <c r="P71" i="26" s="1"/>
  <c r="M70" i="26"/>
  <c r="L70" i="26"/>
  <c r="P70" i="26" s="1"/>
  <c r="M69" i="26"/>
  <c r="L69" i="26"/>
  <c r="P69" i="26" s="1"/>
  <c r="M68" i="26"/>
  <c r="L68" i="26"/>
  <c r="P68" i="26" s="1"/>
  <c r="M67" i="26"/>
  <c r="L67" i="26"/>
  <c r="O67" i="26" s="1"/>
  <c r="M63" i="26"/>
  <c r="L63" i="26"/>
  <c r="P63" i="26" s="1"/>
  <c r="M62" i="26"/>
  <c r="L62" i="26"/>
  <c r="P62" i="26" s="1"/>
  <c r="M61" i="26"/>
  <c r="L61" i="26"/>
  <c r="P61" i="26" s="1"/>
  <c r="M60" i="26"/>
  <c r="L60" i="26"/>
  <c r="P60" i="26" s="1"/>
  <c r="M59" i="26"/>
  <c r="L59" i="26"/>
  <c r="P59" i="26" s="1"/>
  <c r="M58" i="26"/>
  <c r="L58" i="26"/>
  <c r="N58" i="26" s="1"/>
  <c r="M54" i="26"/>
  <c r="L54" i="26"/>
  <c r="P54" i="26" s="1"/>
  <c r="M53" i="26"/>
  <c r="L53" i="26"/>
  <c r="P53" i="26" s="1"/>
  <c r="M52" i="26"/>
  <c r="L52" i="26"/>
  <c r="P52" i="26" s="1"/>
  <c r="M51" i="26"/>
  <c r="L51" i="26"/>
  <c r="P51" i="26" s="1"/>
  <c r="M48" i="26"/>
  <c r="L48" i="26"/>
  <c r="P48" i="26" s="1"/>
  <c r="M47" i="26"/>
  <c r="L47" i="26"/>
  <c r="P47" i="26" s="1"/>
  <c r="M46" i="26"/>
  <c r="L46" i="26"/>
  <c r="N46" i="26" s="1"/>
  <c r="M45" i="26"/>
  <c r="L45" i="26"/>
  <c r="P45" i="26" s="1"/>
  <c r="M44" i="26"/>
  <c r="L44" i="26"/>
  <c r="P44" i="26" s="1"/>
  <c r="M43" i="26"/>
  <c r="L43" i="26"/>
  <c r="O43" i="26" s="1"/>
  <c r="M38" i="26"/>
  <c r="L38" i="26"/>
  <c r="P38" i="26" s="1"/>
  <c r="M37" i="26"/>
  <c r="L37" i="26"/>
  <c r="O37" i="26" s="1"/>
  <c r="M36" i="26"/>
  <c r="L36" i="26"/>
  <c r="P36" i="26" s="1"/>
  <c r="M39" i="26"/>
  <c r="L39" i="26"/>
  <c r="P39" i="26" s="1"/>
  <c r="M35" i="26"/>
  <c r="L35" i="26"/>
  <c r="P35" i="26" s="1"/>
  <c r="M34" i="26"/>
  <c r="L34" i="26"/>
  <c r="P34" i="26" s="1"/>
  <c r="M6" i="26"/>
  <c r="L6" i="26"/>
  <c r="O6" i="26" s="1"/>
  <c r="M30" i="26"/>
  <c r="L30" i="26"/>
  <c r="P30" i="26" s="1"/>
  <c r="M29" i="26"/>
  <c r="L29" i="26"/>
  <c r="P29" i="26" s="1"/>
  <c r="M28" i="26"/>
  <c r="L28" i="26"/>
  <c r="O28" i="26" s="1"/>
  <c r="L27" i="26"/>
  <c r="N27" i="26" s="1"/>
  <c r="M27" i="26"/>
  <c r="M26" i="26"/>
  <c r="L26" i="26"/>
  <c r="P26" i="26" s="1"/>
  <c r="M25" i="26"/>
  <c r="L25" i="26"/>
  <c r="P25" i="26" s="1"/>
  <c r="L13" i="26"/>
  <c r="O13" i="26" s="1"/>
  <c r="M13" i="26"/>
  <c r="L15" i="26"/>
  <c r="P15" i="26" s="1"/>
  <c r="M15" i="26"/>
  <c r="L12" i="26"/>
  <c r="N12" i="26" s="1"/>
  <c r="M12" i="26"/>
  <c r="L14" i="26"/>
  <c r="O14" i="26" s="1"/>
  <c r="M14" i="26"/>
  <c r="L4" i="26"/>
  <c r="O4" i="26" s="1"/>
  <c r="M4" i="26"/>
  <c r="L5" i="26"/>
  <c r="N5" i="26" s="1"/>
  <c r="M5" i="26"/>
  <c r="L7" i="26"/>
  <c r="N7" i="26" s="1"/>
  <c r="M7" i="26"/>
  <c r="L8" i="26"/>
  <c r="O8" i="26" s="1"/>
  <c r="M8" i="26"/>
  <c r="I1" i="31"/>
  <c r="G1" i="31"/>
  <c r="H1" i="31"/>
  <c r="O473" i="26" l="1"/>
  <c r="N483" i="26"/>
  <c r="O483" i="26"/>
  <c r="O481" i="26"/>
  <c r="P481" i="26"/>
  <c r="N482" i="26"/>
  <c r="O482" i="26"/>
  <c r="P473" i="26"/>
  <c r="P480" i="26"/>
  <c r="N478" i="26"/>
  <c r="O478" i="26"/>
  <c r="N479" i="26"/>
  <c r="O479" i="26"/>
  <c r="N480" i="26"/>
  <c r="N477" i="26"/>
  <c r="O477" i="26"/>
  <c r="N476" i="26"/>
  <c r="O476" i="26"/>
  <c r="N474" i="26"/>
  <c r="O474" i="26"/>
  <c r="O475" i="26"/>
  <c r="N475" i="26"/>
  <c r="P472" i="26"/>
  <c r="O472" i="26"/>
  <c r="N469" i="26"/>
  <c r="O468" i="26"/>
  <c r="P468" i="26"/>
  <c r="O469" i="26"/>
  <c r="N471" i="26"/>
  <c r="O471" i="26"/>
  <c r="N470" i="26"/>
  <c r="O470" i="26"/>
  <c r="N466" i="26"/>
  <c r="O466" i="26"/>
  <c r="N467" i="26"/>
  <c r="O467" i="26"/>
  <c r="N459" i="26"/>
  <c r="O459" i="26"/>
  <c r="N460" i="26"/>
  <c r="O460" i="26"/>
  <c r="N462" i="26"/>
  <c r="P462" i="26"/>
  <c r="N463" i="26"/>
  <c r="O463" i="26"/>
  <c r="N461" i="26"/>
  <c r="O461" i="26"/>
  <c r="O457" i="26"/>
  <c r="N456" i="26"/>
  <c r="O456" i="26"/>
  <c r="N457" i="26"/>
  <c r="O451" i="26"/>
  <c r="N451" i="26"/>
  <c r="O452" i="26"/>
  <c r="N453" i="26"/>
  <c r="N452" i="26"/>
  <c r="O453" i="26"/>
  <c r="O442" i="26"/>
  <c r="N444" i="26"/>
  <c r="N443" i="26"/>
  <c r="O443" i="26"/>
  <c r="P442" i="26"/>
  <c r="O444" i="26"/>
  <c r="P439" i="26"/>
  <c r="N439" i="26"/>
  <c r="N441" i="26"/>
  <c r="O441" i="26"/>
  <c r="N440" i="26"/>
  <c r="O440" i="26"/>
  <c r="N430" i="26"/>
  <c r="O430" i="26"/>
  <c r="N431" i="26"/>
  <c r="O431" i="26"/>
  <c r="N426" i="26"/>
  <c r="O426" i="26"/>
  <c r="N427" i="26"/>
  <c r="O427" i="26"/>
  <c r="N421" i="26"/>
  <c r="O421" i="26"/>
  <c r="N422" i="26"/>
  <c r="N423" i="26"/>
  <c r="O423" i="26"/>
  <c r="O422" i="26"/>
  <c r="O420" i="26"/>
  <c r="N418" i="26"/>
  <c r="O418" i="26"/>
  <c r="N419" i="26"/>
  <c r="O419" i="26"/>
  <c r="N420" i="26"/>
  <c r="N413" i="26"/>
  <c r="O413" i="26"/>
  <c r="N414" i="26"/>
  <c r="O414" i="26"/>
  <c r="P412" i="26"/>
  <c r="O410" i="26"/>
  <c r="N410" i="26"/>
  <c r="N411" i="26"/>
  <c r="O411" i="26"/>
  <c r="N412" i="26"/>
  <c r="O405" i="26"/>
  <c r="P405" i="26"/>
  <c r="N406" i="26"/>
  <c r="O406" i="26"/>
  <c r="N401" i="26"/>
  <c r="P401" i="26"/>
  <c r="N400" i="26"/>
  <c r="O400" i="26"/>
  <c r="N399" i="26"/>
  <c r="O399" i="26"/>
  <c r="N402" i="26"/>
  <c r="O402" i="26"/>
  <c r="N398" i="26"/>
  <c r="N397" i="26"/>
  <c r="O397" i="26"/>
  <c r="O398" i="26"/>
  <c r="P395" i="26"/>
  <c r="P396" i="26"/>
  <c r="N395" i="26"/>
  <c r="N396" i="26"/>
  <c r="O391" i="26"/>
  <c r="O392" i="26"/>
  <c r="N391" i="26"/>
  <c r="N392" i="26"/>
  <c r="N393" i="26"/>
  <c r="P393" i="26"/>
  <c r="N394" i="26"/>
  <c r="O394" i="26"/>
  <c r="N381" i="26"/>
  <c r="O381" i="26"/>
  <c r="N382" i="26"/>
  <c r="O382" i="26"/>
  <c r="P378" i="26"/>
  <c r="P379" i="26"/>
  <c r="N378" i="26"/>
  <c r="N379" i="26"/>
  <c r="N380" i="26"/>
  <c r="O380" i="26"/>
  <c r="P377" i="26"/>
  <c r="N377" i="26"/>
  <c r="N375" i="26"/>
  <c r="O375" i="26"/>
  <c r="O376" i="26"/>
  <c r="P376" i="26"/>
  <c r="N372" i="26"/>
  <c r="O372" i="26"/>
  <c r="O373" i="26"/>
  <c r="P373" i="26"/>
  <c r="N374" i="26"/>
  <c r="O374" i="26"/>
  <c r="P363" i="26"/>
  <c r="N363" i="26"/>
  <c r="N364" i="26"/>
  <c r="O364" i="26"/>
  <c r="N360" i="26"/>
  <c r="O360" i="26"/>
  <c r="N362" i="26"/>
  <c r="N361" i="26"/>
  <c r="O361" i="26"/>
  <c r="O362" i="26"/>
  <c r="N355" i="26"/>
  <c r="O355" i="26"/>
  <c r="N356" i="26"/>
  <c r="O356" i="26"/>
  <c r="N352" i="26"/>
  <c r="O352" i="26"/>
  <c r="N351" i="26"/>
  <c r="O351" i="26"/>
  <c r="N341" i="26"/>
  <c r="P341" i="26"/>
  <c r="N342" i="26"/>
  <c r="N343" i="26"/>
  <c r="O343" i="26"/>
  <c r="N344" i="26"/>
  <c r="O342" i="26"/>
  <c r="O344" i="26"/>
  <c r="N332" i="26"/>
  <c r="O332" i="26"/>
  <c r="O333" i="26"/>
  <c r="N333" i="26"/>
  <c r="N334" i="26"/>
  <c r="O334" i="26"/>
  <c r="O323" i="26"/>
  <c r="N324" i="26"/>
  <c r="O324" i="26"/>
  <c r="N323" i="26"/>
  <c r="N321" i="26"/>
  <c r="O321" i="26"/>
  <c r="N322" i="26"/>
  <c r="O322" i="26"/>
  <c r="N319" i="26"/>
  <c r="O319" i="26"/>
  <c r="N320" i="26"/>
  <c r="O320" i="26"/>
  <c r="O316" i="26"/>
  <c r="N316" i="26"/>
  <c r="P315" i="26"/>
  <c r="N314" i="26"/>
  <c r="O314" i="26"/>
  <c r="N315" i="26"/>
  <c r="N311" i="26"/>
  <c r="P311" i="26"/>
  <c r="O312" i="26"/>
  <c r="N312" i="26"/>
  <c r="N313" i="26"/>
  <c r="O313" i="26"/>
  <c r="O305" i="26"/>
  <c r="N305" i="26"/>
  <c r="N307" i="26"/>
  <c r="N306" i="26"/>
  <c r="O306" i="26"/>
  <c r="O307" i="26"/>
  <c r="N301" i="26"/>
  <c r="O301" i="26"/>
  <c r="N300" i="26"/>
  <c r="O300" i="26"/>
  <c r="N298" i="26"/>
  <c r="O298" i="26"/>
  <c r="N299" i="26"/>
  <c r="O299" i="26"/>
  <c r="N293" i="26"/>
  <c r="O293" i="26"/>
  <c r="O294" i="26"/>
  <c r="N295" i="26"/>
  <c r="N294" i="26"/>
  <c r="O295" i="26"/>
  <c r="N280" i="26"/>
  <c r="O280" i="26"/>
  <c r="N281" i="26"/>
  <c r="O281" i="26"/>
  <c r="P275" i="26"/>
  <c r="N275" i="26"/>
  <c r="N276" i="26"/>
  <c r="O276" i="26"/>
  <c r="N277" i="26"/>
  <c r="O277" i="26"/>
  <c r="N267" i="26"/>
  <c r="O267" i="26"/>
  <c r="N268" i="26"/>
  <c r="O268" i="26"/>
  <c r="N263" i="26"/>
  <c r="O263" i="26"/>
  <c r="N264" i="26"/>
  <c r="O264" i="26"/>
  <c r="N258" i="26"/>
  <c r="O258" i="26"/>
  <c r="N260" i="26"/>
  <c r="N259" i="26"/>
  <c r="P259" i="26"/>
  <c r="O260" i="26"/>
  <c r="N248" i="26"/>
  <c r="O248" i="26"/>
  <c r="N249" i="26"/>
  <c r="O249" i="26"/>
  <c r="N246" i="26"/>
  <c r="O246" i="26"/>
  <c r="N247" i="26"/>
  <c r="O247" i="26"/>
  <c r="O239" i="26"/>
  <c r="P239" i="26"/>
  <c r="N241" i="26"/>
  <c r="O240" i="26"/>
  <c r="P240" i="26"/>
  <c r="O241" i="26"/>
  <c r="N234" i="26"/>
  <c r="O234" i="26"/>
  <c r="N235" i="26"/>
  <c r="O235" i="26"/>
  <c r="O230" i="26"/>
  <c r="N231" i="26"/>
  <c r="O231" i="26"/>
  <c r="N230" i="26"/>
  <c r="N227" i="26"/>
  <c r="N226" i="26"/>
  <c r="O226" i="26"/>
  <c r="O227" i="26"/>
  <c r="N224" i="26"/>
  <c r="O224" i="26"/>
  <c r="N225" i="26"/>
  <c r="O225" i="26"/>
  <c r="O220" i="26"/>
  <c r="P220" i="26"/>
  <c r="O221" i="26"/>
  <c r="N221" i="26"/>
  <c r="N215" i="26"/>
  <c r="O215" i="26"/>
  <c r="O216" i="26"/>
  <c r="N217" i="26"/>
  <c r="O217" i="26"/>
  <c r="N216" i="26"/>
  <c r="N210" i="26"/>
  <c r="P210" i="26"/>
  <c r="N211" i="26"/>
  <c r="O211" i="26"/>
  <c r="N206" i="26"/>
  <c r="O206" i="26"/>
  <c r="N207" i="26"/>
  <c r="O207" i="26"/>
  <c r="N202" i="26"/>
  <c r="O202" i="26"/>
  <c r="N203" i="26"/>
  <c r="O203" i="26"/>
  <c r="N200" i="26"/>
  <c r="O200" i="26"/>
  <c r="N201" i="26"/>
  <c r="O201" i="26"/>
  <c r="N197" i="26"/>
  <c r="O197" i="26"/>
  <c r="O195" i="26"/>
  <c r="N195" i="26"/>
  <c r="N196" i="26"/>
  <c r="O196" i="26"/>
  <c r="O193" i="26"/>
  <c r="P193" i="26"/>
  <c r="P192" i="26"/>
  <c r="O192" i="26"/>
  <c r="N194" i="26"/>
  <c r="O194" i="26"/>
  <c r="N187" i="26"/>
  <c r="N188" i="26"/>
  <c r="O187" i="26"/>
  <c r="O188" i="26"/>
  <c r="N180" i="26"/>
  <c r="N181" i="26"/>
  <c r="O181" i="26"/>
  <c r="O180" i="26"/>
  <c r="N177" i="26"/>
  <c r="O177" i="26"/>
  <c r="N176" i="26"/>
  <c r="O176" i="26"/>
  <c r="N173" i="26"/>
  <c r="O173" i="26"/>
  <c r="N172" i="26"/>
  <c r="O172" i="26"/>
  <c r="O170" i="26"/>
  <c r="O171" i="26"/>
  <c r="P171" i="26"/>
  <c r="N170" i="26"/>
  <c r="N155" i="26"/>
  <c r="O155" i="26"/>
  <c r="N156" i="26"/>
  <c r="O156" i="26"/>
  <c r="N157" i="26"/>
  <c r="O157" i="26"/>
  <c r="N151" i="26"/>
  <c r="N150" i="26"/>
  <c r="P150" i="26"/>
  <c r="O151" i="26"/>
  <c r="O130" i="26"/>
  <c r="N146" i="26"/>
  <c r="P128" i="26"/>
  <c r="O146" i="26"/>
  <c r="N147" i="26"/>
  <c r="O147" i="26"/>
  <c r="N129" i="26"/>
  <c r="N130" i="26"/>
  <c r="P129" i="26"/>
  <c r="N142" i="26"/>
  <c r="O142" i="26"/>
  <c r="O141" i="26"/>
  <c r="N141" i="26"/>
  <c r="N140" i="26"/>
  <c r="O140" i="26"/>
  <c r="N128" i="26"/>
  <c r="N134" i="26"/>
  <c r="O134" i="26"/>
  <c r="N131" i="26"/>
  <c r="O131" i="26"/>
  <c r="N127" i="26"/>
  <c r="O127" i="26"/>
  <c r="N135" i="26"/>
  <c r="O135" i="26"/>
  <c r="N133" i="26"/>
  <c r="N132" i="26"/>
  <c r="O133" i="26"/>
  <c r="N136" i="26"/>
  <c r="O132" i="26"/>
  <c r="O136" i="26"/>
  <c r="N118" i="26"/>
  <c r="O118" i="26"/>
  <c r="N117" i="26"/>
  <c r="O117" i="26"/>
  <c r="N114" i="26"/>
  <c r="O114" i="26"/>
  <c r="O113" i="26"/>
  <c r="N112" i="26"/>
  <c r="O112" i="26"/>
  <c r="N113" i="26"/>
  <c r="N111" i="26"/>
  <c r="O111" i="26"/>
  <c r="N110" i="26"/>
  <c r="O110" i="26"/>
  <c r="O108" i="26"/>
  <c r="P108" i="26"/>
  <c r="N109" i="26"/>
  <c r="O109" i="26"/>
  <c r="N104" i="26"/>
  <c r="P104" i="26"/>
  <c r="O103" i="26"/>
  <c r="N103" i="26"/>
  <c r="N105" i="26"/>
  <c r="O105" i="26"/>
  <c r="N102" i="26"/>
  <c r="P100" i="26"/>
  <c r="O100" i="26"/>
  <c r="O102" i="26"/>
  <c r="N101" i="26"/>
  <c r="O101" i="26"/>
  <c r="N99" i="26"/>
  <c r="O99" i="26"/>
  <c r="P97" i="26"/>
  <c r="N97" i="26"/>
  <c r="N98" i="26"/>
  <c r="O98" i="26"/>
  <c r="O94" i="26"/>
  <c r="N92" i="26"/>
  <c r="P92" i="26"/>
  <c r="N94" i="26"/>
  <c r="N93" i="26"/>
  <c r="O93" i="26"/>
  <c r="O91" i="26"/>
  <c r="O89" i="26"/>
  <c r="N89" i="26"/>
  <c r="N90" i="26"/>
  <c r="O90" i="26"/>
  <c r="N91" i="26"/>
  <c r="N85" i="26"/>
  <c r="O85" i="26"/>
  <c r="P84" i="26"/>
  <c r="N84" i="26"/>
  <c r="O80" i="26"/>
  <c r="P80" i="26"/>
  <c r="N81" i="26"/>
  <c r="O81" i="26"/>
  <c r="N77" i="26"/>
  <c r="O77" i="26"/>
  <c r="N76" i="26"/>
  <c r="O76" i="26"/>
  <c r="O74" i="26"/>
  <c r="N75" i="26"/>
  <c r="O75" i="26"/>
  <c r="N74" i="26"/>
  <c r="N73" i="26"/>
  <c r="O73" i="26"/>
  <c r="N72" i="26"/>
  <c r="O72" i="26"/>
  <c r="O70" i="26"/>
  <c r="N70" i="26"/>
  <c r="N71" i="26"/>
  <c r="O71" i="26"/>
  <c r="P67" i="26"/>
  <c r="N67" i="26"/>
  <c r="N68" i="26"/>
  <c r="N69" i="26"/>
  <c r="O68" i="26"/>
  <c r="O69" i="26"/>
  <c r="N63" i="26"/>
  <c r="O63" i="26"/>
  <c r="N62" i="26"/>
  <c r="O62" i="26"/>
  <c r="N61" i="26"/>
  <c r="O61" i="26"/>
  <c r="O58" i="26"/>
  <c r="P58" i="26"/>
  <c r="N60" i="26"/>
  <c r="O60" i="26"/>
  <c r="N59" i="26"/>
  <c r="O59" i="26"/>
  <c r="O52" i="26"/>
  <c r="N52" i="26"/>
  <c r="N53" i="26"/>
  <c r="O53" i="26"/>
  <c r="N51" i="26"/>
  <c r="O51" i="26"/>
  <c r="N54" i="26"/>
  <c r="O54" i="26"/>
  <c r="O46" i="26"/>
  <c r="P46" i="26"/>
  <c r="P43" i="26"/>
  <c r="N43" i="26"/>
  <c r="N44" i="26"/>
  <c r="O44" i="26"/>
  <c r="N47" i="26"/>
  <c r="O47" i="26"/>
  <c r="N45" i="26"/>
  <c r="O45" i="26"/>
  <c r="N48" i="26"/>
  <c r="O48" i="26"/>
  <c r="N38" i="26"/>
  <c r="O38" i="26"/>
  <c r="P37" i="26"/>
  <c r="N37" i="26"/>
  <c r="N36" i="26"/>
  <c r="O36" i="26"/>
  <c r="O39" i="26"/>
  <c r="N34" i="26"/>
  <c r="O34" i="26"/>
  <c r="N35" i="26"/>
  <c r="O35" i="26"/>
  <c r="N39" i="26"/>
  <c r="P6" i="26"/>
  <c r="N6" i="26"/>
  <c r="P28" i="26"/>
  <c r="N28" i="26"/>
  <c r="N29" i="26"/>
  <c r="O29" i="26"/>
  <c r="N30" i="26"/>
  <c r="O30" i="26"/>
  <c r="N26" i="26"/>
  <c r="O27" i="26"/>
  <c r="P27" i="26"/>
  <c r="O26" i="26"/>
  <c r="N25" i="26"/>
  <c r="O25" i="26"/>
  <c r="N4" i="26"/>
  <c r="P8" i="26"/>
  <c r="O15" i="26"/>
  <c r="N15" i="26"/>
  <c r="N14" i="26"/>
  <c r="P5" i="26"/>
  <c r="P13" i="26"/>
  <c r="N13" i="26"/>
  <c r="P14" i="26"/>
  <c r="P4" i="26"/>
  <c r="P7" i="26"/>
  <c r="O7" i="26"/>
  <c r="N8" i="26"/>
  <c r="O5" i="26"/>
  <c r="P12" i="26"/>
  <c r="O12" i="26"/>
  <c r="C16" i="14"/>
  <c r="K10" i="14" a="1"/>
  <c r="K10" i="14" s="1"/>
  <c r="K9" i="14" a="1"/>
  <c r="K9" i="14" s="1"/>
  <c r="K4" i="14" a="1"/>
  <c r="K4" i="14" s="1"/>
  <c r="AF3" i="12"/>
  <c r="AL3" i="12"/>
  <c r="DF4" i="12" a="1"/>
  <c r="DF4" i="12" s="1"/>
  <c r="C10" i="14" l="1"/>
  <c r="K5" i="14" a="1"/>
  <c r="K5" i="14" s="1"/>
  <c r="K6" i="14" a="1"/>
  <c r="K6" i="14" s="1"/>
  <c r="K7" i="14" a="1"/>
  <c r="K7" i="14" s="1"/>
  <c r="K8" i="14" a="1"/>
  <c r="K8" i="14" s="1"/>
  <c r="K11" i="14" a="1"/>
  <c r="K11" i="14" s="1"/>
  <c r="K12" i="14" l="1"/>
  <c r="DD238" i="12" l="1"/>
  <c r="DD237" i="12"/>
  <c r="DD236" i="12"/>
  <c r="DD235" i="12"/>
  <c r="DD234" i="12"/>
  <c r="DD233" i="12"/>
  <c r="DD232" i="12"/>
  <c r="DD231" i="12"/>
  <c r="DD230" i="12"/>
  <c r="DD85" i="12"/>
  <c r="DD228" i="12"/>
  <c r="DD227" i="12"/>
  <c r="DD226" i="12"/>
  <c r="DD225" i="12"/>
  <c r="DD224" i="12"/>
  <c r="DD160" i="12"/>
  <c r="DD223" i="12"/>
  <c r="DD221" i="12"/>
  <c r="DD168" i="12"/>
  <c r="DD219" i="12"/>
  <c r="DD200" i="12"/>
  <c r="DD217" i="12"/>
  <c r="DD216" i="12"/>
  <c r="DD215" i="12"/>
  <c r="DD222" i="12"/>
  <c r="DD213" i="12"/>
  <c r="DD212" i="12"/>
  <c r="DD211" i="12"/>
  <c r="DD210" i="12"/>
  <c r="DD209" i="12"/>
  <c r="DD208" i="12"/>
  <c r="DD207" i="12"/>
  <c r="DD206" i="12"/>
  <c r="DD205" i="12"/>
  <c r="DD204" i="12"/>
  <c r="DD203" i="12"/>
  <c r="DD202" i="12"/>
  <c r="DD201" i="12"/>
  <c r="DD220" i="12"/>
  <c r="DD199" i="12"/>
  <c r="DD218" i="12"/>
  <c r="DD198" i="12"/>
  <c r="DD197" i="12"/>
  <c r="DD196" i="12"/>
  <c r="DD194" i="12"/>
  <c r="DD193" i="12"/>
  <c r="DD192" i="12"/>
  <c r="DD191" i="12"/>
  <c r="DD190" i="12"/>
  <c r="DD52" i="12"/>
  <c r="DD188" i="12"/>
  <c r="DD189" i="12"/>
  <c r="DD186" i="12"/>
  <c r="DD185" i="12"/>
  <c r="DD184" i="12"/>
  <c r="DD183" i="12"/>
  <c r="DD182" i="12"/>
  <c r="DD181" i="12"/>
  <c r="DD180" i="12"/>
  <c r="DD179" i="12"/>
  <c r="DD178" i="12"/>
  <c r="DD177" i="12"/>
  <c r="DD176" i="12"/>
  <c r="DD175" i="12"/>
  <c r="DD174" i="12"/>
  <c r="DD173" i="12"/>
  <c r="DD172" i="12"/>
  <c r="DD171" i="12"/>
  <c r="DD170" i="12"/>
  <c r="DD169" i="12"/>
  <c r="DD161" i="12"/>
  <c r="DD167" i="12"/>
  <c r="DD166" i="12"/>
  <c r="DD165" i="12"/>
  <c r="DD164" i="12"/>
  <c r="DD163" i="12"/>
  <c r="DD162" i="12"/>
  <c r="DD146" i="12"/>
  <c r="DD141" i="12"/>
  <c r="DD159" i="12"/>
  <c r="DD158" i="12"/>
  <c r="DD157" i="12"/>
  <c r="DD156" i="12"/>
  <c r="DD155" i="12"/>
  <c r="DD154" i="12"/>
  <c r="DD153" i="12"/>
  <c r="DD152" i="12"/>
  <c r="DD151" i="12"/>
  <c r="DD150" i="12"/>
  <c r="DD149" i="12"/>
  <c r="DD148" i="12"/>
  <c r="DD137" i="12"/>
  <c r="DD195" i="12"/>
  <c r="DD145" i="12"/>
  <c r="DD144" i="12"/>
  <c r="DD143" i="12"/>
  <c r="DD142" i="12"/>
  <c r="DD134" i="12"/>
  <c r="DD140" i="12"/>
  <c r="DD139" i="12"/>
  <c r="DD138" i="12"/>
  <c r="DD57" i="12"/>
  <c r="DD136" i="12"/>
  <c r="DD135" i="12"/>
  <c r="DD128" i="12"/>
  <c r="DD124" i="12"/>
  <c r="DD132" i="12"/>
  <c r="DD131" i="12"/>
  <c r="DD130" i="12"/>
  <c r="DD129" i="12"/>
  <c r="DD147" i="12"/>
  <c r="DD127" i="12"/>
  <c r="DD126" i="12"/>
  <c r="DD125" i="12"/>
  <c r="DD133" i="12"/>
  <c r="DD123" i="12"/>
  <c r="DD122" i="12"/>
  <c r="DD121" i="12"/>
  <c r="DD120" i="12"/>
  <c r="DD119" i="12"/>
  <c r="DD118" i="12"/>
  <c r="DD117" i="12"/>
  <c r="DD116" i="12"/>
  <c r="DD113" i="12"/>
  <c r="DD114" i="12"/>
  <c r="DD103" i="12"/>
  <c r="DD112" i="12"/>
  <c r="DD111" i="12"/>
  <c r="DD110" i="12"/>
  <c r="DD109" i="12"/>
  <c r="DD108" i="12"/>
  <c r="DD107" i="12"/>
  <c r="DD106" i="12"/>
  <c r="DD105" i="12"/>
  <c r="DD104" i="12"/>
  <c r="DD101" i="12"/>
  <c r="DD102" i="12"/>
  <c r="DD99" i="12"/>
  <c r="DD100" i="12"/>
  <c r="DD98" i="12"/>
  <c r="DD97" i="12"/>
  <c r="DD187" i="12"/>
  <c r="DD96" i="12"/>
  <c r="DD95" i="12"/>
  <c r="DD94" i="12"/>
  <c r="DD214" i="12"/>
  <c r="DD92" i="12"/>
  <c r="DD91" i="12"/>
  <c r="DD115" i="12"/>
  <c r="DD89" i="12"/>
  <c r="DD88" i="12"/>
  <c r="DD87" i="12"/>
  <c r="DD86" i="12"/>
  <c r="DD229" i="12"/>
  <c r="DD93" i="12"/>
  <c r="DD83" i="12"/>
  <c r="DD90" i="12"/>
  <c r="DD81" i="12"/>
  <c r="DD80" i="12"/>
  <c r="DD79" i="12"/>
  <c r="DD78" i="12"/>
  <c r="DD77" i="12"/>
  <c r="DD76" i="12"/>
  <c r="DD75" i="12"/>
  <c r="DD74" i="12"/>
  <c r="DD63" i="12"/>
  <c r="DD72" i="12"/>
  <c r="DD71" i="12"/>
  <c r="DD70" i="12"/>
  <c r="DD69" i="12"/>
  <c r="DD68" i="12"/>
  <c r="DD84" i="12"/>
  <c r="DD82" i="12"/>
  <c r="DD65" i="12"/>
  <c r="DD64" i="12"/>
  <c r="DD73" i="12"/>
  <c r="DD62" i="12"/>
  <c r="DD67" i="12"/>
  <c r="DD60" i="12"/>
  <c r="DD59" i="12"/>
  <c r="DD58" i="12"/>
  <c r="DD66" i="12"/>
  <c r="DD56" i="12"/>
  <c r="DD55" i="12"/>
  <c r="DD54" i="12"/>
  <c r="DD53" i="12"/>
  <c r="DD61" i="12"/>
  <c r="DD51" i="12"/>
  <c r="DD50" i="12"/>
  <c r="DD49" i="12"/>
  <c r="DD48" i="12"/>
  <c r="DD47" i="12"/>
  <c r="DD46" i="12"/>
  <c r="DD45" i="12"/>
  <c r="DD44" i="12"/>
  <c r="DD43" i="12"/>
  <c r="DD42" i="12"/>
  <c r="DD41" i="12"/>
  <c r="DD40" i="12"/>
  <c r="DD39" i="12"/>
  <c r="DD38" i="12"/>
  <c r="DD37" i="12"/>
  <c r="DD36" i="12"/>
  <c r="DD35" i="12"/>
  <c r="DD34" i="12"/>
  <c r="DD33" i="12"/>
  <c r="DD32" i="12"/>
  <c r="DD31" i="12"/>
  <c r="DD30" i="12"/>
  <c r="DD29" i="12"/>
  <c r="DD28" i="12"/>
  <c r="DD27" i="12"/>
  <c r="DD26" i="12"/>
  <c r="DD25" i="12"/>
  <c r="DD24" i="12"/>
  <c r="DD23" i="12"/>
  <c r="DD22" i="12"/>
  <c r="DD21" i="12"/>
  <c r="DD20" i="12"/>
  <c r="DD19" i="12"/>
  <c r="DD18" i="12"/>
  <c r="DD17" i="12"/>
  <c r="DD16" i="12"/>
  <c r="DD15" i="12"/>
  <c r="DD14" i="12"/>
  <c r="DD13" i="12"/>
  <c r="DD12" i="12"/>
  <c r="DD11" i="12"/>
  <c r="DD10" i="12"/>
  <c r="DD9" i="12"/>
  <c r="D4" i="12" l="1"/>
  <c r="DD8" i="12"/>
  <c r="AL4" i="12"/>
  <c r="AP4" i="12"/>
  <c r="AO4" i="12"/>
  <c r="AN4" i="12"/>
  <c r="AM4" i="12"/>
  <c r="AS4" i="12"/>
  <c r="AR4" i="12"/>
  <c r="AQ4" i="12"/>
  <c r="DC4" i="12" l="1" a="1"/>
  <c r="DC4" i="12" s="1"/>
  <c r="DD4" i="12" a="1"/>
  <c r="DD4" i="12" s="1"/>
  <c r="AG6" i="9"/>
  <c r="AZ4" i="12"/>
  <c r="AY4" i="12"/>
  <c r="AX4" i="12"/>
  <c r="AW4" i="12"/>
  <c r="M465" i="26"/>
  <c r="L465" i="26"/>
  <c r="P465" i="26" s="1"/>
  <c r="M464" i="26"/>
  <c r="L464" i="26"/>
  <c r="P464" i="26" s="1"/>
  <c r="M458" i="26"/>
  <c r="L458" i="26"/>
  <c r="P458" i="26" s="1"/>
  <c r="M455" i="26"/>
  <c r="L455" i="26"/>
  <c r="O455" i="26" s="1"/>
  <c r="M454" i="26"/>
  <c r="L454" i="26"/>
  <c r="P454" i="26" s="1"/>
  <c r="M450" i="26"/>
  <c r="L450" i="26"/>
  <c r="P450" i="26" s="1"/>
  <c r="M449" i="26"/>
  <c r="L449" i="26"/>
  <c r="P449" i="26" s="1"/>
  <c r="M448" i="26"/>
  <c r="L448" i="26"/>
  <c r="P448" i="26" s="1"/>
  <c r="M447" i="26"/>
  <c r="L447" i="26"/>
  <c r="P447" i="26" s="1"/>
  <c r="M446" i="26"/>
  <c r="L446" i="26"/>
  <c r="P446" i="26" s="1"/>
  <c r="M445" i="26"/>
  <c r="L445" i="26"/>
  <c r="O445" i="26" s="1"/>
  <c r="M438" i="26"/>
  <c r="L438" i="26"/>
  <c r="P438" i="26" s="1"/>
  <c r="M437" i="26"/>
  <c r="L437" i="26"/>
  <c r="P437" i="26" s="1"/>
  <c r="M436" i="26"/>
  <c r="L436" i="26"/>
  <c r="O436" i="26" s="1"/>
  <c r="M433" i="26"/>
  <c r="L433" i="26"/>
  <c r="P433" i="26" s="1"/>
  <c r="M432" i="26"/>
  <c r="L432" i="26"/>
  <c r="P432" i="26" s="1"/>
  <c r="M435" i="26"/>
  <c r="L435" i="26"/>
  <c r="P435" i="26" s="1"/>
  <c r="M434" i="26"/>
  <c r="L434" i="26"/>
  <c r="N434" i="26" s="1"/>
  <c r="M429" i="26"/>
  <c r="L429" i="26"/>
  <c r="P429" i="26" s="1"/>
  <c r="M428" i="26"/>
  <c r="L428" i="26"/>
  <c r="P428" i="26" s="1"/>
  <c r="M425" i="26"/>
  <c r="L425" i="26"/>
  <c r="P425" i="26" s="1"/>
  <c r="M424" i="26"/>
  <c r="L424" i="26"/>
  <c r="P424" i="26" s="1"/>
  <c r="M417" i="26"/>
  <c r="L417" i="26"/>
  <c r="P417" i="26" s="1"/>
  <c r="M416" i="26"/>
  <c r="L416" i="26"/>
  <c r="P416" i="26" s="1"/>
  <c r="M415" i="26"/>
  <c r="L415" i="26"/>
  <c r="P415" i="26" s="1"/>
  <c r="M409" i="26"/>
  <c r="L409" i="26"/>
  <c r="P409" i="26" s="1"/>
  <c r="M408" i="26"/>
  <c r="L408" i="26"/>
  <c r="P408" i="26" s="1"/>
  <c r="M407" i="26"/>
  <c r="L407" i="26"/>
  <c r="O407" i="26" s="1"/>
  <c r="M404" i="26"/>
  <c r="L404" i="26"/>
  <c r="P404" i="26" s="1"/>
  <c r="M403" i="26"/>
  <c r="L403" i="26"/>
  <c r="O403" i="26" s="1"/>
  <c r="M390" i="26"/>
  <c r="L390" i="26"/>
  <c r="P390" i="26" s="1"/>
  <c r="M389" i="26"/>
  <c r="L389" i="26"/>
  <c r="P389" i="26" s="1"/>
  <c r="M388" i="26"/>
  <c r="L388" i="26"/>
  <c r="N388" i="26" s="1"/>
  <c r="M387" i="26"/>
  <c r="L387" i="26"/>
  <c r="P387" i="26" s="1"/>
  <c r="M386" i="26"/>
  <c r="L386" i="26"/>
  <c r="P386" i="26" s="1"/>
  <c r="M385" i="26"/>
  <c r="L385" i="26"/>
  <c r="P385" i="26" s="1"/>
  <c r="M384" i="26"/>
  <c r="L384" i="26"/>
  <c r="P384" i="26" s="1"/>
  <c r="M383" i="26"/>
  <c r="L383" i="26"/>
  <c r="P383" i="26" s="1"/>
  <c r="M371" i="26"/>
  <c r="L371" i="26"/>
  <c r="P371" i="26" s="1"/>
  <c r="M370" i="26"/>
  <c r="L370" i="26"/>
  <c r="P370" i="26" s="1"/>
  <c r="M369" i="26"/>
  <c r="L369" i="26"/>
  <c r="P369" i="26" s="1"/>
  <c r="M368" i="26"/>
  <c r="L368" i="26"/>
  <c r="P368" i="26" s="1"/>
  <c r="M367" i="26"/>
  <c r="L367" i="26"/>
  <c r="O367" i="26" s="1"/>
  <c r="M366" i="26"/>
  <c r="L366" i="26"/>
  <c r="O366" i="26" s="1"/>
  <c r="M365" i="26"/>
  <c r="L365" i="26"/>
  <c r="P365" i="26" s="1"/>
  <c r="M359" i="26"/>
  <c r="L359" i="26"/>
  <c r="P359" i="26" s="1"/>
  <c r="M358" i="26"/>
  <c r="L358" i="26"/>
  <c r="P358" i="26" s="1"/>
  <c r="M357" i="26"/>
  <c r="L357" i="26"/>
  <c r="P357" i="26" s="1"/>
  <c r="M350" i="26"/>
  <c r="L350" i="26"/>
  <c r="P350" i="26" s="1"/>
  <c r="M349" i="26"/>
  <c r="L349" i="26"/>
  <c r="P349" i="26" s="1"/>
  <c r="M348" i="26"/>
  <c r="L348" i="26"/>
  <c r="P348" i="26" s="1"/>
  <c r="M347" i="26"/>
  <c r="L347" i="26"/>
  <c r="P347" i="26" s="1"/>
  <c r="M339" i="26"/>
  <c r="M340" i="26"/>
  <c r="L340" i="26"/>
  <c r="O340" i="26" s="1"/>
  <c r="L339" i="26"/>
  <c r="P339" i="26" s="1"/>
  <c r="M338" i="26"/>
  <c r="L338" i="26"/>
  <c r="P338" i="26" s="1"/>
  <c r="M337" i="26"/>
  <c r="L337" i="26"/>
  <c r="P337" i="26" s="1"/>
  <c r="M336" i="26"/>
  <c r="L336" i="26"/>
  <c r="P336" i="26" s="1"/>
  <c r="M335" i="26"/>
  <c r="L335" i="26"/>
  <c r="P335" i="26" s="1"/>
  <c r="M331" i="26"/>
  <c r="L331" i="26"/>
  <c r="P331" i="26" s="1"/>
  <c r="M330" i="26"/>
  <c r="L330" i="26"/>
  <c r="O330" i="26" s="1"/>
  <c r="M329" i="26"/>
  <c r="L329" i="26"/>
  <c r="P329" i="26" s="1"/>
  <c r="M325" i="26"/>
  <c r="L325" i="26"/>
  <c r="P325" i="26" s="1"/>
  <c r="M328" i="26"/>
  <c r="L328" i="26"/>
  <c r="P328" i="26" s="1"/>
  <c r="M327" i="26"/>
  <c r="L327" i="26"/>
  <c r="O327" i="26" s="1"/>
  <c r="M326" i="26"/>
  <c r="L326" i="26"/>
  <c r="O326" i="26" s="1"/>
  <c r="M318" i="26"/>
  <c r="L318" i="26"/>
  <c r="P318" i="26" s="1"/>
  <c r="M317" i="26"/>
  <c r="L317" i="26"/>
  <c r="P317" i="26" s="1"/>
  <c r="M310" i="26"/>
  <c r="L310" i="26"/>
  <c r="P310" i="26" s="1"/>
  <c r="M309" i="26"/>
  <c r="L309" i="26"/>
  <c r="O309" i="26" s="1"/>
  <c r="M308" i="26"/>
  <c r="L308" i="26"/>
  <c r="P308" i="26" s="1"/>
  <c r="M297" i="26"/>
  <c r="L297" i="26"/>
  <c r="P297" i="26" s="1"/>
  <c r="M296" i="26"/>
  <c r="L296" i="26"/>
  <c r="P296" i="26" s="1"/>
  <c r="M292" i="26"/>
  <c r="L292" i="26"/>
  <c r="P292" i="26" s="1"/>
  <c r="M291" i="26"/>
  <c r="L291" i="26"/>
  <c r="P291" i="26" s="1"/>
  <c r="M290" i="26"/>
  <c r="L290" i="26"/>
  <c r="O290" i="26" s="1"/>
  <c r="M289" i="26"/>
  <c r="L289" i="26"/>
  <c r="P289" i="26" s="1"/>
  <c r="M288" i="26"/>
  <c r="L288" i="26"/>
  <c r="P288" i="26" s="1"/>
  <c r="M287" i="26"/>
  <c r="L287" i="26"/>
  <c r="P287" i="26" s="1"/>
  <c r="M286" i="26"/>
  <c r="L286" i="26"/>
  <c r="P286" i="26" s="1"/>
  <c r="M285" i="26"/>
  <c r="L285" i="26"/>
  <c r="O285" i="26" s="1"/>
  <c r="M284" i="26"/>
  <c r="L284" i="26"/>
  <c r="P284" i="26" s="1"/>
  <c r="M283" i="26"/>
  <c r="L283" i="26"/>
  <c r="P283" i="26" s="1"/>
  <c r="M282" i="26"/>
  <c r="L282" i="26"/>
  <c r="P282" i="26" s="1"/>
  <c r="M279" i="26"/>
  <c r="L279" i="26"/>
  <c r="P279" i="26" s="1"/>
  <c r="M278" i="26"/>
  <c r="L278" i="26"/>
  <c r="O278" i="26" s="1"/>
  <c r="M274" i="26"/>
  <c r="L274" i="26"/>
  <c r="P274" i="26" s="1"/>
  <c r="M273" i="26"/>
  <c r="L273" i="26"/>
  <c r="P273" i="26" s="1"/>
  <c r="M272" i="26"/>
  <c r="L272" i="26"/>
  <c r="P272" i="26" s="1"/>
  <c r="M271" i="26"/>
  <c r="L271" i="26"/>
  <c r="P271" i="26" s="1"/>
  <c r="M270" i="26"/>
  <c r="L270" i="26"/>
  <c r="P270" i="26" s="1"/>
  <c r="M269" i="26"/>
  <c r="L269" i="26"/>
  <c r="O269" i="26" s="1"/>
  <c r="M266" i="26"/>
  <c r="L266" i="26"/>
  <c r="P266" i="26" s="1"/>
  <c r="M265" i="26"/>
  <c r="L265" i="26"/>
  <c r="P265" i="26" s="1"/>
  <c r="M262" i="26"/>
  <c r="L262" i="26"/>
  <c r="P262" i="26" s="1"/>
  <c r="M261" i="26"/>
  <c r="L261" i="26"/>
  <c r="P261" i="26" s="1"/>
  <c r="M257" i="26"/>
  <c r="L257" i="26"/>
  <c r="P257" i="26" s="1"/>
  <c r="M256" i="26"/>
  <c r="L256" i="26"/>
  <c r="P256" i="26" s="1"/>
  <c r="M255" i="26"/>
  <c r="L255" i="26"/>
  <c r="P255" i="26" s="1"/>
  <c r="M254" i="26"/>
  <c r="L254" i="26"/>
  <c r="P254" i="26" s="1"/>
  <c r="M253" i="26"/>
  <c r="L253" i="26"/>
  <c r="P253" i="26" s="1"/>
  <c r="M252" i="26"/>
  <c r="L252" i="26"/>
  <c r="O252" i="26" s="1"/>
  <c r="M251" i="26"/>
  <c r="L251" i="26"/>
  <c r="N251" i="26" s="1"/>
  <c r="M250" i="26"/>
  <c r="L250" i="26"/>
  <c r="P250" i="26" s="1"/>
  <c r="M245" i="26"/>
  <c r="L245" i="26"/>
  <c r="P245" i="26" s="1"/>
  <c r="M244" i="26"/>
  <c r="L244" i="26"/>
  <c r="O244" i="26" s="1"/>
  <c r="M243" i="26"/>
  <c r="L243" i="26"/>
  <c r="P243" i="26" s="1"/>
  <c r="M242" i="26"/>
  <c r="L242" i="26"/>
  <c r="P242" i="26" s="1"/>
  <c r="M233" i="26"/>
  <c r="L233" i="26"/>
  <c r="P233" i="26" s="1"/>
  <c r="M232" i="26"/>
  <c r="L232" i="26"/>
  <c r="O232" i="26" s="1"/>
  <c r="M229" i="26"/>
  <c r="L229" i="26"/>
  <c r="P229" i="26" s="1"/>
  <c r="M228" i="26"/>
  <c r="L228" i="26"/>
  <c r="O228" i="26" s="1"/>
  <c r="M223" i="26"/>
  <c r="L223" i="26"/>
  <c r="P223" i="26" s="1"/>
  <c r="M222" i="26"/>
  <c r="L222" i="26"/>
  <c r="P222" i="26" s="1"/>
  <c r="M209" i="26"/>
  <c r="L209" i="26"/>
  <c r="P209" i="26" s="1"/>
  <c r="M208" i="26"/>
  <c r="L208" i="26"/>
  <c r="P208" i="26" s="1"/>
  <c r="M214" i="26"/>
  <c r="L214" i="26"/>
  <c r="P214" i="26" s="1"/>
  <c r="M213" i="26"/>
  <c r="L213" i="26"/>
  <c r="P213" i="26" s="1"/>
  <c r="M212" i="26"/>
  <c r="L212" i="26"/>
  <c r="N212" i="26" s="1"/>
  <c r="M205" i="26"/>
  <c r="L205" i="26"/>
  <c r="P205" i="26" s="1"/>
  <c r="M204" i="26"/>
  <c r="L204" i="26"/>
  <c r="O204" i="26" s="1"/>
  <c r="M199" i="26"/>
  <c r="L199" i="26"/>
  <c r="P199" i="26" s="1"/>
  <c r="M198" i="26"/>
  <c r="L198" i="26"/>
  <c r="P198" i="26" s="1"/>
  <c r="M191" i="26"/>
  <c r="L191" i="26"/>
  <c r="P191" i="26" s="1"/>
  <c r="M190" i="26"/>
  <c r="L190" i="26"/>
  <c r="P190" i="26" s="1"/>
  <c r="M189" i="26"/>
  <c r="L189" i="26"/>
  <c r="N189" i="26" s="1"/>
  <c r="M186" i="26"/>
  <c r="L186" i="26"/>
  <c r="O186" i="26" s="1"/>
  <c r="M185" i="26"/>
  <c r="L185" i="26"/>
  <c r="P185" i="26" s="1"/>
  <c r="M184" i="26"/>
  <c r="L184" i="26"/>
  <c r="P184" i="26" s="1"/>
  <c r="M183" i="26"/>
  <c r="L183" i="26"/>
  <c r="P183" i="26" s="1"/>
  <c r="M182" i="26"/>
  <c r="L182" i="26"/>
  <c r="P182" i="26" s="1"/>
  <c r="M179" i="26"/>
  <c r="L179" i="26"/>
  <c r="P179" i="26" s="1"/>
  <c r="M178" i="26"/>
  <c r="L178" i="26"/>
  <c r="P178" i="26" s="1"/>
  <c r="M175" i="26"/>
  <c r="L175" i="26"/>
  <c r="P175" i="26" s="1"/>
  <c r="M174" i="26"/>
  <c r="L174" i="26"/>
  <c r="P174" i="26" s="1"/>
  <c r="M169" i="26"/>
  <c r="L169" i="26"/>
  <c r="P169" i="26" s="1"/>
  <c r="M168" i="26"/>
  <c r="L168" i="26"/>
  <c r="P168" i="26" s="1"/>
  <c r="M167" i="26"/>
  <c r="L167" i="26"/>
  <c r="P167" i="26" s="1"/>
  <c r="M166" i="26"/>
  <c r="L166" i="26"/>
  <c r="O166" i="26" s="1"/>
  <c r="M165" i="26"/>
  <c r="L165" i="26"/>
  <c r="O165" i="26" s="1"/>
  <c r="M164" i="26"/>
  <c r="L164" i="26"/>
  <c r="P164" i="26" s="1"/>
  <c r="M163" i="26"/>
  <c r="L163" i="26"/>
  <c r="O163" i="26" s="1"/>
  <c r="M162" i="26"/>
  <c r="L162" i="26"/>
  <c r="P162" i="26" s="1"/>
  <c r="M161" i="26"/>
  <c r="L161" i="26"/>
  <c r="P161" i="26" s="1"/>
  <c r="M160" i="26"/>
  <c r="L160" i="26"/>
  <c r="P160" i="26" s="1"/>
  <c r="M159" i="26"/>
  <c r="L159" i="26"/>
  <c r="P159" i="26" s="1"/>
  <c r="M158" i="26"/>
  <c r="L158" i="26"/>
  <c r="P158" i="26" s="1"/>
  <c r="M154" i="26"/>
  <c r="L154" i="26"/>
  <c r="P154" i="26" s="1"/>
  <c r="M153" i="26"/>
  <c r="L153" i="26"/>
  <c r="P153" i="26" s="1"/>
  <c r="M152" i="26"/>
  <c r="L152" i="26"/>
  <c r="P152" i="26" s="1"/>
  <c r="M149" i="26"/>
  <c r="L149" i="26"/>
  <c r="P149" i="26" s="1"/>
  <c r="M148" i="26"/>
  <c r="L148" i="26"/>
  <c r="P148" i="26" s="1"/>
  <c r="M145" i="26"/>
  <c r="L145" i="26"/>
  <c r="P145" i="26" s="1"/>
  <c r="M144" i="26"/>
  <c r="L144" i="26"/>
  <c r="P144" i="26" s="1"/>
  <c r="M143" i="26"/>
  <c r="L143" i="26"/>
  <c r="P143" i="26" s="1"/>
  <c r="M139" i="26"/>
  <c r="L139" i="26"/>
  <c r="P139" i="26" s="1"/>
  <c r="M138" i="26"/>
  <c r="L138" i="26"/>
  <c r="P138" i="26" s="1"/>
  <c r="M137" i="26"/>
  <c r="L137" i="26"/>
  <c r="O137" i="26" s="1"/>
  <c r="L126" i="26"/>
  <c r="O126" i="26" s="1"/>
  <c r="L125" i="26"/>
  <c r="O125" i="26" s="1"/>
  <c r="M126" i="26"/>
  <c r="M125" i="26"/>
  <c r="M124" i="26"/>
  <c r="L124" i="26"/>
  <c r="P124" i="26" s="1"/>
  <c r="M123" i="26"/>
  <c r="L123" i="26"/>
  <c r="P123" i="26" s="1"/>
  <c r="M122" i="26"/>
  <c r="L122" i="26"/>
  <c r="P122" i="26" s="1"/>
  <c r="M121" i="26"/>
  <c r="L121" i="26"/>
  <c r="P121" i="26" s="1"/>
  <c r="M120" i="26"/>
  <c r="L120" i="26"/>
  <c r="P120" i="26" s="1"/>
  <c r="M119" i="26"/>
  <c r="L119" i="26"/>
  <c r="P119" i="26" s="1"/>
  <c r="M116" i="26"/>
  <c r="L116" i="26"/>
  <c r="P116" i="26" s="1"/>
  <c r="M115" i="26"/>
  <c r="L115" i="26"/>
  <c r="P115" i="26" s="1"/>
  <c r="M107" i="26"/>
  <c r="L107" i="26"/>
  <c r="P107" i="26" s="1"/>
  <c r="M106" i="26"/>
  <c r="L106" i="26"/>
  <c r="P106" i="26" s="1"/>
  <c r="M96" i="26"/>
  <c r="L96" i="26"/>
  <c r="P96" i="26" s="1"/>
  <c r="M95" i="26"/>
  <c r="L95" i="26"/>
  <c r="P95" i="26" s="1"/>
  <c r="L88" i="26"/>
  <c r="O88" i="26" s="1"/>
  <c r="L87" i="26"/>
  <c r="P87" i="26" s="1"/>
  <c r="L86" i="26"/>
  <c r="O86" i="26" s="1"/>
  <c r="M88" i="26"/>
  <c r="M87" i="26"/>
  <c r="M86" i="26"/>
  <c r="L83" i="26"/>
  <c r="O83" i="26" s="1"/>
  <c r="L82" i="26"/>
  <c r="O82" i="26" s="1"/>
  <c r="M83" i="26"/>
  <c r="M82" i="26"/>
  <c r="L79" i="26"/>
  <c r="L78" i="26"/>
  <c r="M79" i="26"/>
  <c r="N464" i="26" l="1"/>
  <c r="O464" i="26"/>
  <c r="O465" i="26"/>
  <c r="N465" i="26"/>
  <c r="N458" i="26"/>
  <c r="O458" i="26"/>
  <c r="P455" i="26"/>
  <c r="N454" i="26"/>
  <c r="O454" i="26"/>
  <c r="N455" i="26"/>
  <c r="N448" i="26"/>
  <c r="O448" i="26"/>
  <c r="N450" i="26"/>
  <c r="N449" i="26"/>
  <c r="O449" i="26"/>
  <c r="O450" i="26"/>
  <c r="P445" i="26"/>
  <c r="N445" i="26"/>
  <c r="N446" i="26"/>
  <c r="O446" i="26"/>
  <c r="N447" i="26"/>
  <c r="O447" i="26"/>
  <c r="P436" i="26"/>
  <c r="N436" i="26"/>
  <c r="N437" i="26"/>
  <c r="N438" i="26"/>
  <c r="O438" i="26"/>
  <c r="O437" i="26"/>
  <c r="N432" i="26"/>
  <c r="O432" i="26"/>
  <c r="N433" i="26"/>
  <c r="O433" i="26"/>
  <c r="O434" i="26"/>
  <c r="P434" i="26"/>
  <c r="N435" i="26"/>
  <c r="O435" i="26"/>
  <c r="N428" i="26"/>
  <c r="O428" i="26"/>
  <c r="N429" i="26"/>
  <c r="O429" i="26"/>
  <c r="N425" i="26"/>
  <c r="O425" i="26"/>
  <c r="N424" i="26"/>
  <c r="O424" i="26"/>
  <c r="O416" i="26"/>
  <c r="N416" i="26"/>
  <c r="N415" i="26"/>
  <c r="O415" i="26"/>
  <c r="N417" i="26"/>
  <c r="O417" i="26"/>
  <c r="N407" i="26"/>
  <c r="P407" i="26"/>
  <c r="O408" i="26"/>
  <c r="O409" i="26"/>
  <c r="N408" i="26"/>
  <c r="N409" i="26"/>
  <c r="P403" i="26"/>
  <c r="N404" i="26"/>
  <c r="O404" i="26"/>
  <c r="N403" i="26"/>
  <c r="N390" i="26"/>
  <c r="O390" i="26"/>
  <c r="O388" i="26"/>
  <c r="P388" i="26"/>
  <c r="N389" i="26"/>
  <c r="O389" i="26"/>
  <c r="N386" i="26"/>
  <c r="O386" i="26"/>
  <c r="N387" i="26"/>
  <c r="O387" i="26"/>
  <c r="O383" i="26"/>
  <c r="N385" i="26"/>
  <c r="O385" i="26"/>
  <c r="N383" i="26"/>
  <c r="N384" i="26"/>
  <c r="O384" i="26"/>
  <c r="N371" i="26"/>
  <c r="O371" i="26"/>
  <c r="N370" i="26"/>
  <c r="O370" i="26"/>
  <c r="N367" i="26"/>
  <c r="P367" i="26"/>
  <c r="O368" i="26"/>
  <c r="N369" i="26"/>
  <c r="O369" i="26"/>
  <c r="N368" i="26"/>
  <c r="P366" i="26"/>
  <c r="N365" i="26"/>
  <c r="O365" i="26"/>
  <c r="N366" i="26"/>
  <c r="N357" i="26"/>
  <c r="O357" i="26"/>
  <c r="N358" i="26"/>
  <c r="O358" i="26"/>
  <c r="O359" i="26"/>
  <c r="N359" i="26"/>
  <c r="O348" i="26"/>
  <c r="N349" i="26"/>
  <c r="O349" i="26"/>
  <c r="N350" i="26"/>
  <c r="O350" i="26"/>
  <c r="N347" i="26"/>
  <c r="O347" i="26"/>
  <c r="N348" i="26"/>
  <c r="O339" i="26"/>
  <c r="P340" i="26"/>
  <c r="N339" i="26"/>
  <c r="N340" i="26"/>
  <c r="N337" i="26"/>
  <c r="O338" i="26"/>
  <c r="O337" i="26"/>
  <c r="N338" i="26"/>
  <c r="N336" i="26"/>
  <c r="O336" i="26"/>
  <c r="N335" i="26"/>
  <c r="O335" i="26"/>
  <c r="N329" i="26"/>
  <c r="O329" i="26"/>
  <c r="N331" i="26"/>
  <c r="O331" i="26"/>
  <c r="N330" i="26"/>
  <c r="P330" i="26"/>
  <c r="P326" i="26"/>
  <c r="N326" i="26"/>
  <c r="N325" i="26"/>
  <c r="O325" i="26"/>
  <c r="P327" i="26"/>
  <c r="N328" i="26"/>
  <c r="O328" i="26"/>
  <c r="N327" i="26"/>
  <c r="O317" i="26"/>
  <c r="N317" i="26"/>
  <c r="N318" i="26"/>
  <c r="O318" i="26"/>
  <c r="O308" i="26"/>
  <c r="N308" i="26"/>
  <c r="P309" i="26"/>
  <c r="N310" i="26"/>
  <c r="N309" i="26"/>
  <c r="O310" i="26"/>
  <c r="N297" i="26"/>
  <c r="O297" i="26"/>
  <c r="N296" i="26"/>
  <c r="O296" i="26"/>
  <c r="N289" i="26"/>
  <c r="O289" i="26"/>
  <c r="N290" i="26"/>
  <c r="P290" i="26"/>
  <c r="N291" i="26"/>
  <c r="O291" i="26"/>
  <c r="N292" i="26"/>
  <c r="O292" i="26"/>
  <c r="O287" i="26"/>
  <c r="N287" i="26"/>
  <c r="N288" i="26"/>
  <c r="O288" i="26"/>
  <c r="N284" i="26"/>
  <c r="O284" i="26"/>
  <c r="N285" i="26"/>
  <c r="P285" i="26"/>
  <c r="N286" i="26"/>
  <c r="O286" i="26"/>
  <c r="N283" i="26"/>
  <c r="O283" i="26"/>
  <c r="N282" i="26"/>
  <c r="O282" i="26"/>
  <c r="N279" i="26"/>
  <c r="O279" i="26"/>
  <c r="P278" i="26"/>
  <c r="N278" i="26"/>
  <c r="N272" i="26"/>
  <c r="O272" i="26"/>
  <c r="N273" i="26"/>
  <c r="O273" i="26"/>
  <c r="N274" i="26"/>
  <c r="O274" i="26"/>
  <c r="N269" i="26"/>
  <c r="P269" i="26"/>
  <c r="N270" i="26"/>
  <c r="O270" i="26"/>
  <c r="N271" i="26"/>
  <c r="O271" i="26"/>
  <c r="N265" i="26"/>
  <c r="O265" i="26"/>
  <c r="N266" i="26"/>
  <c r="O266" i="26"/>
  <c r="O262" i="26"/>
  <c r="N261" i="26"/>
  <c r="O261" i="26"/>
  <c r="N262" i="26"/>
  <c r="O255" i="26"/>
  <c r="N255" i="26"/>
  <c r="N257" i="26"/>
  <c r="O257" i="26"/>
  <c r="N256" i="26"/>
  <c r="O256" i="26"/>
  <c r="N254" i="26"/>
  <c r="O253" i="26"/>
  <c r="N252" i="26"/>
  <c r="P252" i="26"/>
  <c r="N253" i="26"/>
  <c r="O254" i="26"/>
  <c r="O251" i="26"/>
  <c r="P251" i="26"/>
  <c r="N250" i="26"/>
  <c r="O250" i="26"/>
  <c r="N244" i="26"/>
  <c r="P244" i="26"/>
  <c r="N245" i="26"/>
  <c r="O245" i="26"/>
  <c r="O243" i="26"/>
  <c r="O242" i="26"/>
  <c r="N242" i="26"/>
  <c r="N243" i="26"/>
  <c r="N233" i="26"/>
  <c r="O233" i="26"/>
  <c r="N232" i="26"/>
  <c r="P232" i="26"/>
  <c r="O229" i="26"/>
  <c r="P228" i="26"/>
  <c r="N228" i="26"/>
  <c r="N229" i="26"/>
  <c r="N222" i="26"/>
  <c r="O222" i="26"/>
  <c r="N223" i="26"/>
  <c r="O223" i="26"/>
  <c r="O212" i="26"/>
  <c r="P212" i="26"/>
  <c r="O209" i="26"/>
  <c r="N208" i="26"/>
  <c r="O208" i="26"/>
  <c r="N209" i="26"/>
  <c r="N213" i="26"/>
  <c r="O213" i="26"/>
  <c r="N214" i="26"/>
  <c r="O214" i="26"/>
  <c r="O189" i="26"/>
  <c r="P189" i="26"/>
  <c r="O205" i="26"/>
  <c r="P204" i="26"/>
  <c r="N204" i="26"/>
  <c r="N205" i="26"/>
  <c r="N198" i="26"/>
  <c r="O198" i="26"/>
  <c r="N199" i="26"/>
  <c r="O199" i="26"/>
  <c r="N190" i="26"/>
  <c r="O190" i="26"/>
  <c r="N191" i="26"/>
  <c r="O191" i="26"/>
  <c r="P186" i="26"/>
  <c r="N185" i="26"/>
  <c r="O185" i="26"/>
  <c r="N186" i="26"/>
  <c r="N126" i="26"/>
  <c r="O184" i="26"/>
  <c r="N182" i="26"/>
  <c r="O182" i="26"/>
  <c r="N183" i="26"/>
  <c r="O183" i="26"/>
  <c r="N184" i="26"/>
  <c r="O179" i="26"/>
  <c r="N178" i="26"/>
  <c r="O178" i="26"/>
  <c r="N179" i="26"/>
  <c r="N174" i="26"/>
  <c r="O174" i="26"/>
  <c r="N175" i="26"/>
  <c r="O175" i="26"/>
  <c r="N168" i="26"/>
  <c r="O168" i="26"/>
  <c r="N169" i="26"/>
  <c r="O169" i="26"/>
  <c r="P126" i="26"/>
  <c r="O167" i="26"/>
  <c r="P166" i="26"/>
  <c r="N166" i="26"/>
  <c r="N167" i="26"/>
  <c r="N164" i="26"/>
  <c r="P165" i="26"/>
  <c r="P163" i="26"/>
  <c r="N163" i="26"/>
  <c r="N165" i="26"/>
  <c r="O164" i="26"/>
  <c r="N161" i="26"/>
  <c r="O161" i="26"/>
  <c r="N162" i="26"/>
  <c r="O162" i="26"/>
  <c r="N160" i="26"/>
  <c r="O160" i="26"/>
  <c r="O158" i="26"/>
  <c r="N158" i="26"/>
  <c r="N159" i="26"/>
  <c r="O159" i="26"/>
  <c r="N152" i="26"/>
  <c r="O152" i="26"/>
  <c r="N154" i="26"/>
  <c r="O154" i="26"/>
  <c r="N153" i="26"/>
  <c r="O153" i="26"/>
  <c r="N148" i="26"/>
  <c r="N149" i="26"/>
  <c r="O149" i="26"/>
  <c r="O148" i="26"/>
  <c r="N145" i="26"/>
  <c r="O145" i="26"/>
  <c r="N143" i="26"/>
  <c r="O143" i="26"/>
  <c r="N144" i="26"/>
  <c r="O144" i="26"/>
  <c r="N137" i="26"/>
  <c r="O139" i="26"/>
  <c r="P137" i="26"/>
  <c r="N138" i="26"/>
  <c r="O138" i="26"/>
  <c r="N139" i="26"/>
  <c r="P125" i="26"/>
  <c r="N125" i="26"/>
  <c r="N122" i="26"/>
  <c r="O122" i="26"/>
  <c r="N123" i="26"/>
  <c r="O123" i="26"/>
  <c r="N124" i="26"/>
  <c r="O124" i="26"/>
  <c r="N119" i="26"/>
  <c r="O119" i="26"/>
  <c r="N120" i="26"/>
  <c r="O120" i="26"/>
  <c r="N121" i="26"/>
  <c r="O121" i="26"/>
  <c r="P88" i="26"/>
  <c r="N116" i="26"/>
  <c r="O116" i="26"/>
  <c r="N115" i="26"/>
  <c r="O115" i="26"/>
  <c r="N107" i="26"/>
  <c r="O107" i="26"/>
  <c r="N106" i="26"/>
  <c r="O106" i="26"/>
  <c r="P82" i="26"/>
  <c r="N83" i="26"/>
  <c r="P83" i="26"/>
  <c r="N95" i="26"/>
  <c r="O95" i="26"/>
  <c r="N96" i="26"/>
  <c r="O96" i="26"/>
  <c r="N86" i="26"/>
  <c r="N87" i="26"/>
  <c r="O87" i="26"/>
  <c r="N82" i="26"/>
  <c r="N88" i="26"/>
  <c r="P86" i="26"/>
  <c r="M78" i="26"/>
  <c r="P79" i="26"/>
  <c r="O79" i="26"/>
  <c r="N79" i="26"/>
  <c r="P78" i="26"/>
  <c r="O78" i="26"/>
  <c r="N78" i="26"/>
  <c r="L66" i="26" l="1"/>
  <c r="P66" i="26" s="1"/>
  <c r="L65" i="26"/>
  <c r="N65" i="26" s="1"/>
  <c r="L64" i="26"/>
  <c r="N64" i="26" s="1"/>
  <c r="M66" i="26"/>
  <c r="M65" i="26"/>
  <c r="M64" i="26"/>
  <c r="O66" i="26" l="1"/>
  <c r="P64" i="26"/>
  <c r="N66" i="26"/>
  <c r="P65" i="26"/>
  <c r="O64" i="26"/>
  <c r="O65" i="26"/>
  <c r="AT4" i="12" l="1"/>
  <c r="AU4" i="12"/>
  <c r="C4" i="12"/>
  <c r="T34" i="28"/>
  <c r="T3" i="28"/>
  <c r="T4" i="28"/>
  <c r="T5" i="28"/>
  <c r="T6" i="28"/>
  <c r="T7" i="28"/>
  <c r="T8" i="28"/>
  <c r="T9" i="28"/>
  <c r="T10" i="28"/>
  <c r="T11" i="28"/>
  <c r="T12" i="28"/>
  <c r="T13" i="28"/>
  <c r="T14" i="28"/>
  <c r="T15" i="28"/>
  <c r="T16" i="28"/>
  <c r="T17" i="28"/>
  <c r="T18" i="28"/>
  <c r="T19" i="28"/>
  <c r="T20" i="28"/>
  <c r="T21" i="28"/>
  <c r="T22" i="28"/>
  <c r="T23" i="28"/>
  <c r="T24" i="28"/>
  <c r="T25" i="28"/>
  <c r="T26" i="28"/>
  <c r="T27" i="28"/>
  <c r="T28" i="28"/>
  <c r="T29" i="28"/>
  <c r="T30" i="28"/>
  <c r="T31" i="28"/>
  <c r="T32" i="28"/>
  <c r="T33" i="28"/>
  <c r="T35" i="28"/>
  <c r="T36" i="28"/>
  <c r="T37" i="28"/>
  <c r="T38" i="28"/>
  <c r="T39" i="28"/>
  <c r="T40" i="28"/>
  <c r="T41" i="28"/>
  <c r="T42" i="28"/>
  <c r="T43" i="28"/>
  <c r="T44" i="28"/>
  <c r="T45" i="28"/>
  <c r="T46" i="28"/>
  <c r="T47" i="28"/>
  <c r="T48" i="28"/>
  <c r="T49" i="28"/>
  <c r="T50" i="28"/>
  <c r="T51" i="28"/>
  <c r="T52" i="28"/>
  <c r="T53" i="28"/>
  <c r="T54" i="28"/>
  <c r="T55" i="28"/>
  <c r="T56" i="28"/>
  <c r="T57" i="28"/>
  <c r="T58" i="28"/>
  <c r="T59" i="28"/>
  <c r="T60" i="28"/>
  <c r="T61" i="28"/>
  <c r="T62" i="28"/>
  <c r="T63" i="28"/>
  <c r="T64" i="28"/>
  <c r="T65" i="28"/>
  <c r="T66" i="28"/>
  <c r="T67" i="28"/>
  <c r="T68" i="28"/>
  <c r="T69" i="28"/>
  <c r="T70" i="28"/>
  <c r="T71" i="28"/>
  <c r="U71" i="28"/>
  <c r="U70" i="28"/>
  <c r="U69" i="28"/>
  <c r="U68" i="28"/>
  <c r="U67" i="28"/>
  <c r="U66" i="28"/>
  <c r="U65" i="28"/>
  <c r="U64" i="28"/>
  <c r="U63" i="28"/>
  <c r="U62" i="28"/>
  <c r="U61" i="28"/>
  <c r="U60" i="28"/>
  <c r="U59" i="28"/>
  <c r="U58" i="28"/>
  <c r="U57" i="28"/>
  <c r="U56" i="28"/>
  <c r="U55" i="28"/>
  <c r="U54" i="28"/>
  <c r="U53" i="28"/>
  <c r="U52" i="28"/>
  <c r="U51" i="28"/>
  <c r="U50" i="28"/>
  <c r="U49" i="28"/>
  <c r="U48" i="28"/>
  <c r="U47" i="28"/>
  <c r="U46" i="28"/>
  <c r="U45" i="28"/>
  <c r="U44" i="28"/>
  <c r="U43" i="28"/>
  <c r="U42" i="28"/>
  <c r="U41" i="28"/>
  <c r="U40" i="28"/>
  <c r="U39" i="28"/>
  <c r="U38" i="28"/>
  <c r="U37" i="28"/>
  <c r="U36" i="28"/>
  <c r="U35" i="28"/>
  <c r="U34" i="28"/>
  <c r="U33" i="28"/>
  <c r="U32" i="28"/>
  <c r="U31" i="28"/>
  <c r="U30" i="28"/>
  <c r="U29" i="28"/>
  <c r="U28" i="28"/>
  <c r="U27" i="28"/>
  <c r="U26" i="28"/>
  <c r="U25" i="28"/>
  <c r="U24" i="28"/>
  <c r="U23" i="28"/>
  <c r="U22" i="28"/>
  <c r="U21" i="28"/>
  <c r="U20" i="28"/>
  <c r="U19" i="28"/>
  <c r="U18" i="28"/>
  <c r="U17" i="28"/>
  <c r="U16" i="28"/>
  <c r="U15" i="28"/>
  <c r="U14" i="28"/>
  <c r="U13" i="28"/>
  <c r="U12" i="28"/>
  <c r="U11" i="28"/>
  <c r="U10" i="28"/>
  <c r="U9" i="28"/>
  <c r="U8" i="28"/>
  <c r="U7" i="28"/>
  <c r="U6" i="28"/>
  <c r="U5" i="28"/>
  <c r="U4" i="28"/>
  <c r="U3" i="28"/>
  <c r="U2" i="28"/>
  <c r="T2" i="28"/>
  <c r="K71" i="28"/>
  <c r="K70" i="28"/>
  <c r="K69" i="28"/>
  <c r="K68" i="28"/>
  <c r="K67" i="28"/>
  <c r="K66" i="28"/>
  <c r="K65" i="28"/>
  <c r="K64" i="28"/>
  <c r="K63" i="28"/>
  <c r="K62" i="28"/>
  <c r="K61" i="28"/>
  <c r="K60" i="28"/>
  <c r="K59" i="28"/>
  <c r="K58" i="28"/>
  <c r="K57" i="28"/>
  <c r="K56" i="28"/>
  <c r="K55" i="28"/>
  <c r="K54" i="28"/>
  <c r="K53" i="28"/>
  <c r="K52" i="28"/>
  <c r="K51" i="28"/>
  <c r="K50" i="28"/>
  <c r="K49" i="28"/>
  <c r="K48" i="28"/>
  <c r="K47" i="28"/>
  <c r="K46" i="28"/>
  <c r="K45" i="28"/>
  <c r="K44" i="28"/>
  <c r="K43" i="28"/>
  <c r="K42" i="28"/>
  <c r="K41" i="28"/>
  <c r="K40" i="28"/>
  <c r="K39" i="28"/>
  <c r="K38" i="28"/>
  <c r="K37" i="28"/>
  <c r="K36" i="28"/>
  <c r="K35" i="28"/>
  <c r="K34" i="28"/>
  <c r="K33" i="28"/>
  <c r="K32" i="28"/>
  <c r="K31" i="28"/>
  <c r="K30" i="28"/>
  <c r="K29" i="28"/>
  <c r="K28" i="28"/>
  <c r="K27" i="28"/>
  <c r="K26" i="28"/>
  <c r="K25" i="28"/>
  <c r="K24" i="28"/>
  <c r="K23" i="28"/>
  <c r="K22" i="28"/>
  <c r="K21" i="28"/>
  <c r="K20" i="28"/>
  <c r="K19" i="28"/>
  <c r="K18" i="28"/>
  <c r="K17" i="28"/>
  <c r="K16" i="28"/>
  <c r="K15" i="28"/>
  <c r="K14" i="28"/>
  <c r="K13" i="28"/>
  <c r="K12" i="28"/>
  <c r="K11" i="28"/>
  <c r="K10" i="28"/>
  <c r="K9" i="28"/>
  <c r="K8" i="28"/>
  <c r="K7" i="28"/>
  <c r="K6" i="28"/>
  <c r="K5" i="28"/>
  <c r="K4" i="28"/>
  <c r="K3" i="28"/>
  <c r="K2" i="28"/>
  <c r="J1" i="28"/>
  <c r="AF4" i="12"/>
  <c r="D3" i="12" l="1"/>
  <c r="D5" i="14"/>
  <c r="C7" i="14"/>
  <c r="C8" i="14"/>
  <c r="D6" i="14" l="1"/>
  <c r="D9" i="14" s="1"/>
  <c r="D17" i="14" s="1"/>
  <c r="C17" i="14" s="1"/>
  <c r="Q1" i="26"/>
  <c r="M354" i="26"/>
  <c r="L354" i="26"/>
  <c r="N354" i="26" s="1"/>
  <c r="L353" i="26"/>
  <c r="N353" i="26" s="1"/>
  <c r="M353" i="26"/>
  <c r="L346" i="26"/>
  <c r="N346" i="26" s="1"/>
  <c r="L345" i="26"/>
  <c r="N345" i="26" s="1"/>
  <c r="M346" i="26"/>
  <c r="M345" i="26"/>
  <c r="M304" i="26"/>
  <c r="L304" i="26"/>
  <c r="P304" i="26" s="1"/>
  <c r="M303" i="26"/>
  <c r="L303" i="26"/>
  <c r="O303" i="26" s="1"/>
  <c r="M302" i="26"/>
  <c r="L302" i="26"/>
  <c r="P302" i="26" s="1"/>
  <c r="L238" i="26"/>
  <c r="O238" i="26" s="1"/>
  <c r="L237" i="26"/>
  <c r="O237" i="26" s="1"/>
  <c r="L236" i="26"/>
  <c r="O236" i="26" s="1"/>
  <c r="M238" i="26"/>
  <c r="M237" i="26"/>
  <c r="M236" i="26"/>
  <c r="L219" i="26"/>
  <c r="N219" i="26" s="1"/>
  <c r="L218" i="26"/>
  <c r="N218" i="26" s="1"/>
  <c r="M219" i="26"/>
  <c r="M218" i="26"/>
  <c r="M250" i="27"/>
  <c r="L250" i="27"/>
  <c r="P250" i="27" s="1"/>
  <c r="M249" i="27"/>
  <c r="L249" i="27"/>
  <c r="P249" i="27" s="1"/>
  <c r="M248" i="27"/>
  <c r="L248" i="27"/>
  <c r="P248" i="27" s="1"/>
  <c r="M247" i="27"/>
  <c r="L247" i="27"/>
  <c r="P247" i="27" s="1"/>
  <c r="M246" i="27"/>
  <c r="L246" i="27"/>
  <c r="P246" i="27" s="1"/>
  <c r="M245" i="27"/>
  <c r="L245" i="27"/>
  <c r="P245" i="27" s="1"/>
  <c r="M244" i="27"/>
  <c r="L244" i="27"/>
  <c r="M243" i="27"/>
  <c r="L243" i="27"/>
  <c r="N243" i="27" s="1"/>
  <c r="M242" i="27"/>
  <c r="L242" i="27"/>
  <c r="P242" i="27" s="1"/>
  <c r="M241" i="27"/>
  <c r="L241" i="27"/>
  <c r="M240" i="27"/>
  <c r="L240" i="27"/>
  <c r="P240" i="27" s="1"/>
  <c r="M239" i="27"/>
  <c r="L239" i="27"/>
  <c r="O239" i="27" s="1"/>
  <c r="M238" i="27"/>
  <c r="L238" i="27"/>
  <c r="N238" i="27" s="1"/>
  <c r="M237" i="27"/>
  <c r="L237" i="27"/>
  <c r="O237" i="27" s="1"/>
  <c r="M236" i="27"/>
  <c r="L236" i="27"/>
  <c r="P236" i="27" s="1"/>
  <c r="M235" i="27"/>
  <c r="L235" i="27"/>
  <c r="P235" i="27" s="1"/>
  <c r="M234" i="27"/>
  <c r="L234" i="27"/>
  <c r="N234" i="27" s="1"/>
  <c r="M233" i="27"/>
  <c r="L233" i="27"/>
  <c r="P233" i="27" s="1"/>
  <c r="M232" i="27"/>
  <c r="L232" i="27"/>
  <c r="P232" i="27" s="1"/>
  <c r="M231" i="27"/>
  <c r="L231" i="27"/>
  <c r="N231" i="27" s="1"/>
  <c r="P230" i="27"/>
  <c r="O230" i="27"/>
  <c r="N230" i="27"/>
  <c r="M230" i="27"/>
  <c r="P229" i="27"/>
  <c r="O229" i="27"/>
  <c r="N229" i="27"/>
  <c r="M229" i="27"/>
  <c r="P228" i="27"/>
  <c r="O228" i="27"/>
  <c r="N228" i="27"/>
  <c r="M228" i="27"/>
  <c r="M227" i="27"/>
  <c r="L227" i="27"/>
  <c r="O227" i="27" s="1"/>
  <c r="M226" i="27"/>
  <c r="L226" i="27"/>
  <c r="P226" i="27" s="1"/>
  <c r="M225" i="27"/>
  <c r="L225" i="27"/>
  <c r="P225" i="27" s="1"/>
  <c r="M224" i="27"/>
  <c r="L224" i="27"/>
  <c r="P224" i="27" s="1"/>
  <c r="M223" i="27"/>
  <c r="L223" i="27"/>
  <c r="N223" i="27" s="1"/>
  <c r="M222" i="27"/>
  <c r="L222" i="27"/>
  <c r="P222" i="27" s="1"/>
  <c r="M221" i="27"/>
  <c r="L221" i="27"/>
  <c r="M220" i="27"/>
  <c r="L220" i="27"/>
  <c r="O220" i="27" s="1"/>
  <c r="M219" i="27"/>
  <c r="L219" i="27"/>
  <c r="P219" i="27" s="1"/>
  <c r="M218" i="27"/>
  <c r="L218" i="27"/>
  <c r="M217" i="27"/>
  <c r="L217" i="27"/>
  <c r="P217" i="27" s="1"/>
  <c r="M216" i="27"/>
  <c r="L216" i="27"/>
  <c r="O216" i="27" s="1"/>
  <c r="M215" i="27"/>
  <c r="L215" i="27"/>
  <c r="M214" i="27"/>
  <c r="L214" i="27"/>
  <c r="N214" i="27" s="1"/>
  <c r="M213" i="27"/>
  <c r="L213" i="27"/>
  <c r="P213" i="27" s="1"/>
  <c r="M212" i="27"/>
  <c r="L212" i="27"/>
  <c r="P212" i="27" s="1"/>
  <c r="M211" i="27"/>
  <c r="L211" i="27"/>
  <c r="O211" i="27" s="1"/>
  <c r="M210" i="27"/>
  <c r="L210" i="27"/>
  <c r="P210" i="27" s="1"/>
  <c r="M209" i="27"/>
  <c r="L209" i="27"/>
  <c r="O209" i="27" s="1"/>
  <c r="M208" i="27"/>
  <c r="L208" i="27"/>
  <c r="O208" i="27" s="1"/>
  <c r="M207" i="27"/>
  <c r="L207" i="27"/>
  <c r="M206" i="27"/>
  <c r="L206" i="27"/>
  <c r="O206" i="27" s="1"/>
  <c r="M205" i="27"/>
  <c r="L205" i="27"/>
  <c r="N205" i="27" s="1"/>
  <c r="M204" i="27"/>
  <c r="L204" i="27"/>
  <c r="M203" i="27"/>
  <c r="L203" i="27"/>
  <c r="P203" i="27" s="1"/>
  <c r="M202" i="27"/>
  <c r="L202" i="27"/>
  <c r="O202" i="27" s="1"/>
  <c r="M201" i="27"/>
  <c r="L201" i="27"/>
  <c r="M200" i="27"/>
  <c r="L200" i="27"/>
  <c r="N200" i="27" s="1"/>
  <c r="M199" i="27"/>
  <c r="L199" i="27"/>
  <c r="P199" i="27" s="1"/>
  <c r="M198" i="27"/>
  <c r="L198" i="27"/>
  <c r="P198" i="27" s="1"/>
  <c r="M197" i="27"/>
  <c r="L197" i="27"/>
  <c r="N197" i="27" s="1"/>
  <c r="M196" i="27"/>
  <c r="L196" i="27"/>
  <c r="P196" i="27" s="1"/>
  <c r="M195" i="27"/>
  <c r="L195" i="27"/>
  <c r="O195" i="27" s="1"/>
  <c r="M194" i="27"/>
  <c r="L194" i="27"/>
  <c r="N194" i="27" s="1"/>
  <c r="M193" i="27"/>
  <c r="L193" i="27"/>
  <c r="M192" i="27"/>
  <c r="L192" i="27"/>
  <c r="P192" i="27" s="1"/>
  <c r="M191" i="27"/>
  <c r="L191" i="27"/>
  <c r="P191" i="27" s="1"/>
  <c r="M190" i="27"/>
  <c r="L190" i="27"/>
  <c r="M189" i="27"/>
  <c r="L189" i="27"/>
  <c r="O189" i="27" s="1"/>
  <c r="M188" i="27"/>
  <c r="L188" i="27"/>
  <c r="O188" i="27" s="1"/>
  <c r="M187" i="27"/>
  <c r="L187" i="27"/>
  <c r="M186" i="27"/>
  <c r="L186" i="27"/>
  <c r="P186" i="27" s="1"/>
  <c r="M185" i="27"/>
  <c r="L185" i="27"/>
  <c r="N185" i="27" s="1"/>
  <c r="M184" i="27"/>
  <c r="L184" i="27"/>
  <c r="P184" i="27" s="1"/>
  <c r="M183" i="27"/>
  <c r="L183" i="27"/>
  <c r="P183" i="27" s="1"/>
  <c r="M182" i="27"/>
  <c r="L182" i="27"/>
  <c r="P182" i="27" s="1"/>
  <c r="M181" i="27"/>
  <c r="L181" i="27"/>
  <c r="P181" i="27" s="1"/>
  <c r="M180" i="27"/>
  <c r="L180" i="27"/>
  <c r="N180" i="27" s="1"/>
  <c r="M179" i="27"/>
  <c r="L179" i="27"/>
  <c r="M178" i="27"/>
  <c r="L178" i="27"/>
  <c r="N178" i="27" s="1"/>
  <c r="M177" i="27"/>
  <c r="L177" i="27"/>
  <c r="N177" i="27" s="1"/>
  <c r="M176" i="27"/>
  <c r="L176" i="27"/>
  <c r="M175" i="27"/>
  <c r="L175" i="27"/>
  <c r="P175" i="27" s="1"/>
  <c r="M174" i="27"/>
  <c r="L174" i="27"/>
  <c r="O174" i="27" s="1"/>
  <c r="M173" i="27"/>
  <c r="L173" i="27"/>
  <c r="M172" i="27"/>
  <c r="L172" i="27"/>
  <c r="N172" i="27" s="1"/>
  <c r="M171" i="27"/>
  <c r="L171" i="27"/>
  <c r="P171" i="27" s="1"/>
  <c r="M170" i="27"/>
  <c r="L170" i="27"/>
  <c r="P170" i="27" s="1"/>
  <c r="M169" i="27"/>
  <c r="L169" i="27"/>
  <c r="P169" i="27" s="1"/>
  <c r="M168" i="27"/>
  <c r="L168" i="27"/>
  <c r="P168" i="27" s="1"/>
  <c r="M167" i="27"/>
  <c r="L167" i="27"/>
  <c r="N167" i="27" s="1"/>
  <c r="M166" i="27"/>
  <c r="L166" i="27"/>
  <c r="P166" i="27" s="1"/>
  <c r="M165" i="27"/>
  <c r="L165" i="27"/>
  <c r="M164" i="27"/>
  <c r="L164" i="27"/>
  <c r="O164" i="27" s="1"/>
  <c r="M163" i="27"/>
  <c r="L163" i="27"/>
  <c r="O163" i="27" s="1"/>
  <c r="M162" i="27"/>
  <c r="L162" i="27"/>
  <c r="M161" i="27"/>
  <c r="L161" i="27"/>
  <c r="O161" i="27" s="1"/>
  <c r="M160" i="27"/>
  <c r="L160" i="27"/>
  <c r="O160" i="27" s="1"/>
  <c r="M159" i="27"/>
  <c r="L159" i="27"/>
  <c r="M158" i="27"/>
  <c r="L158" i="27"/>
  <c r="N158" i="27" s="1"/>
  <c r="M157" i="27"/>
  <c r="L157" i="27"/>
  <c r="P157" i="27" s="1"/>
  <c r="M156" i="27"/>
  <c r="L156" i="27"/>
  <c r="P156" i="27" s="1"/>
  <c r="M155" i="27"/>
  <c r="L155" i="27"/>
  <c r="O155" i="27" s="1"/>
  <c r="M154" i="27"/>
  <c r="L154" i="27"/>
  <c r="P154" i="27" s="1"/>
  <c r="M153" i="27"/>
  <c r="L153" i="27"/>
  <c r="O153" i="27" s="1"/>
  <c r="M152" i="27"/>
  <c r="L152" i="27"/>
  <c r="P152" i="27" s="1"/>
  <c r="M151" i="27"/>
  <c r="L151" i="27"/>
  <c r="M150" i="27"/>
  <c r="L150" i="27"/>
  <c r="P150" i="27" s="1"/>
  <c r="M149" i="27"/>
  <c r="L149" i="27"/>
  <c r="P149" i="27" s="1"/>
  <c r="M148" i="27"/>
  <c r="L148" i="27"/>
  <c r="M147" i="27"/>
  <c r="L147" i="27"/>
  <c r="N147" i="27" s="1"/>
  <c r="M146" i="27"/>
  <c r="L146" i="27"/>
  <c r="O146" i="27" s="1"/>
  <c r="M145" i="27"/>
  <c r="L145" i="27"/>
  <c r="M144" i="27"/>
  <c r="L144" i="27"/>
  <c r="O144" i="27" s="1"/>
  <c r="M143" i="27"/>
  <c r="L143" i="27"/>
  <c r="O143" i="27" s="1"/>
  <c r="M142" i="27"/>
  <c r="L142" i="27"/>
  <c r="P142" i="27" s="1"/>
  <c r="M141" i="27"/>
  <c r="L141" i="27"/>
  <c r="O141" i="27" s="1"/>
  <c r="M140" i="27"/>
  <c r="L140" i="27"/>
  <c r="P140" i="27" s="1"/>
  <c r="M139" i="27"/>
  <c r="L139" i="27"/>
  <c r="P139" i="27" s="1"/>
  <c r="M138" i="27"/>
  <c r="L138" i="27"/>
  <c r="N138" i="27" s="1"/>
  <c r="M137" i="27"/>
  <c r="L137" i="27"/>
  <c r="M136" i="27"/>
  <c r="L136" i="27"/>
  <c r="P136" i="27" s="1"/>
  <c r="M135" i="27"/>
  <c r="L135" i="27"/>
  <c r="N135" i="27" s="1"/>
  <c r="M134" i="27"/>
  <c r="L134" i="27"/>
  <c r="M133" i="27"/>
  <c r="L133" i="27"/>
  <c r="N133" i="27" s="1"/>
  <c r="M132" i="27"/>
  <c r="L132" i="27"/>
  <c r="O132" i="27" s="1"/>
  <c r="M131" i="27"/>
  <c r="L131" i="27"/>
  <c r="M130" i="27"/>
  <c r="L130" i="27"/>
  <c r="P130" i="27" s="1"/>
  <c r="M129" i="27"/>
  <c r="L129" i="27"/>
  <c r="P129" i="27" s="1"/>
  <c r="M128" i="27"/>
  <c r="L128" i="27"/>
  <c r="P128" i="27" s="1"/>
  <c r="M127" i="27"/>
  <c r="L127" i="27"/>
  <c r="P127" i="27" s="1"/>
  <c r="M126" i="27"/>
  <c r="L126" i="27"/>
  <c r="P126" i="27" s="1"/>
  <c r="M125" i="27"/>
  <c r="L125" i="27"/>
  <c r="P125" i="27" s="1"/>
  <c r="M124" i="27"/>
  <c r="L124" i="27"/>
  <c r="P124" i="27" s="1"/>
  <c r="L123" i="27"/>
  <c r="P123" i="27" s="1"/>
  <c r="L122" i="27"/>
  <c r="P122" i="27" s="1"/>
  <c r="L121" i="27"/>
  <c r="P121" i="27" s="1"/>
  <c r="M120" i="27"/>
  <c r="L120" i="27"/>
  <c r="O120" i="27" s="1"/>
  <c r="M119" i="27"/>
  <c r="L119" i="27"/>
  <c r="P119" i="27" s="1"/>
  <c r="M118" i="27"/>
  <c r="L118" i="27"/>
  <c r="O118" i="27" s="1"/>
  <c r="M117" i="27"/>
  <c r="L117" i="27"/>
  <c r="P117" i="27" s="1"/>
  <c r="M116" i="27"/>
  <c r="L116" i="27"/>
  <c r="P116" i="27" s="1"/>
  <c r="M115" i="27"/>
  <c r="L115" i="27"/>
  <c r="N115" i="27" s="1"/>
  <c r="M114" i="27"/>
  <c r="L114" i="27"/>
  <c r="M113" i="27"/>
  <c r="L113" i="27"/>
  <c r="P113" i="27" s="1"/>
  <c r="M112" i="27"/>
  <c r="L112" i="27"/>
  <c r="N112" i="27" s="1"/>
  <c r="M111" i="27"/>
  <c r="L111" i="27"/>
  <c r="M110" i="27"/>
  <c r="L110" i="27"/>
  <c r="N110" i="27" s="1"/>
  <c r="M109" i="27"/>
  <c r="L109" i="27"/>
  <c r="M108" i="27"/>
  <c r="L108" i="27"/>
  <c r="N108" i="27" s="1"/>
  <c r="M107" i="27"/>
  <c r="L107" i="27"/>
  <c r="O107" i="27" s="1"/>
  <c r="M106" i="27"/>
  <c r="L106" i="27"/>
  <c r="P106" i="27" s="1"/>
  <c r="M105" i="27"/>
  <c r="L105" i="27"/>
  <c r="P105" i="27" s="1"/>
  <c r="M104" i="27"/>
  <c r="L104" i="27"/>
  <c r="O104" i="27" s="1"/>
  <c r="M103" i="27"/>
  <c r="L103" i="27"/>
  <c r="P103" i="27" s="1"/>
  <c r="M102" i="27"/>
  <c r="L102" i="27"/>
  <c r="O102" i="27" s="1"/>
  <c r="M101" i="27"/>
  <c r="L101" i="27"/>
  <c r="P101" i="27" s="1"/>
  <c r="M100" i="27"/>
  <c r="L100" i="27"/>
  <c r="M99" i="27"/>
  <c r="L99" i="27"/>
  <c r="P99" i="27" s="1"/>
  <c r="M98" i="27"/>
  <c r="L98" i="27"/>
  <c r="N98" i="27" s="1"/>
  <c r="M97" i="27"/>
  <c r="L97" i="27"/>
  <c r="M96" i="27"/>
  <c r="L96" i="27"/>
  <c r="O96" i="27" s="1"/>
  <c r="M95" i="27"/>
  <c r="L95" i="27"/>
  <c r="P95" i="27" s="1"/>
  <c r="M94" i="27"/>
  <c r="L94" i="27"/>
  <c r="M93" i="27"/>
  <c r="L93" i="27"/>
  <c r="P93" i="27" s="1"/>
  <c r="M92" i="27"/>
  <c r="L92" i="27"/>
  <c r="O92" i="27" s="1"/>
  <c r="M91" i="27"/>
  <c r="L91" i="27"/>
  <c r="P91" i="27" s="1"/>
  <c r="M90" i="27"/>
  <c r="L90" i="27"/>
  <c r="O90" i="27" s="1"/>
  <c r="M89" i="27"/>
  <c r="L89" i="27"/>
  <c r="P89" i="27" s="1"/>
  <c r="M88" i="27"/>
  <c r="L88" i="27"/>
  <c r="O88" i="27" s="1"/>
  <c r="M87" i="27"/>
  <c r="L87" i="27"/>
  <c r="N87" i="27" s="1"/>
  <c r="M86" i="27"/>
  <c r="L86" i="27"/>
  <c r="M85" i="27"/>
  <c r="L85" i="27"/>
  <c r="N85" i="27" s="1"/>
  <c r="M84" i="27"/>
  <c r="L84" i="27"/>
  <c r="N84" i="27" s="1"/>
  <c r="M83" i="27"/>
  <c r="L83" i="27"/>
  <c r="P83" i="27" s="1"/>
  <c r="M82" i="27"/>
  <c r="L82" i="27"/>
  <c r="O82" i="27" s="1"/>
  <c r="M81" i="27"/>
  <c r="L81" i="27"/>
  <c r="M80" i="27"/>
  <c r="L80" i="27"/>
  <c r="M79" i="27"/>
  <c r="L79" i="27"/>
  <c r="P79" i="27" s="1"/>
  <c r="M78" i="27"/>
  <c r="L78" i="27"/>
  <c r="O78" i="27" s="1"/>
  <c r="M77" i="27"/>
  <c r="L77" i="27"/>
  <c r="P77" i="27" s="1"/>
  <c r="M76" i="27"/>
  <c r="L76" i="27"/>
  <c r="O76" i="27" s="1"/>
  <c r="M75" i="27"/>
  <c r="L75" i="27"/>
  <c r="N75" i="27" s="1"/>
  <c r="M74" i="27"/>
  <c r="L74" i="27"/>
  <c r="P74" i="27" s="1"/>
  <c r="M73" i="27"/>
  <c r="L73" i="27"/>
  <c r="O73" i="27" s="1"/>
  <c r="M72" i="27"/>
  <c r="L72" i="27"/>
  <c r="O72" i="27" s="1"/>
  <c r="M71" i="27"/>
  <c r="L71" i="27"/>
  <c r="P71" i="27" s="1"/>
  <c r="M70" i="27"/>
  <c r="L70" i="27"/>
  <c r="N70" i="27" s="1"/>
  <c r="M69" i="27"/>
  <c r="L69" i="27"/>
  <c r="O69" i="27" s="1"/>
  <c r="M68" i="27"/>
  <c r="L68" i="27"/>
  <c r="P68" i="27" s="1"/>
  <c r="M67" i="27"/>
  <c r="L67" i="27"/>
  <c r="M66" i="27"/>
  <c r="L66" i="27"/>
  <c r="P66" i="27" s="1"/>
  <c r="M65" i="27"/>
  <c r="L65" i="27"/>
  <c r="N65" i="27" s="1"/>
  <c r="M64" i="27"/>
  <c r="L64" i="27"/>
  <c r="P64" i="27" s="1"/>
  <c r="M63" i="27"/>
  <c r="L63" i="27"/>
  <c r="P63" i="27" s="1"/>
  <c r="M62" i="27"/>
  <c r="L62" i="27"/>
  <c r="P62" i="27" s="1"/>
  <c r="M61" i="27"/>
  <c r="L61" i="27"/>
  <c r="N61" i="27" s="1"/>
  <c r="M60" i="27"/>
  <c r="L60" i="27"/>
  <c r="P60" i="27" s="1"/>
  <c r="M59" i="27"/>
  <c r="L59" i="27"/>
  <c r="O59" i="27" s="1"/>
  <c r="M58" i="27"/>
  <c r="L58" i="27"/>
  <c r="M57" i="27"/>
  <c r="L57" i="27"/>
  <c r="N57" i="27" s="1"/>
  <c r="M56" i="27"/>
  <c r="L56" i="27"/>
  <c r="P56" i="27" s="1"/>
  <c r="M55" i="27"/>
  <c r="L55" i="27"/>
  <c r="O55" i="27" s="1"/>
  <c r="M54" i="27"/>
  <c r="L54" i="27"/>
  <c r="O54" i="27" s="1"/>
  <c r="M53" i="27"/>
  <c r="L53" i="27"/>
  <c r="M52" i="27"/>
  <c r="L52" i="27"/>
  <c r="P52" i="27" s="1"/>
  <c r="M51" i="27"/>
  <c r="L51" i="27"/>
  <c r="N51" i="27" s="1"/>
  <c r="M50" i="27"/>
  <c r="L50" i="27"/>
  <c r="P50" i="27" s="1"/>
  <c r="M49" i="27"/>
  <c r="L49" i="27"/>
  <c r="P49" i="27" s="1"/>
  <c r="M48" i="27"/>
  <c r="L48" i="27"/>
  <c r="N48" i="27" s="1"/>
  <c r="M47" i="27"/>
  <c r="L47" i="27"/>
  <c r="M46" i="27"/>
  <c r="L46" i="27"/>
  <c r="O46" i="27" s="1"/>
  <c r="M45" i="27"/>
  <c r="L45" i="27"/>
  <c r="N45" i="27" s="1"/>
  <c r="M44" i="27"/>
  <c r="L44" i="27"/>
  <c r="M43" i="27"/>
  <c r="L43" i="27"/>
  <c r="N43" i="27" s="1"/>
  <c r="M42" i="27"/>
  <c r="L42" i="27"/>
  <c r="N42" i="27" s="1"/>
  <c r="M41" i="27"/>
  <c r="L41" i="27"/>
  <c r="O41" i="27" s="1"/>
  <c r="M40" i="27"/>
  <c r="L40" i="27"/>
  <c r="P40" i="27" s="1"/>
  <c r="M39" i="27"/>
  <c r="L39" i="27"/>
  <c r="M38" i="27"/>
  <c r="L38" i="27"/>
  <c r="P38" i="27" s="1"/>
  <c r="M37" i="27"/>
  <c r="L37" i="27"/>
  <c r="O37" i="27" s="1"/>
  <c r="M36" i="27"/>
  <c r="L36" i="27"/>
  <c r="N36" i="27" s="1"/>
  <c r="M35" i="27"/>
  <c r="L35" i="27"/>
  <c r="P35" i="27" s="1"/>
  <c r="M34" i="27"/>
  <c r="L34" i="27"/>
  <c r="N34" i="27" s="1"/>
  <c r="M33" i="27"/>
  <c r="L33" i="27"/>
  <c r="M32" i="27"/>
  <c r="L32" i="27"/>
  <c r="N32" i="27" s="1"/>
  <c r="M31" i="27"/>
  <c r="L31" i="27"/>
  <c r="P31" i="27" s="1"/>
  <c r="M30" i="27"/>
  <c r="L30" i="27"/>
  <c r="M29" i="27"/>
  <c r="L29" i="27"/>
  <c r="P29" i="27" s="1"/>
  <c r="M28" i="27"/>
  <c r="L28" i="27"/>
  <c r="N28" i="27" s="1"/>
  <c r="M27" i="27"/>
  <c r="L27" i="27"/>
  <c r="O27" i="27" s="1"/>
  <c r="M26" i="27"/>
  <c r="L26" i="27"/>
  <c r="P26" i="27" s="1"/>
  <c r="M25" i="27"/>
  <c r="L25" i="27"/>
  <c r="M24" i="27"/>
  <c r="L24" i="27"/>
  <c r="P24" i="27" s="1"/>
  <c r="M23" i="27"/>
  <c r="L23" i="27"/>
  <c r="P23" i="27" s="1"/>
  <c r="M22" i="27"/>
  <c r="L22" i="27"/>
  <c r="P22" i="27" s="1"/>
  <c r="M21" i="27"/>
  <c r="L21" i="27"/>
  <c r="N21" i="27" s="1"/>
  <c r="M20" i="27"/>
  <c r="L20" i="27"/>
  <c r="P20" i="27" s="1"/>
  <c r="M19" i="27"/>
  <c r="L19" i="27"/>
  <c r="M18" i="27"/>
  <c r="L18" i="27"/>
  <c r="P18" i="27" s="1"/>
  <c r="M17" i="27"/>
  <c r="L17" i="27"/>
  <c r="P17" i="27" s="1"/>
  <c r="M16" i="27"/>
  <c r="L16" i="27"/>
  <c r="O16" i="27" s="1"/>
  <c r="M15" i="27"/>
  <c r="L15" i="27"/>
  <c r="P15" i="27" s="1"/>
  <c r="M14" i="27"/>
  <c r="L14" i="27"/>
  <c r="P14" i="27" s="1"/>
  <c r="M13" i="27"/>
  <c r="L13" i="27"/>
  <c r="O13" i="27" s="1"/>
  <c r="M12" i="27"/>
  <c r="L12" i="27"/>
  <c r="N12" i="27" s="1"/>
  <c r="M11" i="27"/>
  <c r="L11" i="27"/>
  <c r="P11" i="27" s="1"/>
  <c r="M10" i="27"/>
  <c r="L10" i="27"/>
  <c r="P10" i="27" s="1"/>
  <c r="M9" i="27"/>
  <c r="L9" i="27"/>
  <c r="N9" i="27" s="1"/>
  <c r="M8" i="27"/>
  <c r="L8" i="27"/>
  <c r="O8" i="27" s="1"/>
  <c r="M7" i="27"/>
  <c r="L7" i="27"/>
  <c r="O7" i="27" s="1"/>
  <c r="M6" i="27"/>
  <c r="L6" i="27"/>
  <c r="O6" i="27" s="1"/>
  <c r="M5" i="27"/>
  <c r="L5" i="27"/>
  <c r="M4" i="27"/>
  <c r="L4" i="27"/>
  <c r="O4" i="27" s="1"/>
  <c r="M3" i="27"/>
  <c r="L3" i="27"/>
  <c r="N3" i="27" s="1"/>
  <c r="C11" i="14" l="1"/>
  <c r="F12" i="14" s="1"/>
  <c r="N5" i="27"/>
  <c r="L1" i="27"/>
  <c r="M1" i="27"/>
  <c r="P98" i="27"/>
  <c r="P59" i="27"/>
  <c r="N64" i="27"/>
  <c r="P76" i="27"/>
  <c r="P115" i="27"/>
  <c r="O157" i="27"/>
  <c r="O197" i="27"/>
  <c r="P6" i="27"/>
  <c r="P174" i="27"/>
  <c r="P195" i="27"/>
  <c r="P208" i="27"/>
  <c r="P87" i="27"/>
  <c r="O234" i="27"/>
  <c r="O115" i="27"/>
  <c r="N157" i="27"/>
  <c r="O64" i="27"/>
  <c r="N76" i="27"/>
  <c r="O87" i="27"/>
  <c r="P120" i="27"/>
  <c r="O98" i="27"/>
  <c r="N236" i="27"/>
  <c r="N62" i="27"/>
  <c r="P73" i="27"/>
  <c r="N78" i="27"/>
  <c r="P104" i="27"/>
  <c r="P135" i="27"/>
  <c r="O199" i="27"/>
  <c r="P223" i="27"/>
  <c r="P227" i="27"/>
  <c r="O236" i="27"/>
  <c r="P163" i="27"/>
  <c r="P82" i="27"/>
  <c r="P146" i="27"/>
  <c r="P36" i="27"/>
  <c r="N104" i="27"/>
  <c r="P180" i="27"/>
  <c r="O43" i="27"/>
  <c r="O135" i="27"/>
  <c r="N199" i="27"/>
  <c r="N247" i="27"/>
  <c r="P8" i="27"/>
  <c r="O62" i="27"/>
  <c r="N124" i="27"/>
  <c r="O205" i="27"/>
  <c r="O14" i="27"/>
  <c r="P78" i="27"/>
  <c r="P27" i="27"/>
  <c r="P118" i="27"/>
  <c r="P143" i="27"/>
  <c r="P155" i="27"/>
  <c r="N166" i="27"/>
  <c r="O34" i="27"/>
  <c r="O45" i="27"/>
  <c r="N102" i="27"/>
  <c r="O166" i="27"/>
  <c r="O178" i="27"/>
  <c r="P206" i="27"/>
  <c r="N225" i="27"/>
  <c r="O124" i="27"/>
  <c r="N182" i="27"/>
  <c r="P161" i="27"/>
  <c r="P178" i="27"/>
  <c r="O225" i="27"/>
  <c r="O36" i="27"/>
  <c r="O20" i="27"/>
  <c r="O105" i="27"/>
  <c r="P45" i="27"/>
  <c r="O22" i="27"/>
  <c r="P102" i="27"/>
  <c r="N245" i="27"/>
  <c r="N168" i="27"/>
  <c r="O180" i="27"/>
  <c r="N227" i="27"/>
  <c r="P141" i="27"/>
  <c r="O223" i="27"/>
  <c r="P43" i="27"/>
  <c r="N14" i="27"/>
  <c r="N155" i="27"/>
  <c r="P205" i="27"/>
  <c r="P90" i="27"/>
  <c r="N22" i="27"/>
  <c r="P34" i="27"/>
  <c r="P92" i="27"/>
  <c r="N126" i="27"/>
  <c r="P197" i="27"/>
  <c r="P202" i="27"/>
  <c r="P234" i="27"/>
  <c r="P239" i="27"/>
  <c r="O245" i="27"/>
  <c r="N17" i="27"/>
  <c r="O133" i="27"/>
  <c r="P160" i="27"/>
  <c r="N211" i="27"/>
  <c r="O3" i="27"/>
  <c r="O17" i="27"/>
  <c r="O48" i="27"/>
  <c r="O138" i="27"/>
  <c r="P164" i="27"/>
  <c r="O177" i="27"/>
  <c r="O194" i="27"/>
  <c r="P3" i="27"/>
  <c r="P21" i="27"/>
  <c r="N31" i="27"/>
  <c r="O40" i="27"/>
  <c r="P48" i="27"/>
  <c r="O106" i="27"/>
  <c r="N116" i="27"/>
  <c r="O119" i="27"/>
  <c r="N129" i="27"/>
  <c r="P138" i="27"/>
  <c r="P147" i="27"/>
  <c r="N152" i="27"/>
  <c r="N169" i="27"/>
  <c r="P177" i="27"/>
  <c r="P185" i="27"/>
  <c r="N191" i="27"/>
  <c r="P194" i="27"/>
  <c r="P211" i="27"/>
  <c r="P216" i="27"/>
  <c r="P220" i="27"/>
  <c r="N224" i="27"/>
  <c r="O231" i="27"/>
  <c r="N240" i="27"/>
  <c r="N248" i="27"/>
  <c r="N40" i="27"/>
  <c r="P85" i="27"/>
  <c r="N106" i="27"/>
  <c r="N119" i="27"/>
  <c r="P133" i="27"/>
  <c r="O147" i="27"/>
  <c r="O185" i="27"/>
  <c r="N8" i="27"/>
  <c r="O31" i="27"/>
  <c r="N59" i="27"/>
  <c r="N73" i="27"/>
  <c r="N82" i="27"/>
  <c r="N90" i="27"/>
  <c r="N103" i="27"/>
  <c r="O112" i="27"/>
  <c r="O116" i="27"/>
  <c r="O129" i="27"/>
  <c r="N143" i="27"/>
  <c r="O152" i="27"/>
  <c r="N161" i="27"/>
  <c r="O169" i="27"/>
  <c r="O191" i="27"/>
  <c r="N208" i="27"/>
  <c r="P231" i="27"/>
  <c r="O240" i="27"/>
  <c r="O248" i="27"/>
  <c r="N220" i="27"/>
  <c r="O243" i="27"/>
  <c r="O21" i="27"/>
  <c r="P243" i="27"/>
  <c r="N27" i="27"/>
  <c r="P112" i="27"/>
  <c r="N89" i="27"/>
  <c r="N50" i="27"/>
  <c r="N101" i="27"/>
  <c r="N117" i="27"/>
  <c r="N140" i="27"/>
  <c r="N149" i="27"/>
  <c r="N175" i="27"/>
  <c r="N183" i="27"/>
  <c r="N192" i="27"/>
  <c r="N213" i="27"/>
  <c r="N222" i="27"/>
  <c r="O85" i="27"/>
  <c r="O28" i="27"/>
  <c r="O42" i="27"/>
  <c r="O50" i="27"/>
  <c r="N56" i="27"/>
  <c r="O70" i="27"/>
  <c r="O101" i="27"/>
  <c r="N122" i="27"/>
  <c r="O149" i="27"/>
  <c r="O175" i="27"/>
  <c r="O183" i="27"/>
  <c r="O192" i="27"/>
  <c r="N196" i="27"/>
  <c r="P209" i="27"/>
  <c r="O213" i="27"/>
  <c r="O222" i="27"/>
  <c r="N233" i="27"/>
  <c r="N20" i="27"/>
  <c r="P28" i="27"/>
  <c r="P42" i="27"/>
  <c r="P46" i="27"/>
  <c r="O56" i="27"/>
  <c r="P70" i="27"/>
  <c r="N127" i="27"/>
  <c r="N154" i="27"/>
  <c r="N171" i="27"/>
  <c r="P188" i="27"/>
  <c r="N219" i="27"/>
  <c r="N242" i="27"/>
  <c r="O65" i="27"/>
  <c r="O84" i="27"/>
  <c r="N92" i="27"/>
  <c r="N118" i="27"/>
  <c r="O123" i="27"/>
  <c r="O127" i="27"/>
  <c r="N141" i="27"/>
  <c r="N163" i="27"/>
  <c r="O171" i="27"/>
  <c r="N206" i="27"/>
  <c r="O219" i="27"/>
  <c r="O242" i="27"/>
  <c r="N6" i="27"/>
  <c r="P65" i="27"/>
  <c r="P84" i="27"/>
  <c r="P88" i="27"/>
  <c r="N105" i="27"/>
  <c r="P132" i="27"/>
  <c r="N210" i="27"/>
  <c r="P345" i="26"/>
  <c r="P354" i="26"/>
  <c r="O354" i="26"/>
  <c r="P353" i="26"/>
  <c r="O353" i="26"/>
  <c r="P237" i="26"/>
  <c r="O218" i="26"/>
  <c r="P303" i="26"/>
  <c r="O345" i="26"/>
  <c r="O304" i="26"/>
  <c r="P346" i="26"/>
  <c r="O346" i="26"/>
  <c r="N304" i="26"/>
  <c r="N303" i="26"/>
  <c r="N302" i="26"/>
  <c r="O302" i="26"/>
  <c r="P236" i="26"/>
  <c r="P218" i="26"/>
  <c r="N238" i="26"/>
  <c r="N236" i="26"/>
  <c r="O219" i="26"/>
  <c r="N237" i="26"/>
  <c r="P238" i="26"/>
  <c r="P219" i="26"/>
  <c r="O53" i="27"/>
  <c r="N53" i="27"/>
  <c r="P47" i="27"/>
  <c r="O47" i="27"/>
  <c r="O109" i="27"/>
  <c r="N109" i="27"/>
  <c r="O165" i="27"/>
  <c r="P165" i="27"/>
  <c r="N165" i="27"/>
  <c r="N18" i="27"/>
  <c r="N37" i="27"/>
  <c r="P44" i="27"/>
  <c r="N44" i="27"/>
  <c r="N69" i="27"/>
  <c r="P86" i="27"/>
  <c r="N86" i="27"/>
  <c r="N130" i="27"/>
  <c r="P134" i="27"/>
  <c r="O134" i="27"/>
  <c r="N134" i="27"/>
  <c r="P148" i="27"/>
  <c r="O148" i="27"/>
  <c r="N148" i="27"/>
  <c r="O179" i="27"/>
  <c r="P179" i="27"/>
  <c r="N179" i="27"/>
  <c r="N189" i="27"/>
  <c r="N15" i="27"/>
  <c r="O18" i="27"/>
  <c r="O24" i="27"/>
  <c r="N63" i="27"/>
  <c r="P69" i="27"/>
  <c r="N96" i="27"/>
  <c r="O130" i="27"/>
  <c r="O193" i="27"/>
  <c r="P193" i="27"/>
  <c r="N193" i="27"/>
  <c r="N203" i="27"/>
  <c r="P207" i="27"/>
  <c r="O207" i="27"/>
  <c r="N207" i="27"/>
  <c r="N217" i="27"/>
  <c r="O12" i="27"/>
  <c r="O15" i="27"/>
  <c r="P37" i="27"/>
  <c r="O44" i="27"/>
  <c r="N60" i="27"/>
  <c r="O63" i="27"/>
  <c r="N79" i="27"/>
  <c r="O86" i="27"/>
  <c r="O113" i="27"/>
  <c r="O158" i="27"/>
  <c r="P176" i="27"/>
  <c r="O176" i="27"/>
  <c r="N176" i="27"/>
  <c r="P189" i="27"/>
  <c r="O203" i="27"/>
  <c r="O217" i="27"/>
  <c r="O221" i="27"/>
  <c r="P221" i="27"/>
  <c r="N221" i="27"/>
  <c r="P12" i="27"/>
  <c r="P19" i="27"/>
  <c r="O19" i="27"/>
  <c r="N41" i="27"/>
  <c r="O60" i="27"/>
  <c r="O66" i="27"/>
  <c r="O79" i="27"/>
  <c r="P100" i="27"/>
  <c r="N100" i="27"/>
  <c r="P131" i="27"/>
  <c r="O131" i="27"/>
  <c r="P145" i="27"/>
  <c r="O145" i="27"/>
  <c r="P158" i="27"/>
  <c r="O172" i="27"/>
  <c r="N186" i="27"/>
  <c r="N35" i="27"/>
  <c r="P41" i="27"/>
  <c r="O57" i="27"/>
  <c r="O67" i="27"/>
  <c r="N67" i="27"/>
  <c r="O97" i="27"/>
  <c r="N97" i="27"/>
  <c r="O114" i="27"/>
  <c r="P114" i="27"/>
  <c r="N114" i="27"/>
  <c r="N121" i="27"/>
  <c r="P159" i="27"/>
  <c r="O159" i="27"/>
  <c r="P172" i="27"/>
  <c r="O186" i="27"/>
  <c r="P237" i="27"/>
  <c r="N19" i="27"/>
  <c r="O35" i="27"/>
  <c r="P54" i="27"/>
  <c r="P80" i="27"/>
  <c r="O80" i="27"/>
  <c r="O93" i="27"/>
  <c r="O100" i="27"/>
  <c r="O110" i="27"/>
  <c r="O121" i="27"/>
  <c r="N128" i="27"/>
  <c r="N142" i="27"/>
  <c r="P173" i="27"/>
  <c r="O173" i="27"/>
  <c r="O200" i="27"/>
  <c r="O214" i="27"/>
  <c r="N13" i="27"/>
  <c r="N29" i="27"/>
  <c r="O32" i="27"/>
  <c r="O38" i="27"/>
  <c r="O51" i="27"/>
  <c r="P58" i="27"/>
  <c r="N58" i="27"/>
  <c r="P67" i="27"/>
  <c r="N77" i="27"/>
  <c r="P97" i="27"/>
  <c r="P110" i="27"/>
  <c r="N125" i="27"/>
  <c r="O128" i="27"/>
  <c r="N139" i="27"/>
  <c r="O142" i="27"/>
  <c r="N156" i="27"/>
  <c r="N159" i="27"/>
  <c r="P187" i="27"/>
  <c r="O187" i="27"/>
  <c r="P200" i="27"/>
  <c r="P214" i="27"/>
  <c r="N7" i="27"/>
  <c r="P13" i="27"/>
  <c r="N26" i="27"/>
  <c r="O29" i="27"/>
  <c r="P32" i="27"/>
  <c r="O39" i="27"/>
  <c r="N39" i="27"/>
  <c r="P51" i="27"/>
  <c r="N74" i="27"/>
  <c r="O77" i="27"/>
  <c r="N80" i="27"/>
  <c r="P94" i="27"/>
  <c r="O94" i="27"/>
  <c r="N107" i="27"/>
  <c r="P111" i="27"/>
  <c r="O111" i="27"/>
  <c r="N111" i="27"/>
  <c r="O125" i="27"/>
  <c r="O139" i="27"/>
  <c r="N153" i="27"/>
  <c r="O156" i="27"/>
  <c r="N170" i="27"/>
  <c r="N173" i="27"/>
  <c r="P201" i="27"/>
  <c r="O201" i="27"/>
  <c r="P215" i="27"/>
  <c r="O215" i="27"/>
  <c r="N235" i="27"/>
  <c r="P53" i="27"/>
  <c r="P144" i="27"/>
  <c r="N99" i="27"/>
  <c r="N113" i="27"/>
  <c r="O83" i="27"/>
  <c r="N83" i="27"/>
  <c r="N237" i="27"/>
  <c r="P96" i="27"/>
  <c r="O9" i="27"/>
  <c r="N93" i="27"/>
  <c r="P238" i="27"/>
  <c r="O238" i="27"/>
  <c r="N10" i="27"/>
  <c r="O26" i="27"/>
  <c r="O74" i="27"/>
  <c r="N136" i="27"/>
  <c r="O170" i="27"/>
  <c r="N187" i="27"/>
  <c r="P7" i="27"/>
  <c r="O10" i="27"/>
  <c r="N23" i="27"/>
  <c r="P30" i="27"/>
  <c r="N30" i="27"/>
  <c r="P39" i="27"/>
  <c r="N49" i="27"/>
  <c r="P55" i="27"/>
  <c r="N68" i="27"/>
  <c r="O71" i="27"/>
  <c r="N91" i="27"/>
  <c r="N94" i="27"/>
  <c r="P107" i="27"/>
  <c r="O122" i="27"/>
  <c r="O136" i="27"/>
  <c r="N150" i="27"/>
  <c r="P153" i="27"/>
  <c r="O167" i="27"/>
  <c r="N181" i="27"/>
  <c r="O184" i="27"/>
  <c r="N198" i="27"/>
  <c r="N201" i="27"/>
  <c r="N212" i="27"/>
  <c r="N215" i="27"/>
  <c r="O232" i="27"/>
  <c r="N246" i="27"/>
  <c r="O249" i="27"/>
  <c r="O151" i="27"/>
  <c r="P151" i="27"/>
  <c r="N151" i="27"/>
  <c r="N24" i="27"/>
  <c r="P109" i="27"/>
  <c r="P162" i="27"/>
  <c r="O162" i="27"/>
  <c r="N162" i="27"/>
  <c r="N66" i="27"/>
  <c r="N54" i="27"/>
  <c r="P16" i="27"/>
  <c r="N16" i="27"/>
  <c r="P218" i="27"/>
  <c r="O218" i="27"/>
  <c r="N218" i="27"/>
  <c r="P9" i="27"/>
  <c r="N38" i="27"/>
  <c r="P57" i="27"/>
  <c r="N145" i="27"/>
  <c r="N4" i="27"/>
  <c r="P33" i="27"/>
  <c r="O33" i="27"/>
  <c r="N55" i="27"/>
  <c r="N71" i="27"/>
  <c r="O81" i="27"/>
  <c r="N81" i="27"/>
  <c r="N184" i="27"/>
  <c r="N232" i="27"/>
  <c r="N249" i="27"/>
  <c r="P4" i="27"/>
  <c r="O11" i="27"/>
  <c r="N11" i="27"/>
  <c r="O23" i="27"/>
  <c r="N33" i="27"/>
  <c r="N46" i="27"/>
  <c r="O49" i="27"/>
  <c r="N52" i="27"/>
  <c r="O68" i="27"/>
  <c r="P75" i="27"/>
  <c r="O75" i="27"/>
  <c r="P81" i="27"/>
  <c r="N88" i="27"/>
  <c r="O91" i="27"/>
  <c r="O95" i="27"/>
  <c r="N95" i="27"/>
  <c r="P108" i="27"/>
  <c r="O108" i="27"/>
  <c r="O150" i="27"/>
  <c r="N164" i="27"/>
  <c r="P167" i="27"/>
  <c r="O181" i="27"/>
  <c r="N195" i="27"/>
  <c r="O198" i="27"/>
  <c r="N209" i="27"/>
  <c r="O212" i="27"/>
  <c r="N226" i="27"/>
  <c r="O246" i="27"/>
  <c r="N144" i="27"/>
  <c r="O244" i="27"/>
  <c r="P244" i="27"/>
  <c r="N244" i="27"/>
  <c r="N47" i="27"/>
  <c r="O99" i="27"/>
  <c r="O25" i="27"/>
  <c r="N25" i="27"/>
  <c r="P241" i="27"/>
  <c r="O241" i="27"/>
  <c r="N241" i="27"/>
  <c r="P190" i="27"/>
  <c r="O190" i="27"/>
  <c r="N190" i="27"/>
  <c r="P25" i="27"/>
  <c r="P204" i="27"/>
  <c r="O204" i="27"/>
  <c r="N204" i="27"/>
  <c r="P61" i="27"/>
  <c r="O61" i="27"/>
  <c r="N131" i="27"/>
  <c r="O58" i="27"/>
  <c r="O235" i="27"/>
  <c r="P5" i="27"/>
  <c r="O5" i="27"/>
  <c r="O30" i="27"/>
  <c r="O52" i="27"/>
  <c r="P72" i="27"/>
  <c r="N72" i="27"/>
  <c r="O137" i="27"/>
  <c r="P137" i="27"/>
  <c r="N137" i="27"/>
  <c r="O226" i="27"/>
  <c r="N123" i="27"/>
  <c r="O89" i="27"/>
  <c r="O103" i="27"/>
  <c r="O117" i="27"/>
  <c r="N120" i="27"/>
  <c r="O126" i="27"/>
  <c r="O140" i="27"/>
  <c r="O154" i="27"/>
  <c r="O168" i="27"/>
  <c r="O182" i="27"/>
  <c r="O196" i="27"/>
  <c r="O210" i="27"/>
  <c r="O224" i="27"/>
  <c r="O233" i="27"/>
  <c r="O247" i="27"/>
  <c r="N250" i="27"/>
  <c r="N132" i="27"/>
  <c r="N146" i="27"/>
  <c r="N160" i="27"/>
  <c r="N174" i="27"/>
  <c r="N188" i="27"/>
  <c r="N202" i="27"/>
  <c r="N216" i="27"/>
  <c r="N239" i="27"/>
  <c r="O250" i="27"/>
  <c r="N1" i="27" l="1"/>
  <c r="O1" i="27"/>
  <c r="P1" i="27"/>
  <c r="M57" i="26"/>
  <c r="L57" i="26"/>
  <c r="P57" i="26" s="1"/>
  <c r="M56" i="26"/>
  <c r="L56" i="26"/>
  <c r="O56" i="26" s="1"/>
  <c r="M55" i="26"/>
  <c r="L55" i="26"/>
  <c r="O55" i="26" s="1"/>
  <c r="M50" i="26"/>
  <c r="L50" i="26"/>
  <c r="N50" i="26" s="1"/>
  <c r="M49" i="26"/>
  <c r="L49" i="26"/>
  <c r="P49" i="26" s="1"/>
  <c r="M42" i="26"/>
  <c r="L42" i="26"/>
  <c r="P42" i="26" s="1"/>
  <c r="M41" i="26"/>
  <c r="L41" i="26"/>
  <c r="P41" i="26" s="1"/>
  <c r="M40" i="26"/>
  <c r="L40" i="26"/>
  <c r="P40" i="26" s="1"/>
  <c r="M33" i="26"/>
  <c r="L33" i="26"/>
  <c r="N33" i="26" s="1"/>
  <c r="M32" i="26"/>
  <c r="L32" i="26"/>
  <c r="O32" i="26" s="1"/>
  <c r="M31" i="26"/>
  <c r="L31" i="26"/>
  <c r="N31" i="26" s="1"/>
  <c r="M24" i="26"/>
  <c r="L24" i="26"/>
  <c r="N24" i="26" s="1"/>
  <c r="M23" i="26"/>
  <c r="L23" i="26"/>
  <c r="P23" i="26" s="1"/>
  <c r="M22" i="26"/>
  <c r="L22" i="26"/>
  <c r="O22" i="26" s="1"/>
  <c r="M21" i="26"/>
  <c r="L21" i="26"/>
  <c r="P21" i="26" s="1"/>
  <c r="M20" i="26"/>
  <c r="L20" i="26"/>
  <c r="P20" i="26" s="1"/>
  <c r="M19" i="26"/>
  <c r="L19" i="26"/>
  <c r="O19" i="26" s="1"/>
  <c r="M18" i="26"/>
  <c r="L18" i="26"/>
  <c r="N18" i="26" s="1"/>
  <c r="M17" i="26"/>
  <c r="L17" i="26"/>
  <c r="P17" i="26" s="1"/>
  <c r="M16" i="26"/>
  <c r="L16" i="26"/>
  <c r="P16" i="26" s="1"/>
  <c r="M11" i="26"/>
  <c r="L11" i="26"/>
  <c r="N11" i="26" s="1"/>
  <c r="M10" i="26"/>
  <c r="L10" i="26"/>
  <c r="P10" i="26" s="1"/>
  <c r="M9" i="26"/>
  <c r="L9" i="26"/>
  <c r="N9" i="26" s="1"/>
  <c r="M3" i="26"/>
  <c r="L3" i="26"/>
  <c r="O3" i="26" s="1"/>
  <c r="P22" i="26" l="1"/>
  <c r="O11" i="26"/>
  <c r="P55" i="26"/>
  <c r="P11" i="26"/>
  <c r="N41" i="26"/>
  <c r="P32" i="26"/>
  <c r="O41" i="26"/>
  <c r="P19" i="26"/>
  <c r="N22" i="26"/>
  <c r="N10" i="26"/>
  <c r="P18" i="26"/>
  <c r="P31" i="26"/>
  <c r="P50" i="26"/>
  <c r="O40" i="26"/>
  <c r="O57" i="26"/>
  <c r="P3" i="26"/>
  <c r="O24" i="26"/>
  <c r="N20" i="26"/>
  <c r="P24" i="26"/>
  <c r="N56" i="26"/>
  <c r="O33" i="26"/>
  <c r="P9" i="26"/>
  <c r="N16" i="26"/>
  <c r="N23" i="26"/>
  <c r="P33" i="26"/>
  <c r="N42" i="26"/>
  <c r="P56" i="26"/>
  <c r="O31" i="26"/>
  <c r="N40" i="26"/>
  <c r="N57" i="26"/>
  <c r="N49" i="26"/>
  <c r="O49" i="26"/>
  <c r="O9" i="26"/>
  <c r="O20" i="26"/>
  <c r="O16" i="26"/>
  <c r="O23" i="26"/>
  <c r="O42" i="26"/>
  <c r="O18" i="26"/>
  <c r="O50" i="26"/>
  <c r="N3" i="26"/>
  <c r="N21" i="26"/>
  <c r="O10" i="26"/>
  <c r="O21" i="26"/>
  <c r="N17" i="26"/>
  <c r="N19" i="26"/>
  <c r="N32" i="26"/>
  <c r="N55" i="26"/>
  <c r="O17" i="26"/>
  <c r="O1" i="26" l="1"/>
  <c r="N1" i="26"/>
  <c r="P1" i="26"/>
  <c r="N2" i="18" l="1"/>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2" i="18"/>
  <c r="U2" i="17" a="1"/>
  <c r="U2" i="17" s="1"/>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145" i="17"/>
  <c r="T146" i="17"/>
  <c r="T147" i="17"/>
  <c r="T148" i="17"/>
  <c r="T149" i="17"/>
  <c r="T150" i="17"/>
  <c r="T151" i="17"/>
  <c r="T152"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T181" i="17"/>
  <c r="T182" i="17"/>
  <c r="T183" i="17"/>
  <c r="T184" i="17"/>
  <c r="T185" i="17"/>
  <c r="T186" i="17"/>
  <c r="T187" i="17"/>
  <c r="T188" i="17"/>
  <c r="T189" i="17"/>
  <c r="T190" i="17"/>
  <c r="T191" i="17"/>
  <c r="T192" i="17"/>
  <c r="T2" i="17"/>
  <c r="AJ2" i="9" l="1"/>
  <c r="Q13" i="10" l="1"/>
  <c r="E39" i="10" s="1"/>
  <c r="E40" i="10"/>
  <c r="Q10" i="10"/>
  <c r="Q8" i="10"/>
  <c r="L21" i="11"/>
  <c r="J20" i="11"/>
  <c r="M20" i="11" s="1"/>
  <c r="E32" i="11" s="1"/>
  <c r="J19" i="11"/>
  <c r="K19" i="11" s="1"/>
  <c r="J18" i="11"/>
  <c r="K18" i="11" s="1"/>
  <c r="J17" i="11"/>
  <c r="M17" i="11" s="1"/>
  <c r="J16" i="11"/>
  <c r="K16" i="11" s="1"/>
  <c r="J15" i="11"/>
  <c r="M15" i="11" s="1"/>
  <c r="E11" i="11" s="1"/>
  <c r="J14" i="11"/>
  <c r="M14" i="11" s="1"/>
  <c r="E25" i="11" s="1"/>
  <c r="J13" i="11"/>
  <c r="M13" i="11" s="1"/>
  <c r="E24" i="11" s="1"/>
  <c r="J12" i="11"/>
  <c r="J9" i="11"/>
  <c r="Q15" i="10" l="1"/>
  <c r="E9" i="10"/>
  <c r="E17" i="10"/>
  <c r="E25" i="10"/>
  <c r="E33" i="10"/>
  <c r="E41" i="10"/>
  <c r="E32" i="10"/>
  <c r="E18" i="10"/>
  <c r="E43" i="10"/>
  <c r="E4" i="10"/>
  <c r="E12" i="10"/>
  <c r="E20" i="10"/>
  <c r="E28" i="10"/>
  <c r="E36" i="10"/>
  <c r="E44" i="10"/>
  <c r="E24" i="10"/>
  <c r="E26" i="10"/>
  <c r="E11" i="10"/>
  <c r="E35" i="10"/>
  <c r="E5" i="10"/>
  <c r="E13" i="10"/>
  <c r="E21" i="10"/>
  <c r="E29" i="10"/>
  <c r="E37" i="10"/>
  <c r="E45" i="10"/>
  <c r="E8" i="10"/>
  <c r="E2" i="10"/>
  <c r="E42" i="10"/>
  <c r="E3" i="10"/>
  <c r="E19" i="10"/>
  <c r="E6" i="10"/>
  <c r="E14" i="10"/>
  <c r="E22" i="10"/>
  <c r="E30" i="10"/>
  <c r="E38" i="10"/>
  <c r="E16" i="10"/>
  <c r="E10" i="10"/>
  <c r="E34" i="10"/>
  <c r="E27" i="10"/>
  <c r="E7" i="10"/>
  <c r="E15" i="10"/>
  <c r="E23" i="10"/>
  <c r="E31" i="10"/>
  <c r="E10" i="11"/>
  <c r="E33" i="11"/>
  <c r="E9" i="11"/>
  <c r="E3" i="11"/>
  <c r="E19" i="11"/>
  <c r="E20" i="11"/>
  <c r="E21" i="11"/>
  <c r="E14" i="11"/>
  <c r="E22" i="11"/>
  <c r="E15" i="11"/>
  <c r="E23" i="11"/>
  <c r="E31" i="11"/>
  <c r="E8" i="11"/>
  <c r="M19" i="11"/>
  <c r="K14" i="11"/>
  <c r="K15" i="11"/>
  <c r="K13" i="11"/>
  <c r="M18" i="11"/>
  <c r="J21" i="11"/>
  <c r="M16" i="11"/>
  <c r="E26" i="11" s="1"/>
  <c r="K17" i="11"/>
  <c r="K12" i="11"/>
  <c r="K20" i="11"/>
  <c r="M12" i="11"/>
  <c r="E46" i="10" l="1"/>
  <c r="E30" i="11"/>
  <c r="E29" i="11"/>
  <c r="E28" i="11"/>
  <c r="E16" i="11"/>
  <c r="E7" i="11"/>
  <c r="E6" i="11"/>
  <c r="E2" i="11"/>
  <c r="E5" i="11"/>
  <c r="E4" i="11"/>
  <c r="E18" i="11"/>
  <c r="E17" i="11"/>
  <c r="E13" i="11"/>
  <c r="E12" i="11"/>
  <c r="E27" i="11"/>
  <c r="K21" i="11"/>
  <c r="Q5" i="10" l="1"/>
  <c r="Q7" i="10" s="1"/>
  <c r="I14" i="10"/>
  <c r="I13" i="10"/>
  <c r="I12" i="10"/>
  <c r="I11" i="10"/>
  <c r="I10" i="10"/>
  <c r="I9" i="10"/>
  <c r="I8" i="10"/>
  <c r="I7" i="10"/>
  <c r="I6" i="10"/>
  <c r="I5" i="10"/>
  <c r="I4" i="10"/>
  <c r="I15" i="10"/>
  <c r="AG64" i="9"/>
  <c r="AI2" i="9"/>
  <c r="AH2" i="9"/>
  <c r="AG43" i="9"/>
  <c r="AG42" i="9"/>
  <c r="I16" i="10" l="1"/>
  <c r="Q11" i="10"/>
  <c r="AG70" i="9"/>
  <c r="AG69" i="9"/>
  <c r="AG68" i="9"/>
  <c r="AG67" i="9"/>
  <c r="AG66" i="9"/>
  <c r="AG65" i="9"/>
  <c r="AG63" i="9"/>
  <c r="AG62" i="9"/>
  <c r="AG61" i="9"/>
  <c r="AG60" i="9"/>
  <c r="AG59" i="9"/>
  <c r="AG58" i="9"/>
  <c r="AG57" i="9"/>
  <c r="AG56" i="9"/>
  <c r="AG55" i="9"/>
  <c r="AG54" i="9"/>
  <c r="AG53" i="9"/>
  <c r="AG52" i="9"/>
  <c r="AG51" i="9"/>
  <c r="AG50" i="9"/>
  <c r="AG49" i="9"/>
  <c r="AG48" i="9"/>
  <c r="AG47" i="9"/>
  <c r="AG46" i="9"/>
  <c r="AG45" i="9"/>
  <c r="AG44" i="9"/>
  <c r="AG41" i="9"/>
  <c r="AG40" i="9"/>
  <c r="AG39" i="9"/>
  <c r="AG38" i="9"/>
  <c r="AG37" i="9"/>
  <c r="AG36" i="9"/>
  <c r="AG35" i="9"/>
  <c r="AG34" i="9"/>
  <c r="AG33" i="9"/>
  <c r="AG32" i="9"/>
  <c r="AG31" i="9"/>
  <c r="AG30" i="9"/>
  <c r="AG29" i="9"/>
  <c r="AG28" i="9"/>
  <c r="AG27" i="9"/>
  <c r="AG26" i="9"/>
  <c r="AG25" i="9"/>
  <c r="AG24" i="9"/>
  <c r="AG23" i="9"/>
  <c r="AG22" i="9"/>
  <c r="AG21" i="9"/>
  <c r="AG20" i="9"/>
  <c r="AG19" i="9"/>
  <c r="AG18" i="9"/>
  <c r="AG17" i="9"/>
  <c r="AG16" i="9"/>
  <c r="AG15" i="9"/>
  <c r="AG14" i="9"/>
  <c r="AG13" i="9"/>
  <c r="AG12" i="9"/>
  <c r="AG11" i="9"/>
  <c r="AG10" i="9"/>
  <c r="AG9" i="9"/>
  <c r="AG8" i="9"/>
  <c r="AG7" i="9"/>
  <c r="AA2" i="9"/>
  <c r="Z2" i="9"/>
  <c r="Y2" i="9"/>
  <c r="X2" i="9"/>
  <c r="W2" i="9"/>
  <c r="J8" i="10" l="1"/>
  <c r="J14" i="10"/>
  <c r="J5" i="10"/>
  <c r="J13" i="10"/>
  <c r="J6" i="10"/>
  <c r="J9" i="10"/>
  <c r="J4" i="10"/>
  <c r="J11" i="10"/>
  <c r="J7" i="10"/>
  <c r="J15" i="10"/>
  <c r="J10" i="10"/>
  <c r="J12" i="10"/>
  <c r="AG2" i="9"/>
  <c r="AF2" i="9"/>
  <c r="AE2" i="9"/>
  <c r="AD2" i="9"/>
  <c r="AC2" i="9"/>
  <c r="AB2" i="9"/>
  <c r="J16" i="10" l="1"/>
  <c r="K16" i="10" s="1"/>
  <c r="T2"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Kwak, Dong-Hyun (KR/Q&amp;RM-DPP)</author>
    <author>Park, Jeong-Been (KR/B&amp;F1)</author>
  </authors>
  <commentList>
    <comment ref="AN31" authorId="0" shapeId="0" xr:uid="{12119384-4DBC-44C9-B21D-F1D30313AEEA}">
      <text>
        <r>
          <rPr>
            <sz val="9"/>
            <color indexed="81"/>
            <rFont val="Tahoma"/>
            <family val="2"/>
          </rPr>
          <t>2</t>
        </r>
        <r>
          <rPr>
            <sz val="9"/>
            <color indexed="81"/>
            <rFont val="돋움"/>
            <family val="3"/>
            <charset val="129"/>
          </rPr>
          <t>년간</t>
        </r>
        <r>
          <rPr>
            <sz val="9"/>
            <color indexed="81"/>
            <rFont val="Tahoma"/>
            <family val="2"/>
          </rPr>
          <t xml:space="preserve"> AITS</t>
        </r>
        <r>
          <rPr>
            <sz val="9"/>
            <color indexed="81"/>
            <rFont val="돋움"/>
            <family val="3"/>
            <charset val="129"/>
          </rPr>
          <t>를</t>
        </r>
        <r>
          <rPr>
            <sz val="9"/>
            <color indexed="81"/>
            <rFont val="Tahoma"/>
            <family val="2"/>
          </rPr>
          <t xml:space="preserve"> </t>
        </r>
        <r>
          <rPr>
            <sz val="9"/>
            <color indexed="81"/>
            <rFont val="돋움"/>
            <family val="3"/>
            <charset val="129"/>
          </rPr>
          <t>적용하여</t>
        </r>
        <r>
          <rPr>
            <sz val="9"/>
            <color indexed="81"/>
            <rFont val="Tahoma"/>
            <family val="2"/>
          </rPr>
          <t xml:space="preserve"> AITS </t>
        </r>
        <r>
          <rPr>
            <sz val="9"/>
            <color indexed="81"/>
            <rFont val="돋움"/>
            <family val="3"/>
            <charset val="129"/>
          </rPr>
          <t>적용이</t>
        </r>
        <r>
          <rPr>
            <sz val="9"/>
            <color indexed="81"/>
            <rFont val="Tahoma"/>
            <family val="2"/>
          </rPr>
          <t xml:space="preserve"> </t>
        </r>
        <r>
          <rPr>
            <sz val="9"/>
            <color indexed="81"/>
            <rFont val="돋움"/>
            <family val="3"/>
            <charset val="129"/>
          </rPr>
          <t>가능함을</t>
        </r>
        <r>
          <rPr>
            <sz val="9"/>
            <color indexed="81"/>
            <rFont val="Tahoma"/>
            <family val="2"/>
          </rPr>
          <t xml:space="preserve"> </t>
        </r>
        <r>
          <rPr>
            <sz val="9"/>
            <color indexed="81"/>
            <rFont val="돋움"/>
            <family val="3"/>
            <charset val="129"/>
          </rPr>
          <t>확인하여</t>
        </r>
        <r>
          <rPr>
            <sz val="9"/>
            <color indexed="81"/>
            <rFont val="Tahoma"/>
            <family val="2"/>
          </rPr>
          <t xml:space="preserve"> Interim test</t>
        </r>
        <r>
          <rPr>
            <sz val="9"/>
            <color indexed="81"/>
            <rFont val="돋움"/>
            <family val="3"/>
            <charset val="129"/>
          </rPr>
          <t>는</t>
        </r>
        <r>
          <rPr>
            <sz val="9"/>
            <color indexed="81"/>
            <rFont val="Tahoma"/>
            <family val="2"/>
          </rPr>
          <t xml:space="preserve"> </t>
        </r>
        <r>
          <rPr>
            <sz val="9"/>
            <color indexed="81"/>
            <rFont val="돋움"/>
            <family val="3"/>
            <charset val="129"/>
          </rPr>
          <t>진행하지</t>
        </r>
        <r>
          <rPr>
            <sz val="9"/>
            <color indexed="81"/>
            <rFont val="Tahoma"/>
            <family val="2"/>
          </rPr>
          <t xml:space="preserve"> </t>
        </r>
        <r>
          <rPr>
            <sz val="9"/>
            <color indexed="81"/>
            <rFont val="돋움"/>
            <family val="3"/>
            <charset val="129"/>
          </rPr>
          <t>않기로</t>
        </r>
        <r>
          <rPr>
            <sz val="9"/>
            <color indexed="81"/>
            <rFont val="Tahoma"/>
            <family val="2"/>
          </rPr>
          <t xml:space="preserve"> </t>
        </r>
        <r>
          <rPr>
            <sz val="9"/>
            <color indexed="81"/>
            <rFont val="돋움"/>
            <family val="3"/>
            <charset val="129"/>
          </rPr>
          <t>논의함</t>
        </r>
        <r>
          <rPr>
            <sz val="9"/>
            <color indexed="81"/>
            <rFont val="Tahoma"/>
            <family val="2"/>
          </rPr>
          <t xml:space="preserve">(9/2)
</t>
        </r>
      </text>
    </comment>
    <comment ref="AO31" authorId="0" shapeId="0" xr:uid="{E002AF79-523B-49D5-86EA-6FB7A3BF1D48}">
      <text>
        <r>
          <rPr>
            <sz val="9"/>
            <color indexed="81"/>
            <rFont val="Tahoma"/>
            <family val="2"/>
          </rPr>
          <t>2</t>
        </r>
        <r>
          <rPr>
            <sz val="9"/>
            <color indexed="81"/>
            <rFont val="돋움"/>
            <family val="3"/>
            <charset val="129"/>
          </rPr>
          <t>년간</t>
        </r>
        <r>
          <rPr>
            <sz val="9"/>
            <color indexed="81"/>
            <rFont val="Tahoma"/>
            <family val="2"/>
          </rPr>
          <t xml:space="preserve"> AITS</t>
        </r>
        <r>
          <rPr>
            <sz val="9"/>
            <color indexed="81"/>
            <rFont val="돋움"/>
            <family val="3"/>
            <charset val="129"/>
          </rPr>
          <t>를</t>
        </r>
        <r>
          <rPr>
            <sz val="9"/>
            <color indexed="81"/>
            <rFont val="Tahoma"/>
            <family val="2"/>
          </rPr>
          <t xml:space="preserve"> </t>
        </r>
        <r>
          <rPr>
            <sz val="9"/>
            <color indexed="81"/>
            <rFont val="돋움"/>
            <family val="3"/>
            <charset val="129"/>
          </rPr>
          <t>적용하여</t>
        </r>
        <r>
          <rPr>
            <sz val="9"/>
            <color indexed="81"/>
            <rFont val="Tahoma"/>
            <family val="2"/>
          </rPr>
          <t xml:space="preserve"> AITS </t>
        </r>
        <r>
          <rPr>
            <sz val="9"/>
            <color indexed="81"/>
            <rFont val="돋움"/>
            <family val="3"/>
            <charset val="129"/>
          </rPr>
          <t>적용이</t>
        </r>
        <r>
          <rPr>
            <sz val="9"/>
            <color indexed="81"/>
            <rFont val="Tahoma"/>
            <family val="2"/>
          </rPr>
          <t xml:space="preserve"> </t>
        </r>
        <r>
          <rPr>
            <sz val="9"/>
            <color indexed="81"/>
            <rFont val="돋움"/>
            <family val="3"/>
            <charset val="129"/>
          </rPr>
          <t>가능함을</t>
        </r>
        <r>
          <rPr>
            <sz val="9"/>
            <color indexed="81"/>
            <rFont val="Tahoma"/>
            <family val="2"/>
          </rPr>
          <t xml:space="preserve"> </t>
        </r>
        <r>
          <rPr>
            <sz val="9"/>
            <color indexed="81"/>
            <rFont val="돋움"/>
            <family val="3"/>
            <charset val="129"/>
          </rPr>
          <t>확인하여</t>
        </r>
        <r>
          <rPr>
            <sz val="9"/>
            <color indexed="81"/>
            <rFont val="Tahoma"/>
            <family val="2"/>
          </rPr>
          <t xml:space="preserve"> Interim test</t>
        </r>
        <r>
          <rPr>
            <sz val="9"/>
            <color indexed="81"/>
            <rFont val="돋움"/>
            <family val="3"/>
            <charset val="129"/>
          </rPr>
          <t>는</t>
        </r>
        <r>
          <rPr>
            <sz val="9"/>
            <color indexed="81"/>
            <rFont val="Tahoma"/>
            <family val="2"/>
          </rPr>
          <t xml:space="preserve"> </t>
        </r>
        <r>
          <rPr>
            <sz val="9"/>
            <color indexed="81"/>
            <rFont val="돋움"/>
            <family val="3"/>
            <charset val="129"/>
          </rPr>
          <t>진행하지</t>
        </r>
        <r>
          <rPr>
            <sz val="9"/>
            <color indexed="81"/>
            <rFont val="Tahoma"/>
            <family val="2"/>
          </rPr>
          <t xml:space="preserve"> </t>
        </r>
        <r>
          <rPr>
            <sz val="9"/>
            <color indexed="81"/>
            <rFont val="돋움"/>
            <family val="3"/>
            <charset val="129"/>
          </rPr>
          <t>않기로</t>
        </r>
        <r>
          <rPr>
            <sz val="9"/>
            <color indexed="81"/>
            <rFont val="Tahoma"/>
            <family val="2"/>
          </rPr>
          <t xml:space="preserve"> </t>
        </r>
        <r>
          <rPr>
            <sz val="9"/>
            <color indexed="81"/>
            <rFont val="돋움"/>
            <family val="3"/>
            <charset val="129"/>
          </rPr>
          <t>논의함</t>
        </r>
        <r>
          <rPr>
            <sz val="9"/>
            <color indexed="81"/>
            <rFont val="Tahoma"/>
            <family val="2"/>
          </rPr>
          <t xml:space="preserve">(9/2)
</t>
        </r>
      </text>
    </comment>
    <comment ref="AP31" authorId="0" shapeId="0" xr:uid="{8CC60D96-9C57-4C92-A177-EC899EE4F8BE}">
      <text>
        <r>
          <rPr>
            <sz val="9"/>
            <color indexed="81"/>
            <rFont val="Tahoma"/>
            <family val="2"/>
          </rPr>
          <t>2</t>
        </r>
        <r>
          <rPr>
            <sz val="9"/>
            <color indexed="81"/>
            <rFont val="돋움"/>
            <family val="3"/>
            <charset val="129"/>
          </rPr>
          <t>년간</t>
        </r>
        <r>
          <rPr>
            <sz val="9"/>
            <color indexed="81"/>
            <rFont val="Tahoma"/>
            <family val="2"/>
          </rPr>
          <t xml:space="preserve"> AITS</t>
        </r>
        <r>
          <rPr>
            <sz val="9"/>
            <color indexed="81"/>
            <rFont val="돋움"/>
            <family val="3"/>
            <charset val="129"/>
          </rPr>
          <t>를</t>
        </r>
        <r>
          <rPr>
            <sz val="9"/>
            <color indexed="81"/>
            <rFont val="Tahoma"/>
            <family val="2"/>
          </rPr>
          <t xml:space="preserve"> </t>
        </r>
        <r>
          <rPr>
            <sz val="9"/>
            <color indexed="81"/>
            <rFont val="돋움"/>
            <family val="3"/>
            <charset val="129"/>
          </rPr>
          <t>적용하여</t>
        </r>
        <r>
          <rPr>
            <sz val="9"/>
            <color indexed="81"/>
            <rFont val="Tahoma"/>
            <family val="2"/>
          </rPr>
          <t xml:space="preserve"> AITS </t>
        </r>
        <r>
          <rPr>
            <sz val="9"/>
            <color indexed="81"/>
            <rFont val="돋움"/>
            <family val="3"/>
            <charset val="129"/>
          </rPr>
          <t>적용이</t>
        </r>
        <r>
          <rPr>
            <sz val="9"/>
            <color indexed="81"/>
            <rFont val="Tahoma"/>
            <family val="2"/>
          </rPr>
          <t xml:space="preserve"> </t>
        </r>
        <r>
          <rPr>
            <sz val="9"/>
            <color indexed="81"/>
            <rFont val="돋움"/>
            <family val="3"/>
            <charset val="129"/>
          </rPr>
          <t>가능함을</t>
        </r>
        <r>
          <rPr>
            <sz val="9"/>
            <color indexed="81"/>
            <rFont val="Tahoma"/>
            <family val="2"/>
          </rPr>
          <t xml:space="preserve"> </t>
        </r>
        <r>
          <rPr>
            <sz val="9"/>
            <color indexed="81"/>
            <rFont val="돋움"/>
            <family val="3"/>
            <charset val="129"/>
          </rPr>
          <t>확인하여</t>
        </r>
        <r>
          <rPr>
            <sz val="9"/>
            <color indexed="81"/>
            <rFont val="Tahoma"/>
            <family val="2"/>
          </rPr>
          <t xml:space="preserve"> Interim test</t>
        </r>
        <r>
          <rPr>
            <sz val="9"/>
            <color indexed="81"/>
            <rFont val="돋움"/>
            <family val="3"/>
            <charset val="129"/>
          </rPr>
          <t>는</t>
        </r>
        <r>
          <rPr>
            <sz val="9"/>
            <color indexed="81"/>
            <rFont val="Tahoma"/>
            <family val="2"/>
          </rPr>
          <t xml:space="preserve"> </t>
        </r>
        <r>
          <rPr>
            <sz val="9"/>
            <color indexed="81"/>
            <rFont val="돋움"/>
            <family val="3"/>
            <charset val="129"/>
          </rPr>
          <t>진행하지</t>
        </r>
        <r>
          <rPr>
            <sz val="9"/>
            <color indexed="81"/>
            <rFont val="Tahoma"/>
            <family val="2"/>
          </rPr>
          <t xml:space="preserve"> </t>
        </r>
        <r>
          <rPr>
            <sz val="9"/>
            <color indexed="81"/>
            <rFont val="돋움"/>
            <family val="3"/>
            <charset val="129"/>
          </rPr>
          <t>않기로</t>
        </r>
        <r>
          <rPr>
            <sz val="9"/>
            <color indexed="81"/>
            <rFont val="Tahoma"/>
            <family val="2"/>
          </rPr>
          <t xml:space="preserve"> </t>
        </r>
        <r>
          <rPr>
            <sz val="9"/>
            <color indexed="81"/>
            <rFont val="돋움"/>
            <family val="3"/>
            <charset val="129"/>
          </rPr>
          <t>논의함</t>
        </r>
        <r>
          <rPr>
            <sz val="9"/>
            <color indexed="81"/>
            <rFont val="Tahoma"/>
            <family val="2"/>
          </rPr>
          <t xml:space="preserve">(9/2)
</t>
        </r>
      </text>
    </comment>
    <comment ref="AQ31" authorId="0" shapeId="0" xr:uid="{302CFC8E-4B20-4E46-B238-441453E64FB7}">
      <text>
        <r>
          <rPr>
            <sz val="9"/>
            <color indexed="81"/>
            <rFont val="Tahoma"/>
            <family val="2"/>
          </rPr>
          <t>2</t>
        </r>
        <r>
          <rPr>
            <sz val="9"/>
            <color indexed="81"/>
            <rFont val="돋움"/>
            <family val="3"/>
            <charset val="129"/>
          </rPr>
          <t>년간</t>
        </r>
        <r>
          <rPr>
            <sz val="9"/>
            <color indexed="81"/>
            <rFont val="Tahoma"/>
            <family val="2"/>
          </rPr>
          <t xml:space="preserve"> AITS</t>
        </r>
        <r>
          <rPr>
            <sz val="9"/>
            <color indexed="81"/>
            <rFont val="돋움"/>
            <family val="3"/>
            <charset val="129"/>
          </rPr>
          <t>를</t>
        </r>
        <r>
          <rPr>
            <sz val="9"/>
            <color indexed="81"/>
            <rFont val="Tahoma"/>
            <family val="2"/>
          </rPr>
          <t xml:space="preserve"> </t>
        </r>
        <r>
          <rPr>
            <sz val="9"/>
            <color indexed="81"/>
            <rFont val="돋움"/>
            <family val="3"/>
            <charset val="129"/>
          </rPr>
          <t>적용하여</t>
        </r>
        <r>
          <rPr>
            <sz val="9"/>
            <color indexed="81"/>
            <rFont val="Tahoma"/>
            <family val="2"/>
          </rPr>
          <t xml:space="preserve"> AITS </t>
        </r>
        <r>
          <rPr>
            <sz val="9"/>
            <color indexed="81"/>
            <rFont val="돋움"/>
            <family val="3"/>
            <charset val="129"/>
          </rPr>
          <t>적용이</t>
        </r>
        <r>
          <rPr>
            <sz val="9"/>
            <color indexed="81"/>
            <rFont val="Tahoma"/>
            <family val="2"/>
          </rPr>
          <t xml:space="preserve"> </t>
        </r>
        <r>
          <rPr>
            <sz val="9"/>
            <color indexed="81"/>
            <rFont val="돋움"/>
            <family val="3"/>
            <charset val="129"/>
          </rPr>
          <t>가능함을</t>
        </r>
        <r>
          <rPr>
            <sz val="9"/>
            <color indexed="81"/>
            <rFont val="Tahoma"/>
            <family val="2"/>
          </rPr>
          <t xml:space="preserve"> </t>
        </r>
        <r>
          <rPr>
            <sz val="9"/>
            <color indexed="81"/>
            <rFont val="돋움"/>
            <family val="3"/>
            <charset val="129"/>
          </rPr>
          <t>확인하여</t>
        </r>
        <r>
          <rPr>
            <sz val="9"/>
            <color indexed="81"/>
            <rFont val="Tahoma"/>
            <family val="2"/>
          </rPr>
          <t xml:space="preserve"> Interim test</t>
        </r>
        <r>
          <rPr>
            <sz val="9"/>
            <color indexed="81"/>
            <rFont val="돋움"/>
            <family val="3"/>
            <charset val="129"/>
          </rPr>
          <t>는</t>
        </r>
        <r>
          <rPr>
            <sz val="9"/>
            <color indexed="81"/>
            <rFont val="Tahoma"/>
            <family val="2"/>
          </rPr>
          <t xml:space="preserve"> </t>
        </r>
        <r>
          <rPr>
            <sz val="9"/>
            <color indexed="81"/>
            <rFont val="돋움"/>
            <family val="3"/>
            <charset val="129"/>
          </rPr>
          <t>진행하지</t>
        </r>
        <r>
          <rPr>
            <sz val="9"/>
            <color indexed="81"/>
            <rFont val="Tahoma"/>
            <family val="2"/>
          </rPr>
          <t xml:space="preserve"> </t>
        </r>
        <r>
          <rPr>
            <sz val="9"/>
            <color indexed="81"/>
            <rFont val="돋움"/>
            <family val="3"/>
            <charset val="129"/>
          </rPr>
          <t>않기로</t>
        </r>
        <r>
          <rPr>
            <sz val="9"/>
            <color indexed="81"/>
            <rFont val="Tahoma"/>
            <family val="2"/>
          </rPr>
          <t xml:space="preserve"> </t>
        </r>
        <r>
          <rPr>
            <sz val="9"/>
            <color indexed="81"/>
            <rFont val="돋움"/>
            <family val="3"/>
            <charset val="129"/>
          </rPr>
          <t>논의함</t>
        </r>
        <r>
          <rPr>
            <sz val="9"/>
            <color indexed="81"/>
            <rFont val="Tahoma"/>
            <family val="2"/>
          </rPr>
          <t xml:space="preserve">(9/2)
</t>
        </r>
      </text>
    </comment>
    <comment ref="AR31" authorId="0" shapeId="0" xr:uid="{B034A305-C319-4E83-8FD6-858A9F8798C3}">
      <text>
        <r>
          <rPr>
            <sz val="9"/>
            <color indexed="81"/>
            <rFont val="Tahoma"/>
            <family val="2"/>
          </rPr>
          <t>2</t>
        </r>
        <r>
          <rPr>
            <sz val="9"/>
            <color indexed="81"/>
            <rFont val="돋움"/>
            <family val="3"/>
            <charset val="129"/>
          </rPr>
          <t>년간</t>
        </r>
        <r>
          <rPr>
            <sz val="9"/>
            <color indexed="81"/>
            <rFont val="Tahoma"/>
            <family val="2"/>
          </rPr>
          <t xml:space="preserve"> AITS</t>
        </r>
        <r>
          <rPr>
            <sz val="9"/>
            <color indexed="81"/>
            <rFont val="돋움"/>
            <family val="3"/>
            <charset val="129"/>
          </rPr>
          <t>를</t>
        </r>
        <r>
          <rPr>
            <sz val="9"/>
            <color indexed="81"/>
            <rFont val="Tahoma"/>
            <family val="2"/>
          </rPr>
          <t xml:space="preserve"> </t>
        </r>
        <r>
          <rPr>
            <sz val="9"/>
            <color indexed="81"/>
            <rFont val="돋움"/>
            <family val="3"/>
            <charset val="129"/>
          </rPr>
          <t>적용하여</t>
        </r>
        <r>
          <rPr>
            <sz val="9"/>
            <color indexed="81"/>
            <rFont val="Tahoma"/>
            <family val="2"/>
          </rPr>
          <t xml:space="preserve"> AITS </t>
        </r>
        <r>
          <rPr>
            <sz val="9"/>
            <color indexed="81"/>
            <rFont val="돋움"/>
            <family val="3"/>
            <charset val="129"/>
          </rPr>
          <t>적용이</t>
        </r>
        <r>
          <rPr>
            <sz val="9"/>
            <color indexed="81"/>
            <rFont val="Tahoma"/>
            <family val="2"/>
          </rPr>
          <t xml:space="preserve"> </t>
        </r>
        <r>
          <rPr>
            <sz val="9"/>
            <color indexed="81"/>
            <rFont val="돋움"/>
            <family val="3"/>
            <charset val="129"/>
          </rPr>
          <t>가능함을</t>
        </r>
        <r>
          <rPr>
            <sz val="9"/>
            <color indexed="81"/>
            <rFont val="Tahoma"/>
            <family val="2"/>
          </rPr>
          <t xml:space="preserve"> </t>
        </r>
        <r>
          <rPr>
            <sz val="9"/>
            <color indexed="81"/>
            <rFont val="돋움"/>
            <family val="3"/>
            <charset val="129"/>
          </rPr>
          <t>확인하여</t>
        </r>
        <r>
          <rPr>
            <sz val="9"/>
            <color indexed="81"/>
            <rFont val="Tahoma"/>
            <family val="2"/>
          </rPr>
          <t xml:space="preserve"> Interim test</t>
        </r>
        <r>
          <rPr>
            <sz val="9"/>
            <color indexed="81"/>
            <rFont val="돋움"/>
            <family val="3"/>
            <charset val="129"/>
          </rPr>
          <t>는</t>
        </r>
        <r>
          <rPr>
            <sz val="9"/>
            <color indexed="81"/>
            <rFont val="Tahoma"/>
            <family val="2"/>
          </rPr>
          <t xml:space="preserve"> </t>
        </r>
        <r>
          <rPr>
            <sz val="9"/>
            <color indexed="81"/>
            <rFont val="돋움"/>
            <family val="3"/>
            <charset val="129"/>
          </rPr>
          <t>진행하지</t>
        </r>
        <r>
          <rPr>
            <sz val="9"/>
            <color indexed="81"/>
            <rFont val="Tahoma"/>
            <family val="2"/>
          </rPr>
          <t xml:space="preserve"> </t>
        </r>
        <r>
          <rPr>
            <sz val="9"/>
            <color indexed="81"/>
            <rFont val="돋움"/>
            <family val="3"/>
            <charset val="129"/>
          </rPr>
          <t>않기로</t>
        </r>
        <r>
          <rPr>
            <sz val="9"/>
            <color indexed="81"/>
            <rFont val="Tahoma"/>
            <family val="2"/>
          </rPr>
          <t xml:space="preserve"> </t>
        </r>
        <r>
          <rPr>
            <sz val="9"/>
            <color indexed="81"/>
            <rFont val="돋움"/>
            <family val="3"/>
            <charset val="129"/>
          </rPr>
          <t>논의함</t>
        </r>
        <r>
          <rPr>
            <sz val="9"/>
            <color indexed="81"/>
            <rFont val="Tahoma"/>
            <family val="2"/>
          </rPr>
          <t xml:space="preserve">(9/2)
</t>
        </r>
      </text>
    </comment>
    <comment ref="AT31" authorId="0" shapeId="0" xr:uid="{B46FFB48-D16A-41D2-B5FE-E7B53F239065}">
      <text>
        <r>
          <rPr>
            <sz val="9"/>
            <color indexed="81"/>
            <rFont val="Tahoma"/>
            <family val="2"/>
          </rPr>
          <t>2</t>
        </r>
        <r>
          <rPr>
            <sz val="9"/>
            <color indexed="81"/>
            <rFont val="돋움"/>
            <family val="3"/>
            <charset val="129"/>
          </rPr>
          <t>년간</t>
        </r>
        <r>
          <rPr>
            <sz val="9"/>
            <color indexed="81"/>
            <rFont val="Tahoma"/>
            <family val="2"/>
          </rPr>
          <t xml:space="preserve"> AITS</t>
        </r>
        <r>
          <rPr>
            <sz val="9"/>
            <color indexed="81"/>
            <rFont val="돋움"/>
            <family val="3"/>
            <charset val="129"/>
          </rPr>
          <t>를</t>
        </r>
        <r>
          <rPr>
            <sz val="9"/>
            <color indexed="81"/>
            <rFont val="Tahoma"/>
            <family val="2"/>
          </rPr>
          <t xml:space="preserve"> </t>
        </r>
        <r>
          <rPr>
            <sz val="9"/>
            <color indexed="81"/>
            <rFont val="돋움"/>
            <family val="3"/>
            <charset val="129"/>
          </rPr>
          <t>적용하여</t>
        </r>
        <r>
          <rPr>
            <sz val="9"/>
            <color indexed="81"/>
            <rFont val="Tahoma"/>
            <family val="2"/>
          </rPr>
          <t xml:space="preserve"> AITS </t>
        </r>
        <r>
          <rPr>
            <sz val="9"/>
            <color indexed="81"/>
            <rFont val="돋움"/>
            <family val="3"/>
            <charset val="129"/>
          </rPr>
          <t>적용이</t>
        </r>
        <r>
          <rPr>
            <sz val="9"/>
            <color indexed="81"/>
            <rFont val="Tahoma"/>
            <family val="2"/>
          </rPr>
          <t xml:space="preserve"> </t>
        </r>
        <r>
          <rPr>
            <sz val="9"/>
            <color indexed="81"/>
            <rFont val="돋움"/>
            <family val="3"/>
            <charset val="129"/>
          </rPr>
          <t>가능함을</t>
        </r>
        <r>
          <rPr>
            <sz val="9"/>
            <color indexed="81"/>
            <rFont val="Tahoma"/>
            <family val="2"/>
          </rPr>
          <t xml:space="preserve"> </t>
        </r>
        <r>
          <rPr>
            <sz val="9"/>
            <color indexed="81"/>
            <rFont val="돋움"/>
            <family val="3"/>
            <charset val="129"/>
          </rPr>
          <t>확인하여</t>
        </r>
        <r>
          <rPr>
            <sz val="9"/>
            <color indexed="81"/>
            <rFont val="Tahoma"/>
            <family val="2"/>
          </rPr>
          <t xml:space="preserve"> Interim test</t>
        </r>
        <r>
          <rPr>
            <sz val="9"/>
            <color indexed="81"/>
            <rFont val="돋움"/>
            <family val="3"/>
            <charset val="129"/>
          </rPr>
          <t>는</t>
        </r>
        <r>
          <rPr>
            <sz val="9"/>
            <color indexed="81"/>
            <rFont val="Tahoma"/>
            <family val="2"/>
          </rPr>
          <t xml:space="preserve"> </t>
        </r>
        <r>
          <rPr>
            <sz val="9"/>
            <color indexed="81"/>
            <rFont val="돋움"/>
            <family val="3"/>
            <charset val="129"/>
          </rPr>
          <t>진행하지</t>
        </r>
        <r>
          <rPr>
            <sz val="9"/>
            <color indexed="81"/>
            <rFont val="Tahoma"/>
            <family val="2"/>
          </rPr>
          <t xml:space="preserve"> </t>
        </r>
        <r>
          <rPr>
            <sz val="9"/>
            <color indexed="81"/>
            <rFont val="돋움"/>
            <family val="3"/>
            <charset val="129"/>
          </rPr>
          <t>않기로</t>
        </r>
        <r>
          <rPr>
            <sz val="9"/>
            <color indexed="81"/>
            <rFont val="Tahoma"/>
            <family val="2"/>
          </rPr>
          <t xml:space="preserve"> </t>
        </r>
        <r>
          <rPr>
            <sz val="9"/>
            <color indexed="81"/>
            <rFont val="돋움"/>
            <family val="3"/>
            <charset val="129"/>
          </rPr>
          <t>논의함</t>
        </r>
        <r>
          <rPr>
            <sz val="9"/>
            <color indexed="81"/>
            <rFont val="Tahoma"/>
            <family val="2"/>
          </rPr>
          <t xml:space="preserve">(9/2)
</t>
        </r>
      </text>
    </comment>
    <comment ref="AU31" authorId="0" shapeId="0" xr:uid="{CC6380E3-1C03-4C62-B5D4-1D3923CC6699}">
      <text>
        <r>
          <rPr>
            <sz val="9"/>
            <color indexed="81"/>
            <rFont val="Tahoma"/>
            <family val="2"/>
          </rPr>
          <t>2</t>
        </r>
        <r>
          <rPr>
            <sz val="9"/>
            <color indexed="81"/>
            <rFont val="돋움"/>
            <family val="3"/>
            <charset val="129"/>
          </rPr>
          <t>년간</t>
        </r>
        <r>
          <rPr>
            <sz val="9"/>
            <color indexed="81"/>
            <rFont val="Tahoma"/>
            <family val="2"/>
          </rPr>
          <t xml:space="preserve"> AITS</t>
        </r>
        <r>
          <rPr>
            <sz val="9"/>
            <color indexed="81"/>
            <rFont val="돋움"/>
            <family val="3"/>
            <charset val="129"/>
          </rPr>
          <t>를</t>
        </r>
        <r>
          <rPr>
            <sz val="9"/>
            <color indexed="81"/>
            <rFont val="Tahoma"/>
            <family val="2"/>
          </rPr>
          <t xml:space="preserve"> </t>
        </r>
        <r>
          <rPr>
            <sz val="9"/>
            <color indexed="81"/>
            <rFont val="돋움"/>
            <family val="3"/>
            <charset val="129"/>
          </rPr>
          <t>적용하여</t>
        </r>
        <r>
          <rPr>
            <sz val="9"/>
            <color indexed="81"/>
            <rFont val="Tahoma"/>
            <family val="2"/>
          </rPr>
          <t xml:space="preserve"> AITS </t>
        </r>
        <r>
          <rPr>
            <sz val="9"/>
            <color indexed="81"/>
            <rFont val="돋움"/>
            <family val="3"/>
            <charset val="129"/>
          </rPr>
          <t>적용이</t>
        </r>
        <r>
          <rPr>
            <sz val="9"/>
            <color indexed="81"/>
            <rFont val="Tahoma"/>
            <family val="2"/>
          </rPr>
          <t xml:space="preserve"> </t>
        </r>
        <r>
          <rPr>
            <sz val="9"/>
            <color indexed="81"/>
            <rFont val="돋움"/>
            <family val="3"/>
            <charset val="129"/>
          </rPr>
          <t>가능함을</t>
        </r>
        <r>
          <rPr>
            <sz val="9"/>
            <color indexed="81"/>
            <rFont val="Tahoma"/>
            <family val="2"/>
          </rPr>
          <t xml:space="preserve"> </t>
        </r>
        <r>
          <rPr>
            <sz val="9"/>
            <color indexed="81"/>
            <rFont val="돋움"/>
            <family val="3"/>
            <charset val="129"/>
          </rPr>
          <t>확인하여</t>
        </r>
        <r>
          <rPr>
            <sz val="9"/>
            <color indexed="81"/>
            <rFont val="Tahoma"/>
            <family val="2"/>
          </rPr>
          <t xml:space="preserve"> Interim test</t>
        </r>
        <r>
          <rPr>
            <sz val="9"/>
            <color indexed="81"/>
            <rFont val="돋움"/>
            <family val="3"/>
            <charset val="129"/>
          </rPr>
          <t>는</t>
        </r>
        <r>
          <rPr>
            <sz val="9"/>
            <color indexed="81"/>
            <rFont val="Tahoma"/>
            <family val="2"/>
          </rPr>
          <t xml:space="preserve"> </t>
        </r>
        <r>
          <rPr>
            <sz val="9"/>
            <color indexed="81"/>
            <rFont val="돋움"/>
            <family val="3"/>
            <charset val="129"/>
          </rPr>
          <t>진행하지</t>
        </r>
        <r>
          <rPr>
            <sz val="9"/>
            <color indexed="81"/>
            <rFont val="Tahoma"/>
            <family val="2"/>
          </rPr>
          <t xml:space="preserve"> </t>
        </r>
        <r>
          <rPr>
            <sz val="9"/>
            <color indexed="81"/>
            <rFont val="돋움"/>
            <family val="3"/>
            <charset val="129"/>
          </rPr>
          <t>않기로</t>
        </r>
        <r>
          <rPr>
            <sz val="9"/>
            <color indexed="81"/>
            <rFont val="Tahoma"/>
            <family val="2"/>
          </rPr>
          <t xml:space="preserve"> </t>
        </r>
        <r>
          <rPr>
            <sz val="9"/>
            <color indexed="81"/>
            <rFont val="돋움"/>
            <family val="3"/>
            <charset val="129"/>
          </rPr>
          <t>논의함</t>
        </r>
        <r>
          <rPr>
            <sz val="9"/>
            <color indexed="81"/>
            <rFont val="Tahoma"/>
            <family val="2"/>
          </rPr>
          <t xml:space="preserve">(9/2)
</t>
        </r>
      </text>
    </comment>
    <comment ref="B175" authorId="1" shapeId="0" xr:uid="{C44915FA-CD2C-49A9-B737-B54159600B4D}">
      <text>
        <r>
          <rPr>
            <b/>
            <sz val="9"/>
            <color indexed="81"/>
            <rFont val="돋움체"/>
            <family val="3"/>
            <charset val="129"/>
          </rPr>
          <t>감사팀</t>
        </r>
        <r>
          <rPr>
            <b/>
            <sz val="9"/>
            <color indexed="81"/>
            <rFont val="Tahoma"/>
            <family val="2"/>
          </rPr>
          <t xml:space="preserve"> </t>
        </r>
        <r>
          <rPr>
            <b/>
            <sz val="9"/>
            <color indexed="81"/>
            <rFont val="돋움체"/>
            <family val="3"/>
            <charset val="129"/>
          </rPr>
          <t>재분석</t>
        </r>
        <r>
          <rPr>
            <b/>
            <sz val="9"/>
            <color indexed="81"/>
            <rFont val="Tahoma"/>
            <family val="2"/>
          </rPr>
          <t xml:space="preserve"> </t>
        </r>
        <r>
          <rPr>
            <b/>
            <sz val="9"/>
            <color indexed="81"/>
            <rFont val="돋움체"/>
            <family val="3"/>
            <charset val="129"/>
          </rPr>
          <t>요청</t>
        </r>
      </text>
    </comment>
    <comment ref="B220" authorId="1" shapeId="0" xr:uid="{E76038EC-46BE-4A32-9484-8783430F4E39}">
      <text>
        <r>
          <rPr>
            <sz val="9"/>
            <color indexed="81"/>
            <rFont val="Tahoma"/>
            <family val="2"/>
          </rPr>
          <t xml:space="preserve">2/23 </t>
        </r>
        <r>
          <rPr>
            <sz val="9"/>
            <color indexed="81"/>
            <rFont val="돋움체"/>
            <family val="3"/>
            <charset val="129"/>
          </rPr>
          <t>제외요청</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Kwak, Dong-Hyun (KR/Q&amp;RM-DPP)</author>
  </authors>
  <commentList>
    <comment ref="U2" authorId="0" shapeId="0" xr:uid="{B5D07C46-789F-4AA8-A765-8F7EA8A2EDB7}">
      <text>
        <r>
          <rPr>
            <b/>
            <sz val="9"/>
            <color indexed="81"/>
            <rFont val="Tahoma"/>
            <family val="2"/>
          </rPr>
          <t>Kwak, Dong-Hyun (KR/Q&amp;RM-DPP):</t>
        </r>
        <r>
          <rPr>
            <sz val="9"/>
            <color indexed="81"/>
            <rFont val="Tahoma"/>
            <family val="2"/>
          </rPr>
          <t xml:space="preserve">
</t>
        </r>
        <r>
          <rPr>
            <sz val="9"/>
            <color indexed="81"/>
            <rFont val="돋움"/>
            <family val="3"/>
            <charset val="129"/>
          </rPr>
          <t>이거</t>
        </r>
        <r>
          <rPr>
            <sz val="9"/>
            <color indexed="81"/>
            <rFont val="Tahoma"/>
            <family val="2"/>
          </rPr>
          <t xml:space="preserve"> </t>
        </r>
        <r>
          <rPr>
            <sz val="9"/>
            <color indexed="81"/>
            <rFont val="돋움"/>
            <family val="3"/>
            <charset val="129"/>
          </rPr>
          <t>붙여</t>
        </r>
        <r>
          <rPr>
            <sz val="9"/>
            <color indexed="81"/>
            <rFont val="Tahoma"/>
            <family val="2"/>
          </rPr>
          <t xml:space="preserve"> </t>
        </r>
        <r>
          <rPr>
            <sz val="9"/>
            <color indexed="81"/>
            <rFont val="돋움"/>
            <family val="3"/>
            <charset val="129"/>
          </rPr>
          <t>넣으면</t>
        </r>
        <r>
          <rPr>
            <sz val="9"/>
            <color indexed="81"/>
            <rFont val="Tahoma"/>
            <family val="2"/>
          </rPr>
          <t xml:space="preserve"> </t>
        </r>
        <r>
          <rPr>
            <sz val="9"/>
            <color indexed="81"/>
            <rFont val="돋움"/>
            <family val="3"/>
            <charset val="129"/>
          </rPr>
          <t>됩니다</t>
        </r>
        <r>
          <rPr>
            <sz val="9"/>
            <color indexed="81"/>
            <rFont val="Tahoma"/>
            <family val="2"/>
          </rPr>
          <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<sst xmlns="http://schemas.openxmlformats.org/spreadsheetml/2006/main" count="26418" uniqueCount="4115">
  <si>
    <t>Eng 정보</t>
    <phoneticPr fontId="7" type="noConversion"/>
  </si>
  <si>
    <t>Eng 인원 현황</t>
    <phoneticPr fontId="7" type="noConversion"/>
  </si>
  <si>
    <t>Scoping</t>
    <phoneticPr fontId="7" type="noConversion"/>
  </si>
  <si>
    <t>감사팀</t>
    <phoneticPr fontId="7" type="noConversion"/>
  </si>
  <si>
    <t>ITA</t>
    <phoneticPr fontId="7" type="noConversion"/>
  </si>
  <si>
    <t>IAC</t>
    <phoneticPr fontId="7" type="noConversion"/>
  </si>
  <si>
    <t>NO</t>
  </si>
  <si>
    <t>본부명</t>
  </si>
  <si>
    <t>계약코드</t>
  </si>
  <si>
    <t>계약명</t>
  </si>
  <si>
    <t>고객코드</t>
  </si>
  <si>
    <t>회사명</t>
  </si>
  <si>
    <t>법인구분</t>
  </si>
  <si>
    <t>업종-대분류</t>
  </si>
  <si>
    <t>업종-세분류</t>
  </si>
  <si>
    <t>KCw Industry</t>
    <phoneticPr fontId="7" type="noConversion"/>
  </si>
  <si>
    <t>ERP</t>
    <phoneticPr fontId="7" type="noConversion"/>
  </si>
  <si>
    <t>DPP</t>
    <phoneticPr fontId="7" type="noConversion"/>
  </si>
  <si>
    <t>EQCR</t>
    <phoneticPr fontId="7" type="noConversion"/>
  </si>
  <si>
    <t>EP</t>
    <phoneticPr fontId="7" type="noConversion"/>
  </si>
  <si>
    <t>EM</t>
    <phoneticPr fontId="7" type="noConversion"/>
  </si>
  <si>
    <t>ICA</t>
  </si>
  <si>
    <t>Staff</t>
    <phoneticPr fontId="7" type="noConversion"/>
  </si>
  <si>
    <t>전년도 참여</t>
  </si>
  <si>
    <t>변동사항</t>
  </si>
  <si>
    <t>변동사유</t>
  </si>
  <si>
    <t>STS Ticket
생성</t>
    <phoneticPr fontId="7" type="noConversion"/>
  </si>
  <si>
    <t>데이터업로드</t>
    <phoneticPr fontId="7" type="noConversion"/>
  </si>
  <si>
    <t>전처리/업로드</t>
    <phoneticPr fontId="7" type="noConversion"/>
  </si>
  <si>
    <t>분석 결과 제공</t>
    <phoneticPr fontId="7" type="noConversion"/>
  </si>
  <si>
    <t>ICE2</t>
  </si>
  <si>
    <t>FY24 삼성전자 외부감사</t>
    <phoneticPr fontId="7" type="noConversion"/>
  </si>
  <si>
    <t>삼성전자 (주)</t>
  </si>
  <si>
    <t>유가증권</t>
  </si>
  <si>
    <t>제조업</t>
  </si>
  <si>
    <t>통신 및 방송장비 제조업</t>
  </si>
  <si>
    <t>Industrial Products</t>
  </si>
  <si>
    <t>SAP S4 HANA</t>
    <phoneticPr fontId="7" type="noConversion"/>
  </si>
  <si>
    <t>김수영/손지연</t>
  </si>
  <si>
    <t>남상민</t>
  </si>
  <si>
    <t>한상현</t>
  </si>
  <si>
    <t>김지만</t>
  </si>
  <si>
    <t>박승환</t>
  </si>
  <si>
    <t>김민석</t>
  </si>
  <si>
    <t>위현준</t>
    <phoneticPr fontId="7" type="noConversion"/>
  </si>
  <si>
    <t>Y</t>
  </si>
  <si>
    <t>V</t>
    <phoneticPr fontId="7" type="noConversion"/>
  </si>
  <si>
    <t>ICE1</t>
  </si>
  <si>
    <t>SK하이닉스 FY2024 외부감사</t>
  </si>
  <si>
    <t>에스케이하이닉스</t>
  </si>
  <si>
    <t>다이오드, 트랜지스터 및 유사 반도체소자 제조업</t>
  </si>
  <si>
    <t>이현경</t>
  </si>
  <si>
    <t>변재준</t>
  </si>
  <si>
    <t>윤주헌</t>
  </si>
  <si>
    <t>김병민</t>
  </si>
  <si>
    <t>송성화</t>
  </si>
  <si>
    <t>이하린</t>
    <phoneticPr fontId="7" type="noConversion"/>
  </si>
  <si>
    <t>강동건</t>
    <phoneticPr fontId="7" type="noConversion"/>
  </si>
  <si>
    <t>CM2</t>
  </si>
  <si>
    <t>FY2024 롯데쇼핑 외부감사</t>
  </si>
  <si>
    <t>롯데쇼핑</t>
  </si>
  <si>
    <t>유통업</t>
  </si>
  <si>
    <t>백화점</t>
  </si>
  <si>
    <t>적용제외</t>
  </si>
  <si>
    <t>1. Bulk전표 구성
2. 마지막 감사
3. 연중에 data 입수 불가</t>
  </si>
  <si>
    <t>IM4</t>
  </si>
  <si>
    <t>두산에너빌리티_FY2024 외부감사</t>
    <phoneticPr fontId="7" type="noConversion"/>
  </si>
  <si>
    <t>두산에너빌리티</t>
  </si>
  <si>
    <t>기타 기관 및 터빈 제조업</t>
  </si>
  <si>
    <t>Oracle</t>
  </si>
  <si>
    <t>노민경</t>
  </si>
  <si>
    <t>강정구</t>
  </si>
  <si>
    <t>지현수</t>
  </si>
  <si>
    <t>신양호</t>
  </si>
  <si>
    <t>IM3</t>
  </si>
  <si>
    <t>기아 주식회사 2024년 외부감사</t>
    <phoneticPr fontId="7" type="noConversion"/>
  </si>
  <si>
    <t>기아 주식회사</t>
    <phoneticPr fontId="7" type="noConversion"/>
  </si>
  <si>
    <t>자동차제조업</t>
  </si>
  <si>
    <t>Automotive</t>
  </si>
  <si>
    <t>이채영</t>
  </si>
  <si>
    <t>이경석</t>
  </si>
  <si>
    <t>전현호</t>
  </si>
  <si>
    <t>최준성</t>
  </si>
  <si>
    <t>정대주</t>
    <phoneticPr fontId="7" type="noConversion"/>
  </si>
  <si>
    <t>남태은</t>
    <phoneticPr fontId="7" type="noConversion"/>
  </si>
  <si>
    <t>이지환</t>
    <phoneticPr fontId="7" type="noConversion"/>
  </si>
  <si>
    <t>IM1</t>
  </si>
  <si>
    <t>FY2024_SK네트웍스_법정감사</t>
    <phoneticPr fontId="7" type="noConversion"/>
  </si>
  <si>
    <t>SK 네트웍스 (주)</t>
    <phoneticPr fontId="7" type="noConversion"/>
  </si>
  <si>
    <t>도소매업</t>
  </si>
  <si>
    <t>기타 전문 도매업</t>
  </si>
  <si>
    <t>Retail</t>
  </si>
  <si>
    <t>황인영</t>
  </si>
  <si>
    <t>도정욱</t>
  </si>
  <si>
    <t>이주영</t>
  </si>
  <si>
    <t>문상웅</t>
  </si>
  <si>
    <t>천의성</t>
  </si>
  <si>
    <t>LG이노텍 2024년 외부감사</t>
    <phoneticPr fontId="7" type="noConversion"/>
  </si>
  <si>
    <t>엘지이노텍 주식회사</t>
  </si>
  <si>
    <t>전자부품 제조업</t>
  </si>
  <si>
    <t>김수연</t>
  </si>
  <si>
    <t>전철희</t>
  </si>
  <si>
    <t>민성진</t>
  </si>
  <si>
    <t>이한수</t>
  </si>
  <si>
    <t>김현준</t>
  </si>
  <si>
    <t>고동우</t>
  </si>
  <si>
    <t>이희정</t>
  </si>
  <si>
    <t>ENM 24년 법정감사</t>
  </si>
  <si>
    <t>(주) 씨제이이엔엠</t>
  </si>
  <si>
    <t>코스닥</t>
  </si>
  <si>
    <t>서비스업</t>
  </si>
  <si>
    <t>1. 담당EM이 당사보다 더 적합 eng로 교체를 희망</t>
  </si>
  <si>
    <t>FY24 외부감사_ 한화솔루션</t>
  </si>
  <si>
    <t>한화솔루션(주)</t>
  </si>
  <si>
    <t>석유화학계 기초 화학물질 제조업</t>
  </si>
  <si>
    <t>1. 마지막 감사
2. 별도내 부문별 ERP가 상이
3. 연결 ICFR으로 인한 공수 증가로 부담</t>
    <phoneticPr fontId="7" type="noConversion"/>
  </si>
  <si>
    <t>CM1</t>
  </si>
  <si>
    <t>이마트 FY24 외부감사</t>
  </si>
  <si>
    <t>(주) 이마트</t>
  </si>
  <si>
    <t>종합 소매업</t>
  </si>
  <si>
    <t>한온시스템 FY2024 외부감사</t>
  </si>
  <si>
    <t>한온시스템㈜</t>
  </si>
  <si>
    <t>IGH</t>
  </si>
  <si>
    <t>[SK가스] FY24 외부감사</t>
    <phoneticPr fontId="7" type="noConversion"/>
  </si>
  <si>
    <t>에스케이가스㈜</t>
  </si>
  <si>
    <t>에너지 공급업</t>
  </si>
  <si>
    <t>기체 연료 및 관련제품 도매업</t>
  </si>
  <si>
    <t>Energy and Natural Resources</t>
  </si>
  <si>
    <t>SAP S4 HANA</t>
  </si>
  <si>
    <t>노상호</t>
  </si>
  <si>
    <t>조승희</t>
  </si>
  <si>
    <t>최지선</t>
  </si>
  <si>
    <t>박지선</t>
  </si>
  <si>
    <t>고영기</t>
  </si>
  <si>
    <t>한민우</t>
  </si>
  <si>
    <t>FY2024 하이트진로 주식회사 외부감사</t>
  </si>
  <si>
    <t>하이트진로 (주)</t>
  </si>
  <si>
    <t>주류제조업</t>
  </si>
  <si>
    <t>Consumer Products</t>
  </si>
  <si>
    <t>정현진</t>
  </si>
  <si>
    <t>김중규</t>
  </si>
  <si>
    <t>김예현</t>
  </si>
  <si>
    <t>강건국</t>
  </si>
  <si>
    <t>[제일기획] FY2024 지정감사</t>
    <phoneticPr fontId="7" type="noConversion"/>
  </si>
  <si>
    <t>(주) 제일기획</t>
  </si>
  <si>
    <t>Media</t>
  </si>
  <si>
    <t>SAP ECC</t>
  </si>
  <si>
    <t>전혜지</t>
  </si>
  <si>
    <t>조일상</t>
  </si>
  <si>
    <t>이덕영</t>
  </si>
  <si>
    <t>박종근</t>
  </si>
  <si>
    <t>박태선</t>
  </si>
  <si>
    <t>임영범</t>
  </si>
  <si>
    <t>정진우</t>
  </si>
  <si>
    <t>IM2</t>
  </si>
  <si>
    <t>2024년 SK이노베이션 지정감사</t>
    <phoneticPr fontId="7" type="noConversion"/>
  </si>
  <si>
    <t>SK이노베이션(주)</t>
    <phoneticPr fontId="7" type="noConversion"/>
  </si>
  <si>
    <t>석유 정제품 제조업</t>
  </si>
  <si>
    <t>이동영</t>
  </si>
  <si>
    <t>노원</t>
  </si>
  <si>
    <t>이채능</t>
  </si>
  <si>
    <t>정필재</t>
  </si>
  <si>
    <t>김준수</t>
  </si>
  <si>
    <t>최현지</t>
  </si>
  <si>
    <t>김윤</t>
    <phoneticPr fontId="7" type="noConversion"/>
  </si>
  <si>
    <t>FY24 현대로템 외부감사</t>
  </si>
  <si>
    <t>현대로템 주식회사</t>
  </si>
  <si>
    <t>기관차 및 기타 철도차량 제조업</t>
  </si>
  <si>
    <t>1. 매출 진행기준
2. 비용 실재성 : Significant</t>
    <phoneticPr fontId="7" type="noConversion"/>
  </si>
  <si>
    <t>2024년 에스디바이오센서 외부감사</t>
  </si>
  <si>
    <t>에스디바이오센서(주)</t>
  </si>
  <si>
    <t>의료기기개발,제조 외</t>
  </si>
  <si>
    <t>Healthcare</t>
  </si>
  <si>
    <t>송은혜</t>
  </si>
  <si>
    <t>박성배</t>
  </si>
  <si>
    <t>김익찬</t>
  </si>
  <si>
    <t>이상현</t>
  </si>
  <si>
    <t>정효민</t>
  </si>
  <si>
    <t>제외 요청_20241002</t>
    <phoneticPr fontId="7" type="noConversion"/>
  </si>
  <si>
    <t>코로나 이후로 기업 규모 감소</t>
    <phoneticPr fontId="7" type="noConversion"/>
  </si>
  <si>
    <t>OCI주식회사 FY24 법정감사</t>
    <phoneticPr fontId="7" type="noConversion"/>
  </si>
  <si>
    <t>오씨아이 주식회사</t>
    <phoneticPr fontId="7" type="noConversion"/>
  </si>
  <si>
    <t>기타 기초 무기화학 물질 제조업</t>
  </si>
  <si>
    <t>Legacy</t>
    <phoneticPr fontId="7" type="noConversion"/>
  </si>
  <si>
    <t>김수영</t>
  </si>
  <si>
    <t>나재광</t>
  </si>
  <si>
    <t>김도영</t>
  </si>
  <si>
    <t>이수재</t>
    <phoneticPr fontId="7" type="noConversion"/>
  </si>
  <si>
    <t>장현옥</t>
    <phoneticPr fontId="7" type="noConversion"/>
  </si>
  <si>
    <t>현대백화점 2024년 외부감사</t>
    <phoneticPr fontId="7" type="noConversion"/>
  </si>
  <si>
    <t>주식회사 현대백화점</t>
    <phoneticPr fontId="7" type="noConversion"/>
  </si>
  <si>
    <t>장현민</t>
  </si>
  <si>
    <t>신장훈</t>
  </si>
  <si>
    <t>이세현</t>
  </si>
  <si>
    <t>김윤</t>
  </si>
  <si>
    <t>양소영</t>
  </si>
  <si>
    <t>유현석</t>
  </si>
  <si>
    <t>2024년 KG스틸 회계감사</t>
  </si>
  <si>
    <t>KG스틸(주)</t>
  </si>
  <si>
    <t>냉간 압연 및 압출 제품 제조업</t>
  </si>
  <si>
    <t>BGF리테일_2024외부감사</t>
  </si>
  <si>
    <t>비지에프리테일</t>
  </si>
  <si>
    <t>체인화 편의점</t>
  </si>
  <si>
    <t>아세아시멘트 2024년 회계감사</t>
    <phoneticPr fontId="7" type="noConversion"/>
  </si>
  <si>
    <t>아세아시멘트(주)</t>
    <phoneticPr fontId="7" type="noConversion"/>
  </si>
  <si>
    <t>시멘트 제조업</t>
  </si>
  <si>
    <t>Industrial Products</t>
    <phoneticPr fontId="7" type="noConversion"/>
  </si>
  <si>
    <t>김연정</t>
  </si>
  <si>
    <t>정양기</t>
  </si>
  <si>
    <t>배기웅</t>
  </si>
  <si>
    <t>이창우</t>
  </si>
  <si>
    <t>황준현</t>
  </si>
  <si>
    <t>이수정(slee307)</t>
    <phoneticPr fontId="7" type="noConversion"/>
  </si>
  <si>
    <t>FY2024 씨제이프레시웨이 외부감사</t>
  </si>
  <si>
    <t>씨제이프레시웨이 주식회사</t>
  </si>
  <si>
    <t>가공식품 도매업</t>
  </si>
  <si>
    <t>최진석</t>
  </si>
  <si>
    <t>김정기</t>
  </si>
  <si>
    <t>정지훈</t>
  </si>
  <si>
    <t>강동민</t>
  </si>
  <si>
    <t>오움남</t>
  </si>
  <si>
    <t>이은영</t>
  </si>
  <si>
    <t>FY24_보령 법정감사</t>
  </si>
  <si>
    <t>보령</t>
  </si>
  <si>
    <t>의약품 제조업</t>
  </si>
  <si>
    <t>박상훈</t>
  </si>
  <si>
    <t>성준희</t>
  </si>
  <si>
    <t>임혁순</t>
  </si>
  <si>
    <t>E1 FY24 외부감사(주기적지정)</t>
  </si>
  <si>
    <t>주식회사 E1</t>
    <phoneticPr fontId="7" type="noConversion"/>
  </si>
  <si>
    <t>지동현</t>
  </si>
  <si>
    <t>조화수</t>
  </si>
  <si>
    <t>주예솔</t>
  </si>
  <si>
    <t>김영일</t>
  </si>
  <si>
    <t>[대성산업] FY2024 외부감사</t>
  </si>
  <si>
    <t>대성산업</t>
  </si>
  <si>
    <t>연료 소매업</t>
  </si>
  <si>
    <t>임근구</t>
  </si>
  <si>
    <t>서세훈</t>
  </si>
  <si>
    <t>장혁준</t>
  </si>
  <si>
    <t>팜스코 - FY24 외부감사</t>
  </si>
  <si>
    <t>(주) 팜스코</t>
  </si>
  <si>
    <t>곡물가공품, 전분 및 전분제품 제조업</t>
  </si>
  <si>
    <t>박정수</t>
  </si>
  <si>
    <t>김도현</t>
  </si>
  <si>
    <t>박재훈</t>
  </si>
  <si>
    <t>이태섭</t>
  </si>
  <si>
    <t>박태규</t>
  </si>
  <si>
    <t>류동수</t>
  </si>
  <si>
    <t>[동양] FY2024 외부감사</t>
  </si>
  <si>
    <t>주식회사 동양</t>
  </si>
  <si>
    <t>레미콘 제조업</t>
  </si>
  <si>
    <t>김재연</t>
  </si>
  <si>
    <t>박상옥</t>
  </si>
  <si>
    <t>이재성</t>
  </si>
  <si>
    <t>이경훈</t>
  </si>
  <si>
    <t>정지현</t>
  </si>
  <si>
    <t>김현진</t>
  </si>
  <si>
    <t>한섬_2024년 외부감사</t>
    <phoneticPr fontId="7" type="noConversion"/>
  </si>
  <si>
    <t>한섬</t>
  </si>
  <si>
    <t>여자용 겉옷 제조업</t>
  </si>
  <si>
    <t>김주형</t>
  </si>
  <si>
    <t>오서영</t>
  </si>
  <si>
    <t>신은경</t>
  </si>
  <si>
    <t>이민성</t>
  </si>
  <si>
    <t>2024년 세아제강 회계감사</t>
    <phoneticPr fontId="7" type="noConversion"/>
  </si>
  <si>
    <t>주식회사 세아제강</t>
    <phoneticPr fontId="7" type="noConversion"/>
  </si>
  <si>
    <t>철강관 제조업</t>
  </si>
  <si>
    <t>김미희</t>
  </si>
  <si>
    <t>이동준</t>
  </si>
  <si>
    <t>성기찬</t>
  </si>
  <si>
    <t>이승현</t>
  </si>
  <si>
    <t>더블유씨피_외부감사_FY24</t>
    <phoneticPr fontId="7" type="noConversion"/>
  </si>
  <si>
    <t>더블유씨피 주식회사</t>
  </si>
  <si>
    <t>축전지 제조업</t>
  </si>
  <si>
    <t>현윤호</t>
  </si>
  <si>
    <t>정창길</t>
  </si>
  <si>
    <t>김성욱</t>
  </si>
  <si>
    <t>김종수</t>
  </si>
  <si>
    <t>남해화학 FY2024 외부감사</t>
    <phoneticPr fontId="7" type="noConversion"/>
  </si>
  <si>
    <t>남해화학</t>
    <phoneticPr fontId="7" type="noConversion"/>
  </si>
  <si>
    <t>복합비료 및 기타 화학비료 제조업</t>
  </si>
  <si>
    <t>황구철</t>
  </si>
  <si>
    <t>이종우</t>
  </si>
  <si>
    <t>송규원</t>
  </si>
  <si>
    <t>박재범</t>
  </si>
  <si>
    <t>곽혜진</t>
    <phoneticPr fontId="7" type="noConversion"/>
  </si>
  <si>
    <t>송지환</t>
    <phoneticPr fontId="7" type="noConversion"/>
  </si>
  <si>
    <t>[한독] FY2024 지정감사</t>
    <phoneticPr fontId="7" type="noConversion"/>
  </si>
  <si>
    <t>(주)한독</t>
  </si>
  <si>
    <t>완제 의약품 제조업</t>
  </si>
  <si>
    <t>정주희</t>
  </si>
  <si>
    <t>김시우</t>
  </si>
  <si>
    <t>김주인</t>
  </si>
  <si>
    <t>박경호</t>
  </si>
  <si>
    <t>현대리바트 2024년 외부감사(지정)</t>
  </si>
  <si>
    <t>(주)현대리바트</t>
  </si>
  <si>
    <t>FY24_대웅제약_외부감사(주기적지정)</t>
  </si>
  <si>
    <t>(주)대웅제약</t>
  </si>
  <si>
    <t>FY2024_외부감사_파트론</t>
    <phoneticPr fontId="7" type="noConversion"/>
  </si>
  <si>
    <t>주식회사 파트론</t>
    <phoneticPr fontId="7" type="noConversion"/>
  </si>
  <si>
    <t>정주연</t>
  </si>
  <si>
    <t>[지누스]2024년 외부감사</t>
    <phoneticPr fontId="7" type="noConversion"/>
  </si>
  <si>
    <t>지누스</t>
  </si>
  <si>
    <t>상품 종합 도매업</t>
  </si>
  <si>
    <t>박관종</t>
  </si>
  <si>
    <t>정용욱</t>
  </si>
  <si>
    <t>천지연</t>
  </si>
  <si>
    <t>[한화갤러리아] FY2024 외부감사</t>
    <phoneticPr fontId="7" type="noConversion"/>
  </si>
  <si>
    <t>한화갤러리아 (주)</t>
  </si>
  <si>
    <t>서비스 및 도소매업</t>
  </si>
  <si>
    <t>엄준식</t>
  </si>
  <si>
    <t>노영일</t>
  </si>
  <si>
    <t>오재연</t>
  </si>
  <si>
    <t>김민경</t>
  </si>
  <si>
    <t>황진서</t>
  </si>
  <si>
    <t>동원F&amp;B 외부감사_FY2024</t>
    <phoneticPr fontId="7" type="noConversion"/>
  </si>
  <si>
    <t>(주)동원에프엔비</t>
  </si>
  <si>
    <t>기타식품제조업</t>
  </si>
  <si>
    <t>손진영</t>
  </si>
  <si>
    <t>최연주</t>
  </si>
  <si>
    <t>에이치엘비_외부감사_FY24</t>
  </si>
  <si>
    <t>에이치엘비</t>
  </si>
  <si>
    <t>의료용품 및 기타 의약 관련제품 제조업</t>
  </si>
  <si>
    <t>FY2024_에코프로비엠_법정감사</t>
    <phoneticPr fontId="7" type="noConversion"/>
  </si>
  <si>
    <t>에코프로비엠</t>
    <phoneticPr fontId="7" type="noConversion"/>
  </si>
  <si>
    <t>이호재</t>
  </si>
  <si>
    <t>FY24_성일하이텍_외부감사</t>
  </si>
  <si>
    <t>성일하이텍 (주)</t>
  </si>
  <si>
    <t>최세홍</t>
  </si>
  <si>
    <t>이정수</t>
  </si>
  <si>
    <t>김현기</t>
  </si>
  <si>
    <t>이수민</t>
  </si>
  <si>
    <t>FY24 STX 외부감사</t>
  </si>
  <si>
    <t>STX</t>
  </si>
  <si>
    <t>상품종합도매</t>
  </si>
  <si>
    <t>최연석</t>
  </si>
  <si>
    <t>전태웅</t>
  </si>
  <si>
    <t>이승호</t>
  </si>
  <si>
    <t>FY2024_삼표시멘트_회계감사</t>
  </si>
  <si>
    <t>삼표시멘트</t>
  </si>
  <si>
    <t>기타 비금속 광물제품 제조업</t>
  </si>
  <si>
    <t>신동준</t>
  </si>
  <si>
    <t>김은석</t>
  </si>
  <si>
    <t>김경오</t>
  </si>
  <si>
    <t>홍재필</t>
  </si>
  <si>
    <t>최영수</t>
  </si>
  <si>
    <t>FY2024 해성디에스 외부감사</t>
  </si>
  <si>
    <t>해성디에스(주)</t>
  </si>
  <si>
    <t>염승훈</t>
  </si>
  <si>
    <t>이동찬</t>
  </si>
  <si>
    <t>황현인</t>
  </si>
  <si>
    <t>2024 SK에너지 외부감사</t>
  </si>
  <si>
    <t>SK에너지</t>
  </si>
  <si>
    <t>대형비상장</t>
  </si>
  <si>
    <t>강성채</t>
  </si>
  <si>
    <t>변상현</t>
  </si>
  <si>
    <t>이민규</t>
  </si>
  <si>
    <t>ICE3</t>
  </si>
  <si>
    <t>FY24_삼성디스플레이_외부감사</t>
    <phoneticPr fontId="7" type="noConversion"/>
  </si>
  <si>
    <t>삼성디스플레이</t>
  </si>
  <si>
    <t>액정 표시장치 제조업</t>
  </si>
  <si>
    <t>N/A</t>
  </si>
  <si>
    <t>설유진</t>
  </si>
  <si>
    <t>장진</t>
  </si>
  <si>
    <t>윤종석</t>
  </si>
  <si>
    <t>이은상</t>
  </si>
  <si>
    <t>FY24 카카오모빌리티 외부감사</t>
  </si>
  <si>
    <t>카카오모빌리티</t>
  </si>
  <si>
    <t>Services</t>
  </si>
  <si>
    <t>강상현</t>
  </si>
  <si>
    <t>김의진</t>
  </si>
  <si>
    <t>정병열</t>
  </si>
  <si>
    <t>제외 요청_20241008</t>
    <phoneticPr fontId="7" type="noConversion"/>
  </si>
  <si>
    <t>샘플수 많지 않음</t>
    <phoneticPr fontId="7" type="noConversion"/>
  </si>
  <si>
    <t>B&amp;F2</t>
  </si>
  <si>
    <t>키움예스저축은행 외부감사 FY24</t>
    <phoneticPr fontId="7" type="noConversion"/>
  </si>
  <si>
    <t>주식회사 키움예스저축은행</t>
  </si>
  <si>
    <t>외감</t>
  </si>
  <si>
    <t>금융업</t>
  </si>
  <si>
    <t>상호저축은행업</t>
  </si>
  <si>
    <t>Banking</t>
  </si>
  <si>
    <t>Legacy</t>
  </si>
  <si>
    <t>신대철</t>
  </si>
  <si>
    <t>임수빈</t>
  </si>
  <si>
    <t>이세연</t>
  </si>
  <si>
    <t>이다정</t>
  </si>
  <si>
    <t>B&amp;F3</t>
  </si>
  <si>
    <t>한화저축은행 FY2024 외부감사</t>
    <phoneticPr fontId="7" type="noConversion"/>
  </si>
  <si>
    <t>(주)한화저축은행</t>
  </si>
  <si>
    <t>상호저축은행</t>
  </si>
  <si>
    <t>복정수</t>
  </si>
  <si>
    <t>김종석</t>
  </si>
  <si>
    <t>유성일</t>
  </si>
  <si>
    <t>장지예</t>
  </si>
  <si>
    <t>정종훈</t>
  </si>
  <si>
    <t>손유덕</t>
  </si>
  <si>
    <t>FY2024 BYC 외부감사</t>
  </si>
  <si>
    <t>(주)BYC</t>
  </si>
  <si>
    <t>속옷 및 잠옷 제조업</t>
  </si>
  <si>
    <t>마진영</t>
  </si>
  <si>
    <t>박진숙</t>
  </si>
  <si>
    <t>김호용</t>
  </si>
  <si>
    <t>김건희</t>
  </si>
  <si>
    <t>추가 신청</t>
  </si>
  <si>
    <t>2024년 케이씨 외부감사</t>
    <phoneticPr fontId="7" type="noConversion"/>
  </si>
  <si>
    <t>(주)케이씨</t>
  </si>
  <si>
    <t>산업처리공정 제어장비 제조업</t>
  </si>
  <si>
    <t>강승미</t>
  </si>
  <si>
    <t>최연택</t>
  </si>
  <si>
    <t>강영호</t>
  </si>
  <si>
    <t>박강준</t>
  </si>
  <si>
    <t>강동준</t>
  </si>
  <si>
    <t>FY24 원일특강 외부감사</t>
  </si>
  <si>
    <t>주식회사 원일특강</t>
  </si>
  <si>
    <t>철강선 제조업</t>
  </si>
  <si>
    <t>손지연</t>
  </si>
  <si>
    <t>최윤정</t>
  </si>
  <si>
    <t>류종헌</t>
  </si>
  <si>
    <t>씨제이올리브영 외부감사_FY24</t>
    <phoneticPr fontId="7" type="noConversion"/>
  </si>
  <si>
    <t>씨제이올리브영 주식회사</t>
    <phoneticPr fontId="7" type="noConversion"/>
  </si>
  <si>
    <t>소매업</t>
  </si>
  <si>
    <t>김원석</t>
  </si>
  <si>
    <t>김진영</t>
  </si>
  <si>
    <t>이경민</t>
  </si>
  <si>
    <t>이정민</t>
  </si>
  <si>
    <t>CM1</t>
    <phoneticPr fontId="7" type="noConversion"/>
  </si>
  <si>
    <t>티케이지휴켐스 외부감사 FY24</t>
    <phoneticPr fontId="7" type="noConversion"/>
  </si>
  <si>
    <t>티케이지휴켐스㈜</t>
    <phoneticPr fontId="7" type="noConversion"/>
  </si>
  <si>
    <t>유가증권</t>
    <phoneticPr fontId="7" type="noConversion"/>
  </si>
  <si>
    <t>바이오 연료 및 혼합물 제조업</t>
    <phoneticPr fontId="7" type="noConversion"/>
  </si>
  <si>
    <t>권영찬</t>
  </si>
  <si>
    <t>이종현</t>
  </si>
  <si>
    <t>추가 신청_240909</t>
    <phoneticPr fontId="7" type="noConversion"/>
  </si>
  <si>
    <t>IM2</t>
    <phoneticPr fontId="7" type="noConversion"/>
  </si>
  <si>
    <t>1527025</t>
  </si>
  <si>
    <t>2024년 KG스틸 회계감사</t>
    <phoneticPr fontId="7" type="noConversion"/>
  </si>
  <si>
    <t>1000317103</t>
  </si>
  <si>
    <t>KG스틸(주)</t>
    <phoneticPr fontId="7" type="noConversion"/>
  </si>
  <si>
    <t>냉간 압연 및 압출 제품 제조업</t>
    <phoneticPr fontId="7" type="noConversion"/>
  </si>
  <si>
    <t>한정희</t>
  </si>
  <si>
    <t>박보람</t>
    <phoneticPr fontId="7" type="noConversion"/>
  </si>
  <si>
    <t>최제형</t>
  </si>
  <si>
    <t>추가 신청_240911</t>
    <phoneticPr fontId="7" type="noConversion"/>
  </si>
  <si>
    <t>CM2</t>
    <phoneticPr fontId="7" type="noConversion"/>
  </si>
  <si>
    <t>정준성</t>
    <phoneticPr fontId="7" type="noConversion"/>
  </si>
  <si>
    <t>박주원</t>
    <phoneticPr fontId="7" type="noConversion"/>
  </si>
  <si>
    <t>심지연</t>
    <phoneticPr fontId="7" type="noConversion"/>
  </si>
  <si>
    <t>탁현우</t>
    <phoneticPr fontId="7" type="noConversion"/>
  </si>
  <si>
    <t>김민준</t>
    <phoneticPr fontId="7" type="noConversion"/>
  </si>
  <si>
    <t>김정</t>
    <phoneticPr fontId="7" type="noConversion"/>
  </si>
  <si>
    <t>박정희</t>
    <phoneticPr fontId="7" type="noConversion"/>
  </si>
  <si>
    <t>김석영</t>
    <phoneticPr fontId="7" type="noConversion"/>
  </si>
  <si>
    <t>제외 요청_20241205</t>
    <phoneticPr fontId="7" type="noConversion"/>
  </si>
  <si>
    <t>금융회사 매출통제 적용 불가</t>
    <phoneticPr fontId="7" type="noConversion"/>
  </si>
  <si>
    <t>제외 요청_20241211</t>
    <phoneticPr fontId="7" type="noConversion"/>
  </si>
  <si>
    <t>제외 요청_20241216</t>
    <phoneticPr fontId="7" type="noConversion"/>
  </si>
  <si>
    <t>거래가 복잡하여 감사팀에서 직접 Sampling</t>
    <phoneticPr fontId="7" type="noConversion"/>
  </si>
  <si>
    <t>부적합 제외</t>
    <phoneticPr fontId="7" type="noConversion"/>
  </si>
  <si>
    <t>AITs 결과 H&amp;M 75% 초과</t>
    <phoneticPr fontId="7" type="noConversion"/>
  </si>
  <si>
    <t>기말감사 일정 상의 문제</t>
    <phoneticPr fontId="7" type="noConversion"/>
  </si>
  <si>
    <t>V</t>
  </si>
  <si>
    <t>제외 요청_20241217</t>
    <phoneticPr fontId="7" type="noConversion"/>
  </si>
  <si>
    <t>1. 샘플수 많지 않음(30건)</t>
  </si>
  <si>
    <t>공기 조화장치 제조업</t>
    <phoneticPr fontId="7" type="noConversion"/>
  </si>
  <si>
    <t>텔레비전 방송업</t>
    <phoneticPr fontId="7" type="noConversion"/>
  </si>
  <si>
    <t>Interim</t>
    <phoneticPr fontId="7" type="noConversion"/>
  </si>
  <si>
    <t>Year-end</t>
    <phoneticPr fontId="7" type="noConversion"/>
  </si>
  <si>
    <t>기말대상여부</t>
    <phoneticPr fontId="7" type="noConversion"/>
  </si>
  <si>
    <t>니프코코리아 FY24 회계감사</t>
    <phoneticPr fontId="7" type="noConversion"/>
  </si>
  <si>
    <t>1000316316</t>
  </si>
  <si>
    <t>니프코코리아</t>
  </si>
  <si>
    <t>제조업(기계장비,조립용플라스틱)</t>
  </si>
  <si>
    <t>조한얼</t>
    <phoneticPr fontId="7" type="noConversion"/>
  </si>
  <si>
    <t>이치백</t>
    <phoneticPr fontId="7" type="noConversion"/>
  </si>
  <si>
    <t>추가 신청_250210</t>
    <phoneticPr fontId="7" type="noConversion"/>
  </si>
  <si>
    <t>ITA에서 ORG생성</t>
    <phoneticPr fontId="7" type="noConversion"/>
  </si>
  <si>
    <t>(주)동원홈푸드 외부감사_FY24</t>
  </si>
  <si>
    <t>1000317622</t>
  </si>
  <si>
    <t>동원홈푸드</t>
  </si>
  <si>
    <t>기타 식품 첨가물 제조업</t>
  </si>
  <si>
    <t>김민국</t>
    <phoneticPr fontId="7" type="noConversion"/>
  </si>
  <si>
    <t>김지훈</t>
    <phoneticPr fontId="7" type="noConversion"/>
  </si>
  <si>
    <t>최연주</t>
    <phoneticPr fontId="7" type="noConversion"/>
  </si>
  <si>
    <t>유홍재</t>
    <phoneticPr fontId="7" type="noConversion"/>
  </si>
  <si>
    <t>이동준</t>
    <phoneticPr fontId="7" type="noConversion"/>
  </si>
  <si>
    <t>ORG생성여부</t>
    <phoneticPr fontId="7" type="noConversion"/>
  </si>
  <si>
    <t>Placeholder07</t>
  </si>
  <si>
    <t>Placeholder06</t>
  </si>
  <si>
    <t>Placeholder05</t>
  </si>
  <si>
    <t>Placeholder04</t>
  </si>
  <si>
    <t>Placeholder03</t>
  </si>
  <si>
    <t>Placeholder02</t>
  </si>
  <si>
    <t>최초 Interim 대상
2024-07-04</t>
    <phoneticPr fontId="7" type="noConversion"/>
  </si>
  <si>
    <t>Interim 대상(진행)
2024-09-02</t>
    <phoneticPr fontId="7" type="noConversion"/>
  </si>
  <si>
    <t>Interim 분석 수행</t>
    <phoneticPr fontId="7" type="noConversion"/>
  </si>
  <si>
    <t>Interim 대상(최종)
2025-01-15</t>
    <phoneticPr fontId="7" type="noConversion"/>
  </si>
  <si>
    <t>효율성이 높지 않다고 판단함</t>
  </si>
  <si>
    <t>기말 제외 요청</t>
    <phoneticPr fontId="7" type="noConversion"/>
  </si>
  <si>
    <t>기말 샘플링이 간편하다고 판단하여 AITS 김말에는 미적용</t>
  </si>
  <si>
    <t>기말 제외 요청_20250212</t>
    <phoneticPr fontId="7" type="noConversion"/>
  </si>
  <si>
    <t>최종비용청구</t>
    <phoneticPr fontId="7" type="noConversion"/>
  </si>
  <si>
    <t>기말 미사용</t>
    <phoneticPr fontId="7" type="noConversion"/>
  </si>
  <si>
    <t xml:space="preserve"> </t>
    <phoneticPr fontId="7" type="noConversion"/>
  </si>
  <si>
    <t>광고 대행업</t>
    <phoneticPr fontId="7" type="noConversion"/>
  </si>
  <si>
    <t>Global 집계</t>
    <phoneticPr fontId="7" type="noConversion"/>
  </si>
  <si>
    <t>화신</t>
  </si>
  <si>
    <t>화신</t>
    <phoneticPr fontId="7" type="noConversion"/>
  </si>
  <si>
    <t>청구단위</t>
    <phoneticPr fontId="7" type="noConversion"/>
  </si>
  <si>
    <t>Cost</t>
    <phoneticPr fontId="7" type="noConversion"/>
  </si>
  <si>
    <t>Enhanced</t>
    <phoneticPr fontId="7" type="noConversion"/>
  </si>
  <si>
    <t>SK이노베이션(주)</t>
  </si>
  <si>
    <t>조한얼</t>
  </si>
  <si>
    <t>T/M</t>
  </si>
  <si>
    <t>항목</t>
  </si>
  <si>
    <t>금액(개수)</t>
  </si>
  <si>
    <t>비고</t>
  </si>
  <si>
    <t>FY24 발생비용</t>
  </si>
  <si>
    <t>A</t>
  </si>
  <si>
    <t>GUP 수</t>
  </si>
  <si>
    <t>ea</t>
  </si>
  <si>
    <t>Global비용청구 단위는 Engagement가 아닌 GUP(Global Ultimate Parent)</t>
  </si>
  <si>
    <t>B</t>
  </si>
  <si>
    <t>GUP당 비용</t>
  </si>
  <si>
    <t>$</t>
  </si>
  <si>
    <t>C</t>
  </si>
  <si>
    <t>총비용</t>
  </si>
  <si>
    <t>A*B</t>
  </si>
  <si>
    <t>D</t>
  </si>
  <si>
    <t>Billed to ASPAC</t>
  </si>
  <si>
    <t>E</t>
  </si>
  <si>
    <t>차감 후 비용</t>
  </si>
  <si>
    <t>C+D</t>
  </si>
  <si>
    <t>F</t>
  </si>
  <si>
    <t>원천세 포함 비용</t>
  </si>
  <si>
    <t>비용배부</t>
  </si>
  <si>
    <t>Eng수</t>
  </si>
  <si>
    <t>Eng당 비용</t>
  </si>
  <si>
    <t>환율</t>
  </si>
  <si>
    <t>\/$</t>
  </si>
  <si>
    <t>2025.03.31 기준</t>
  </si>
  <si>
    <t>\</t>
  </si>
  <si>
    <t>ASPAC지원금</t>
    <phoneticPr fontId="7" type="noConversion"/>
  </si>
  <si>
    <t>E/0.9</t>
    <phoneticPr fontId="7" type="noConversion"/>
  </si>
  <si>
    <t>G</t>
    <phoneticPr fontId="7" type="noConversion"/>
  </si>
  <si>
    <t>H</t>
    <phoneticPr fontId="7" type="noConversion"/>
  </si>
  <si>
    <t>I</t>
    <phoneticPr fontId="7" type="noConversion"/>
  </si>
  <si>
    <t>J</t>
    <phoneticPr fontId="7" type="noConversion"/>
  </si>
  <si>
    <t>K</t>
    <phoneticPr fontId="7" type="noConversion"/>
  </si>
  <si>
    <t>L</t>
    <phoneticPr fontId="7" type="noConversion"/>
  </si>
  <si>
    <t>FY23 추가비용</t>
    <phoneticPr fontId="7" type="noConversion"/>
  </si>
  <si>
    <t>FY23 추가 사용 3건 $9,000, FY23 원천세 $11,666.66</t>
    <phoneticPr fontId="7" type="noConversion"/>
  </si>
  <si>
    <t>H/I</t>
    <phoneticPr fontId="7" type="noConversion"/>
  </si>
  <si>
    <t>G+F</t>
    <phoneticPr fontId="7" type="noConversion"/>
  </si>
  <si>
    <t>J*K</t>
    <phoneticPr fontId="7" type="noConversion"/>
  </si>
  <si>
    <t>Eng 수</t>
    <phoneticPr fontId="7" type="noConversion"/>
  </si>
  <si>
    <t>금액(USD)</t>
    <phoneticPr fontId="7" type="noConversion"/>
  </si>
  <si>
    <t>합계</t>
    <phoneticPr fontId="7" type="noConversion"/>
  </si>
  <si>
    <t>배부대상 비용</t>
    <phoneticPr fontId="7" type="noConversion"/>
  </si>
  <si>
    <t>본부</t>
    <phoneticPr fontId="20" type="noConversion"/>
  </si>
  <si>
    <t>Entity 명</t>
    <phoneticPr fontId="20" type="noConversion"/>
  </si>
  <si>
    <t>EP명</t>
  </si>
  <si>
    <t>(주)동원에프엔비</t>
    <phoneticPr fontId="20" type="noConversion"/>
  </si>
  <si>
    <t>(주)시노펙스</t>
  </si>
  <si>
    <t>다우기술</t>
  </si>
  <si>
    <t>한진희</t>
  </si>
  <si>
    <t>KPX홀딩스 (주)</t>
  </si>
  <si>
    <t>티케이지휴켐스(주)</t>
  </si>
  <si>
    <t>비와이엔블랙야크</t>
  </si>
  <si>
    <t>에스케이쉴더스(주)</t>
  </si>
  <si>
    <t>강인혜</t>
  </si>
  <si>
    <t>씨제이프레시웨이주식회사</t>
  </si>
  <si>
    <t>본부별비용</t>
    <phoneticPr fontId="20" type="noConversion"/>
  </si>
  <si>
    <t>본부별 단가@</t>
    <phoneticPr fontId="20" type="noConversion"/>
  </si>
  <si>
    <t>한국철강 주식회사</t>
  </si>
  <si>
    <t>정재욱</t>
  </si>
  <si>
    <t>주식회사 케이씨씨실리콘</t>
  </si>
  <si>
    <t>한대근</t>
  </si>
  <si>
    <t>풍산시스템</t>
  </si>
  <si>
    <t>김성배</t>
  </si>
  <si>
    <t>(주)인지디스플레이</t>
  </si>
  <si>
    <t>빙그레</t>
  </si>
  <si>
    <t>(주)농심</t>
  </si>
  <si>
    <t>유림테크</t>
  </si>
  <si>
    <t>김태준</t>
  </si>
  <si>
    <t>베베쿡</t>
  </si>
  <si>
    <t>㈜ 엘지유플러스</t>
  </si>
  <si>
    <t>ICE3</t>
    <phoneticPr fontId="20" type="noConversion"/>
  </si>
  <si>
    <t>정헌</t>
  </si>
  <si>
    <t>아세아제지(주)</t>
  </si>
  <si>
    <t>이상근</t>
  </si>
  <si>
    <t>백명종</t>
  </si>
  <si>
    <t>지아이티</t>
  </si>
  <si>
    <t>발렉스코리아주식회사</t>
  </si>
  <si>
    <t>이주한</t>
  </si>
  <si>
    <t>아르네코리아</t>
  </si>
  <si>
    <t>카길애그리퓨리나</t>
  </si>
  <si>
    <t>주식회사 코모스</t>
  </si>
  <si>
    <t>이호철</t>
  </si>
  <si>
    <t>주식회사 디와이엠솔루션</t>
    <phoneticPr fontId="7" type="noConversion"/>
  </si>
  <si>
    <t>주식회사 에스씨디</t>
    <phoneticPr fontId="7" type="noConversion"/>
  </si>
  <si>
    <t>한국항공우주산업 주식회사</t>
    <phoneticPr fontId="7" type="noConversion"/>
  </si>
  <si>
    <t>USD</t>
    <phoneticPr fontId="7" type="noConversion"/>
  </si>
  <si>
    <t>Eng Code</t>
    <phoneticPr fontId="7" type="noConversion"/>
  </si>
  <si>
    <t>김중규</t>
    <phoneticPr fontId="7" type="noConversion"/>
  </si>
  <si>
    <t>설문</t>
    <phoneticPr fontId="7" type="noConversion"/>
  </si>
  <si>
    <t>V</t>
    <phoneticPr fontId="7" type="noConversion"/>
  </si>
  <si>
    <t>X</t>
    <phoneticPr fontId="7" type="noConversion"/>
  </si>
  <si>
    <t>이희정</t>
    <phoneticPr fontId="7" type="noConversion"/>
  </si>
  <si>
    <t>발송</t>
    <phoneticPr fontId="7" type="noConversion"/>
  </si>
  <si>
    <t>회신</t>
    <phoneticPr fontId="7" type="noConversion"/>
  </si>
  <si>
    <t>SK하이닉스 FY2025 외부감사</t>
    <phoneticPr fontId="7" type="noConversion"/>
  </si>
  <si>
    <t>O</t>
    <phoneticPr fontId="7" type="noConversion"/>
  </si>
  <si>
    <t>IM4</t>
    <phoneticPr fontId="7" type="noConversion"/>
  </si>
  <si>
    <t>Korea Electric Power Corporation</t>
    <phoneticPr fontId="7" type="noConversion"/>
  </si>
  <si>
    <t>그 외 기타 정보 서비스업</t>
  </si>
  <si>
    <t>기중매출실재성 위험평가를 Base로 한 것에 대한 후속적인 확인 목적으로 1~9월 AITS를 활용하였으며,
1~12월 전체에 대하여 MUS 실증절차로 마무리하였다 라는 방향으로 감사계획 수립</t>
  </si>
  <si>
    <t>1. cash to revenue SAP로 감사절차를 계획</t>
  </si>
  <si>
    <t>1. 매출 실재성 Elevated</t>
  </si>
  <si>
    <t>1. 매출 샘플수 300개로 감당가능</t>
  </si>
  <si>
    <t>매출 실재성 Elevated</t>
  </si>
  <si>
    <t>1. 매출 실재성 Elevated 또는 Siginificant</t>
  </si>
  <si>
    <t>1. 기존 MUS 예상 샘플 3건(연환산)</t>
  </si>
  <si>
    <t>1.	AITS 담당자 측에 제출한 자료는 상반기 분개장으로, 분개장 내 매출전표들이 모두 High/Medium/Low로 누락없이 평가되었으며, 추가감사절차가 요구되지 않는 Low 항목을 제외한 금액은 약 733억으로, 733억에 해당하는 매출전표에 대해서만 MUS를 수행하기로 결정함. (모집단 금액이 절반 이하로 감소)
2.	다만, MUS에 사용될 모집단 파일이 분개장 중 매출전표인데, 매출전표 각 건이 여러 납품건의 합계로 구성되어 있어 샘플 하나당 여러 개의 증빙을 확인해야 하고, 거액의 음수전표가 다량이 포함되어 있음. 실질적인 샘플 수 감소 효과가 없어짐.
3.	따라서 MUS를 수행하기 위해 매출원장을 사용하는 것은 효율성 측면에서 타당하지 않다고 판단하였고, 거래명세서와 정확히 일대일로 대응되는 납품리스트를 별도로 수령하여 MUS를 수행하기로 결정함.
4.	다만 회사 실무상 H/M로 평가된 733억원어치의 매출분개장 리스트와 납품리스트를 정확히 대응할 수 없음.
즉, MUS 수행 대상 모집단을 매출분개장이 아닌 납품리스트로 선정한다면 Low 항목을 포함한 반기매출 전체에 해당하는 납품리스트가 모집단이 되어야 함.
5.	당기 CAR가 S에서 B로 하향되었고, 3분기 납품리스트를 가공하여 MUS를 수행한 결과 54개의 샘플만이 추출되었고, 연환산시 72개로 전기 대비 샘플 수가 크게 감소함(80% 이상)
6.	이에 따라 AITS를 통한 샘플링을 수행하지 않고, 전기와 동일한 자료와 동일한 방식을 사용하되, 모집단 가공절차만을 추가로 수행하기로 결정함.</t>
  </si>
  <si>
    <t>FY25_한국전력공사_외부회계감사</t>
    <phoneticPr fontId="7" type="noConversion"/>
  </si>
  <si>
    <t>유가증권(FPI)</t>
    <phoneticPr fontId="7" type="noConversion"/>
  </si>
  <si>
    <t>N</t>
    <phoneticPr fontId="7" type="noConversion"/>
  </si>
  <si>
    <t>[한국수력원자력] FY2025 회계감사</t>
    <phoneticPr fontId="7" type="noConversion"/>
  </si>
  <si>
    <t>한국수력원자력 ㈜</t>
    <phoneticPr fontId="7" type="noConversion"/>
  </si>
  <si>
    <t>1분기</t>
    <phoneticPr fontId="7" type="noConversion"/>
  </si>
  <si>
    <t>3분기</t>
    <phoneticPr fontId="7" type="noConversion"/>
  </si>
  <si>
    <t>2분기</t>
    <phoneticPr fontId="7" type="noConversion"/>
  </si>
  <si>
    <t>4분기</t>
    <phoneticPr fontId="7" type="noConversion"/>
  </si>
  <si>
    <t>Energy and Natural Resources</t>
    <phoneticPr fontId="7" type="noConversion"/>
  </si>
  <si>
    <t>에너지 및 천연자원 사업</t>
    <phoneticPr fontId="7" type="noConversion"/>
  </si>
  <si>
    <t>FY25_한국전력공사_외부회계감사</t>
  </si>
  <si>
    <t>[한국수력원자력] FY2025 회계감사</t>
  </si>
  <si>
    <t>ICE3</t>
    <phoneticPr fontId="7" type="noConversion"/>
  </si>
  <si>
    <t>에스케이브로드밴드 주식회사</t>
    <phoneticPr fontId="7" type="noConversion"/>
  </si>
  <si>
    <t>SK브로드밴드 2025년 외부감사</t>
    <phoneticPr fontId="7" type="noConversion"/>
  </si>
  <si>
    <t>일반(채권상장/FPI)</t>
    <phoneticPr fontId="7" type="noConversion"/>
  </si>
  <si>
    <t>유선통신업</t>
    <phoneticPr fontId="7" type="noConversion"/>
  </si>
  <si>
    <t>전력사업</t>
    <phoneticPr fontId="7" type="noConversion"/>
  </si>
  <si>
    <t>Library</t>
    <phoneticPr fontId="7" type="noConversion"/>
  </si>
  <si>
    <t>Industry</t>
    <phoneticPr fontId="7" type="noConversion"/>
  </si>
  <si>
    <t>Information</t>
    <phoneticPr fontId="7" type="noConversion"/>
  </si>
  <si>
    <t>KCw</t>
    <phoneticPr fontId="7" type="noConversion"/>
  </si>
  <si>
    <t>IM2</t>
    <phoneticPr fontId="7" type="noConversion"/>
  </si>
  <si>
    <t>정필재(pjeong@kr.kpmg.com)</t>
    <phoneticPr fontId="7" type="noConversion"/>
  </si>
  <si>
    <t>SK이노베이션㈜</t>
    <phoneticPr fontId="7" type="noConversion"/>
  </si>
  <si>
    <t>SK이노베이션 2025년 외부감사</t>
  </si>
  <si>
    <t>SK이노베이션 2025년 외부감사</t>
    <phoneticPr fontId="7" type="noConversion"/>
  </si>
  <si>
    <t>KR_KPMG Dashboards - IFRS v3.1 - Oil &amp; Gas Industry</t>
    <phoneticPr fontId="7" type="noConversion"/>
  </si>
  <si>
    <t>KR_KPMG Dashboards - IFRS v3.1 - Media &amp; Telecoms Industry</t>
    <phoneticPr fontId="7" type="noConversion"/>
  </si>
  <si>
    <t>V</t>
    <phoneticPr fontId="7" type="noConversion"/>
  </si>
  <si>
    <t>SK브로드밴드 2025년 외부감사</t>
  </si>
  <si>
    <t>IM1</t>
    <phoneticPr fontId="7" type="noConversion"/>
  </si>
  <si>
    <t>SK에너지 주식회사</t>
    <phoneticPr fontId="7" type="noConversion"/>
  </si>
  <si>
    <t>2025 SK에너지 외부감사</t>
    <phoneticPr fontId="7" type="noConversion"/>
  </si>
  <si>
    <t>일반</t>
    <phoneticPr fontId="7" type="noConversion"/>
  </si>
  <si>
    <t>이민규(mingyulee@kr.kpmg.com)</t>
    <phoneticPr fontId="7" type="noConversion"/>
  </si>
  <si>
    <t>Manufacture</t>
    <phoneticPr fontId="7" type="noConversion"/>
  </si>
  <si>
    <t>AITS Setting</t>
    <phoneticPr fontId="7" type="noConversion"/>
  </si>
  <si>
    <t>KR_KPMG Dashboards - IFRS v3.1 - Base Industry: UpdateMay2025</t>
    <phoneticPr fontId="7" type="noConversion"/>
  </si>
  <si>
    <t>Utilities</t>
    <phoneticPr fontId="7" type="noConversion"/>
  </si>
  <si>
    <t>지주회사</t>
  </si>
  <si>
    <t>포털 및 기타 인터넷 정보매개 서비스업</t>
  </si>
  <si>
    <t>자동차부품제조업</t>
  </si>
  <si>
    <t>항공 여객 운송업</t>
  </si>
  <si>
    <t>기초 의약 물질 제조업</t>
  </si>
  <si>
    <t>정보서비스업</t>
  </si>
  <si>
    <t>게임 소프트웨어 개발 및 공급업</t>
  </si>
  <si>
    <t>선박건조업</t>
  </si>
  <si>
    <t>기타 식품 제조업</t>
  </si>
  <si>
    <t>외항 화물 운송업</t>
  </si>
  <si>
    <t>원유 정제처리업</t>
  </si>
  <si>
    <t>광고 대행업</t>
  </si>
  <si>
    <t>기체연료 및 관련제품 도매업</t>
  </si>
  <si>
    <t>전기회로 개폐, 보호장치 제조업</t>
  </si>
  <si>
    <t>기타 화학제품 제조업</t>
  </si>
  <si>
    <t>자동차용 엔진 및 자동차 제조업</t>
  </si>
  <si>
    <t>운송장비용 이차전지 제조업</t>
  </si>
  <si>
    <t>선박 및 수상 부유 구조물 건조업</t>
  </si>
  <si>
    <t>소프트웨어 개발 및 공급업</t>
  </si>
  <si>
    <t>유선 방송업</t>
  </si>
  <si>
    <t>기타 절연선 및 케이블 제조업</t>
  </si>
  <si>
    <t>생활용품 도매업</t>
  </si>
  <si>
    <t>유선 온라인 게임 소프트웨어 개발 및 공급업</t>
  </si>
  <si>
    <t>음악 및 기타 오디오물 출판업</t>
  </si>
  <si>
    <t>콘크리트, 레미콘 및 기타 시멘트, 플라스터 제품 제조업</t>
  </si>
  <si>
    <t>무점포 소매업</t>
  </si>
  <si>
    <t>상품 중개업</t>
  </si>
  <si>
    <t xml:space="preserve">응용 소프트웨어 개발 및 공급업 </t>
  </si>
  <si>
    <t>곡물 가공품, 전분 및 전분제품 제조업</t>
  </si>
  <si>
    <t>부동산 임대 및 공급업</t>
  </si>
  <si>
    <t>창작 및 예술관련 서비스업</t>
  </si>
  <si>
    <t xml:space="preserve">시스템 소프트웨어 개발 및 공급업 </t>
  </si>
  <si>
    <t>화물운송 중개, 대리 및 관련서비스업</t>
  </si>
  <si>
    <t>합성수지 및 기타 플라스틱 물질 제조업</t>
  </si>
  <si>
    <t>전자집적회로 제조업</t>
  </si>
  <si>
    <t>일반 화물자동차 운송업</t>
  </si>
  <si>
    <t>펄프, 종이 및 판지 제조업</t>
  </si>
  <si>
    <t>통신 판매업</t>
  </si>
  <si>
    <t>자동차 임대업</t>
  </si>
  <si>
    <t>기타통신판매업</t>
  </si>
  <si>
    <t>전기식 진단 및 요법 기기 제조업</t>
  </si>
  <si>
    <t>증류기, 열 교환기 및 가스 발생기 제조업</t>
  </si>
  <si>
    <t>자동차 재제조 부품 제조업</t>
  </si>
  <si>
    <t>바이오 의약품 개발 및 상업화</t>
  </si>
  <si>
    <t xml:space="preserve">도매 및 상품 중개업 </t>
  </si>
  <si>
    <t>동력식 수지공구 제조업</t>
  </si>
  <si>
    <t>시멘트 제조 및 판매</t>
  </si>
  <si>
    <t>가정용 비전기식 조리 및 난방 기구 제조업</t>
  </si>
  <si>
    <t>광학기기 제조업</t>
  </si>
  <si>
    <t>영화 및 비디오물 상영업</t>
  </si>
  <si>
    <t>합성섬유 제조업</t>
  </si>
  <si>
    <t>일반용 도료 및 관련제품 제조업</t>
  </si>
  <si>
    <t>비금융지주</t>
  </si>
  <si>
    <t xml:space="preserve">데이터베이스 및 온라인정보 제공업 </t>
  </si>
  <si>
    <t>그 외 기타 분류 안된 전문, 과학 및 기술 서비스업</t>
  </si>
  <si>
    <t>의료용 물질 및 의약품 제조업</t>
  </si>
  <si>
    <t>알루미늄 압연, 압출 및 연신제품 제조업</t>
  </si>
  <si>
    <t>기타 전자 부품 제조업</t>
  </si>
  <si>
    <t>전자제품의 제조 및 판매</t>
  </si>
  <si>
    <t>화학제품 제조업</t>
  </si>
  <si>
    <t>자동차 신품 부품 제조업</t>
  </si>
  <si>
    <t>절연선 및 케이블 제조업</t>
  </si>
  <si>
    <t xml:space="preserve">통신 및 방송장비 제조업 </t>
  </si>
  <si>
    <t>동물용 사료 및 조제식품 제조업</t>
  </si>
  <si>
    <t>기타 음향기기 제조업</t>
  </si>
  <si>
    <t>영화, 비디오물 및 방송프로그램 제작 관련 서비스업</t>
  </si>
  <si>
    <t>기타 전자부품 제조업</t>
  </si>
  <si>
    <t>가금류 가공 및 저장 처리업</t>
  </si>
  <si>
    <t>철근 제조 판매</t>
  </si>
  <si>
    <t>시스템 소프트웨어 개발 및 공급업</t>
  </si>
  <si>
    <t>금융 지원 서비스업</t>
  </si>
  <si>
    <t>펄프, 종이 및 종이제품 제조업</t>
  </si>
  <si>
    <t>골판지 및 골판지상자 제조업</t>
  </si>
  <si>
    <t>응용 소프트웨어 개발 및 공급업</t>
  </si>
  <si>
    <t>시스템소프트웨어 개발 및 공급업</t>
  </si>
  <si>
    <t>자동차 엔진용 부품 제조업</t>
  </si>
  <si>
    <t>화장품, 건강식품의 도소매업</t>
  </si>
  <si>
    <t>지주사</t>
  </si>
  <si>
    <t>석유화학 제조업</t>
  </si>
  <si>
    <t>통신판매업</t>
  </si>
  <si>
    <t xml:space="preserve">자동차 엔진용 부품 제조업 </t>
  </si>
  <si>
    <t>컴퓨터 및 주변장치, 소프트웨어 도매업</t>
  </si>
  <si>
    <t>자동차신품판매업</t>
  </si>
  <si>
    <t>음ㆍ식료품 및 담배 도매업</t>
  </si>
  <si>
    <t>의학 및 약학 연구개발업</t>
  </si>
  <si>
    <t>통신업</t>
  </si>
  <si>
    <t>반도체 제조용 기계 제조업</t>
  </si>
  <si>
    <t>비알코올 음료점업</t>
  </si>
  <si>
    <t>전문직별 공사업</t>
  </si>
  <si>
    <t xml:space="preserve">외항 화물 운송업 </t>
  </si>
  <si>
    <t>내연기관 제조업</t>
  </si>
  <si>
    <t>사진장비 및 광학 기기 제조업</t>
  </si>
  <si>
    <t>기계장비 및 관련 물품 도매업</t>
  </si>
  <si>
    <t>데이터베이스 및 온라인 정보 제공업</t>
  </si>
  <si>
    <t>비료 및 질소 화합물 제조업</t>
  </si>
  <si>
    <t>골판지, 종이 상자 및 종이 용기 제조업</t>
  </si>
  <si>
    <t>건설폐기물처리업</t>
  </si>
  <si>
    <t>액상시유 및 기타 낙농제품 제조업</t>
  </si>
  <si>
    <t>특수 목적용 기계 제조업</t>
  </si>
  <si>
    <t>항공기 및 항공기 관련 부품의 조립 및 판매</t>
  </si>
  <si>
    <t>온라인 음악 서비스, 음반 및 디지컬 콘텐츠 유통,</t>
  </si>
  <si>
    <t>기타 기초무기화학물질 제조업</t>
  </si>
  <si>
    <t>기타 신발 제조업</t>
  </si>
  <si>
    <t>개인 및 소비용품 수리업</t>
  </si>
  <si>
    <t>산업용 송풍기 및 배기장치 제조업</t>
  </si>
  <si>
    <t>인쇄회로기판용 적층판 제조업</t>
  </si>
  <si>
    <t>원양 어업</t>
  </si>
  <si>
    <t>화장품 제조업</t>
  </si>
  <si>
    <t>의료기기업</t>
  </si>
  <si>
    <t>온오프라인교육학원</t>
  </si>
  <si>
    <t>설치용 금속탱크 및 저장용기 제조업</t>
  </si>
  <si>
    <t>지주업</t>
  </si>
  <si>
    <t xml:space="preserve">그외 기타 전자부품 제조업 </t>
  </si>
  <si>
    <t>가전제품 소매업</t>
  </si>
  <si>
    <t>이동형 학교 모듈러 제작</t>
  </si>
  <si>
    <t>그외 기타 자동차 부품 제조업</t>
  </si>
  <si>
    <t>유아식제조업</t>
  </si>
  <si>
    <t>김준형(jkim143@kr.kpmg.com)</t>
  </si>
  <si>
    <t>박재영(jaeyoungpark@kr.kpmg.com)</t>
    <phoneticPr fontId="7" type="noConversion"/>
  </si>
  <si>
    <t>ICE2</t>
    <phoneticPr fontId="7" type="noConversion"/>
  </si>
  <si>
    <t>FY25 삼성전자 외부감사</t>
    <phoneticPr fontId="7" type="noConversion"/>
  </si>
  <si>
    <t>IM2</t>
    <phoneticPr fontId="7" type="noConversion"/>
  </si>
  <si>
    <t xml:space="preserve">SK (주) </t>
    <phoneticPr fontId="7" type="noConversion"/>
  </si>
  <si>
    <t>SK(주) 2025년 외부감사</t>
    <phoneticPr fontId="7" type="noConversion"/>
  </si>
  <si>
    <t>2025년 카카오 외부감사</t>
    <phoneticPr fontId="7" type="noConversion"/>
  </si>
  <si>
    <t>김세모(semokim@kr.kpmg.com)</t>
    <phoneticPr fontId="7" type="noConversion"/>
  </si>
  <si>
    <t>정진우(jjung9@kr.kpmg.com)</t>
    <phoneticPr fontId="7" type="noConversion"/>
  </si>
  <si>
    <t>ICE3</t>
    <phoneticPr fontId="7" type="noConversion"/>
  </si>
  <si>
    <t>FY25 네이버 외부감사</t>
    <phoneticPr fontId="7" type="noConversion"/>
  </si>
  <si>
    <t>IM3</t>
    <phoneticPr fontId="7" type="noConversion"/>
  </si>
  <si>
    <t>FY25 현대모비스 외부감사</t>
    <phoneticPr fontId="7" type="noConversion"/>
  </si>
  <si>
    <t>정대주(djung4@kr.kpmg.com)</t>
    <phoneticPr fontId="7" type="noConversion"/>
  </si>
  <si>
    <t>2025 회계연도 법정감사_대한항공</t>
    <phoneticPr fontId="7" type="noConversion"/>
  </si>
  <si>
    <t>김상우(skim56@kr.kpmg.com)</t>
    <phoneticPr fontId="7" type="noConversion"/>
  </si>
  <si>
    <t>고요섭(yosupgo@kr.kpmg.com)</t>
    <phoneticPr fontId="7" type="noConversion"/>
  </si>
  <si>
    <t>[아시아나항공] 2025년 지정 감사</t>
    <phoneticPr fontId="7" type="noConversion"/>
  </si>
  <si>
    <t>삼성바이오로직스 외부감사_FY25</t>
    <phoneticPr fontId="7" type="noConversion"/>
  </si>
  <si>
    <t>FY25_삼성디스플레이_외부감사</t>
    <phoneticPr fontId="7" type="noConversion"/>
  </si>
  <si>
    <t>장진(jinjang@kr.kpmg.com)</t>
    <phoneticPr fontId="7" type="noConversion"/>
  </si>
  <si>
    <t>윤종석(jongseokyoun@kr.kpmg.com)</t>
    <phoneticPr fontId="7" type="noConversion"/>
  </si>
  <si>
    <t>FY2025_SK네트웍스_법정감사</t>
    <phoneticPr fontId="7" type="noConversion"/>
  </si>
  <si>
    <t>박율철(yulcheolpark@kr.kpmg.com)</t>
    <phoneticPr fontId="7" type="noConversion"/>
  </si>
  <si>
    <t>두나무_외부감사_FY2025</t>
    <phoneticPr fontId="7" type="noConversion"/>
  </si>
  <si>
    <t>CM2</t>
    <phoneticPr fontId="7" type="noConversion"/>
  </si>
  <si>
    <t>롯데지주 2025년 외부감사(지정)</t>
    <phoneticPr fontId="7" type="noConversion"/>
  </si>
  <si>
    <t>이광수(kwangsulee@kr.kpmg.com)</t>
    <phoneticPr fontId="7" type="noConversion"/>
  </si>
  <si>
    <t>FY25 넷마블 외부감사</t>
    <phoneticPr fontId="7" type="noConversion"/>
  </si>
  <si>
    <t>이윤아(yoonahlee@kr.kpmg.com)</t>
    <phoneticPr fontId="7" type="noConversion"/>
  </si>
  <si>
    <t>이형철(hyeongcheollee@kr.kpmg.com)</t>
    <phoneticPr fontId="7" type="noConversion"/>
  </si>
  <si>
    <t xml:space="preserve">에이치디현대중공업 주식회사 </t>
    <phoneticPr fontId="7" type="noConversion"/>
  </si>
  <si>
    <t>FY2025 HD현대중공업 주식회사 외부감사</t>
    <phoneticPr fontId="7" type="noConversion"/>
  </si>
  <si>
    <t>FY2025 롯데웰푸드 외부감사</t>
    <phoneticPr fontId="7" type="noConversion"/>
  </si>
  <si>
    <t>이치백(clee60@kr.kpmg.com)</t>
    <phoneticPr fontId="7" type="noConversion"/>
  </si>
  <si>
    <t>IM4</t>
    <phoneticPr fontId="7" type="noConversion"/>
  </si>
  <si>
    <t>[팬오션] FY25 외부감사 (주기적 지정)</t>
    <phoneticPr fontId="7" type="noConversion"/>
  </si>
  <si>
    <t>남종수(jongsunam@kr.kpmg.com)</t>
    <phoneticPr fontId="7" type="noConversion"/>
  </si>
  <si>
    <t>에스케이지오센트릭 주식회사 FY2025 외부감사</t>
    <phoneticPr fontId="7" type="noConversion"/>
  </si>
  <si>
    <t>CM1</t>
    <phoneticPr fontId="7" type="noConversion"/>
  </si>
  <si>
    <t>FY2025 하이트진로 주식회사 외부감사</t>
    <phoneticPr fontId="7" type="noConversion"/>
  </si>
  <si>
    <t>강건국(konkukkang@kr.kpmg.com)</t>
    <phoneticPr fontId="7" type="noConversion"/>
  </si>
  <si>
    <t>GSC FY25 회계감사</t>
    <phoneticPr fontId="7" type="noConversion"/>
  </si>
  <si>
    <t>주예솔(yeasolju@kr.kpmg.com)</t>
    <phoneticPr fontId="7" type="noConversion"/>
  </si>
  <si>
    <t>김찬양(ckim12@kr.kpmg.com)</t>
    <phoneticPr fontId="7" type="noConversion"/>
  </si>
  <si>
    <t>크래프톤 FY25 외부감사</t>
    <phoneticPr fontId="7" type="noConversion"/>
  </si>
  <si>
    <t>IGH</t>
    <phoneticPr fontId="7" type="noConversion"/>
  </si>
  <si>
    <t>[제일기획] FY2025 지정감사</t>
    <phoneticPr fontId="7" type="noConversion"/>
  </si>
  <si>
    <t>E1 2025 회계감사(주기적지정)</t>
    <phoneticPr fontId="7" type="noConversion"/>
  </si>
  <si>
    <t>김영일(ykim47@kr.kpmg.com)</t>
    <phoneticPr fontId="7" type="noConversion"/>
  </si>
  <si>
    <t>현대백화점 2025년 외부감사</t>
    <phoneticPr fontId="7" type="noConversion"/>
  </si>
  <si>
    <t>이세현(sehyunlee@kr.kpmg.com)</t>
    <phoneticPr fontId="7" type="noConversion"/>
  </si>
  <si>
    <t>김윤(ykim85@kr.kpmg.com)</t>
    <phoneticPr fontId="7" type="noConversion"/>
  </si>
  <si>
    <t>2025년 LS일렉트릭 지정감사</t>
    <phoneticPr fontId="7" type="noConversion"/>
  </si>
  <si>
    <t xml:space="preserve">에스케이씨 (주) </t>
    <phoneticPr fontId="7" type="noConversion"/>
  </si>
  <si>
    <t>2025년 SKC 법정감사</t>
    <phoneticPr fontId="7" type="noConversion"/>
  </si>
  <si>
    <t>FY25 KG 모빌리티_지정감사</t>
    <phoneticPr fontId="7" type="noConversion"/>
  </si>
  <si>
    <t>최준성(jchoi13@kr.kpmg.com)</t>
    <phoneticPr fontId="7" type="noConversion"/>
  </si>
  <si>
    <t>엘앤에프 FY25 지정감사</t>
    <phoneticPr fontId="7" type="noConversion"/>
  </si>
  <si>
    <t>김재중(jaejoongkim@kr.kpmg.com)</t>
    <phoneticPr fontId="7" type="noConversion"/>
  </si>
  <si>
    <t>ICE1</t>
    <phoneticPr fontId="7" type="noConversion"/>
  </si>
  <si>
    <t>SK스퀘어 FY25 외부감사</t>
    <phoneticPr fontId="7" type="noConversion"/>
  </si>
  <si>
    <t>양호철(hocheolyang@kr.kpmg.com)</t>
    <phoneticPr fontId="7" type="noConversion"/>
  </si>
  <si>
    <t xml:space="preserve">에이치디현대미포 주식회사 </t>
    <phoneticPr fontId="7" type="noConversion"/>
  </si>
  <si>
    <t>FY2025_HD현대미포_지정감사</t>
    <phoneticPr fontId="7" type="noConversion"/>
  </si>
  <si>
    <t>엔씨소프트_FY25_외부감사</t>
    <phoneticPr fontId="7" type="noConversion"/>
  </si>
  <si>
    <t>강민구(mkang8@kr.kpmg.com)</t>
    <phoneticPr fontId="7" type="noConversion"/>
  </si>
  <si>
    <t>25년 송원산업 지정감사</t>
    <phoneticPr fontId="7" type="noConversion"/>
  </si>
  <si>
    <t>서창원(changwonseo@kr.kpmg.com)</t>
    <phoneticPr fontId="7" type="noConversion"/>
  </si>
  <si>
    <t>김경오(gyeongokim@kr.kpmg.com)</t>
    <phoneticPr fontId="7" type="noConversion"/>
  </si>
  <si>
    <t>하림지주 - FY25 외부감사</t>
    <phoneticPr fontId="7" type="noConversion"/>
  </si>
  <si>
    <t>코스닥</t>
    <phoneticPr fontId="7" type="noConversion"/>
  </si>
  <si>
    <t>이태섭(taeseoblee@kr.kpmg.com)</t>
    <phoneticPr fontId="7" type="noConversion"/>
  </si>
  <si>
    <t xml:space="preserve">에이치디한국조선해양 (주) </t>
    <phoneticPr fontId="7" type="noConversion"/>
  </si>
  <si>
    <t>FY2025 에이치디한국조선해양 주식회사 외부감사</t>
    <phoneticPr fontId="7" type="noConversion"/>
  </si>
  <si>
    <t>FY2025 엘지헬로비전 외부감사</t>
    <phoneticPr fontId="7" type="noConversion"/>
  </si>
  <si>
    <t>이한수(hlee42@kr.kpmg.com)</t>
    <phoneticPr fontId="7" type="noConversion"/>
  </si>
  <si>
    <t>유혜경(hyegyeongryu@kr.kpmg.com)</t>
    <phoneticPr fontId="7" type="noConversion"/>
  </si>
  <si>
    <t>FY25 이노션 외부감사(주기적지정)</t>
    <phoneticPr fontId="7" type="noConversion"/>
  </si>
  <si>
    <t>[대한전선] FY2025 지정감사</t>
    <phoneticPr fontId="7" type="noConversion"/>
  </si>
  <si>
    <t xml:space="preserve">주식회사 미스토홀딩스 </t>
    <phoneticPr fontId="7" type="noConversion"/>
  </si>
  <si>
    <t>FY25 미스토홀딩스 법정감사</t>
    <phoneticPr fontId="7" type="noConversion"/>
  </si>
  <si>
    <t>2025년 카카오게임즈 외부감사</t>
    <phoneticPr fontId="7" type="noConversion"/>
  </si>
  <si>
    <t>2025년 한국중부발전(주) 회계감사</t>
    <phoneticPr fontId="7" type="noConversion"/>
  </si>
  <si>
    <t>김소라(sorakim@kr.kpmg.com)</t>
    <phoneticPr fontId="7" type="noConversion"/>
  </si>
  <si>
    <t>FY25 펄어비스 외부감사</t>
    <phoneticPr fontId="7" type="noConversion"/>
  </si>
  <si>
    <t>원창일(changilwon@kr.kpmg.com)</t>
    <phoneticPr fontId="7" type="noConversion"/>
  </si>
  <si>
    <t>에스엠엔터테인먼트_FY2025_외부감사</t>
    <phoneticPr fontId="7" type="noConversion"/>
  </si>
  <si>
    <t>[아이에스동서] FY2025 지정감사_CM2</t>
    <phoneticPr fontId="7" type="noConversion"/>
  </si>
  <si>
    <t>한준희(junheehan@kr.kpmg.com)</t>
    <phoneticPr fontId="7" type="noConversion"/>
  </si>
  <si>
    <t>에스에스지닷컴_FY2025_지정감사</t>
    <phoneticPr fontId="7" type="noConversion"/>
  </si>
  <si>
    <t>홍은정(eunjeonghong@kr.kpmg.com)</t>
    <phoneticPr fontId="7" type="noConversion"/>
  </si>
  <si>
    <t>2025년 회계감사_한국남동발전</t>
    <phoneticPr fontId="7" type="noConversion"/>
  </si>
  <si>
    <t>박수민(suminpark@kr.kpmg.com)</t>
    <phoneticPr fontId="7" type="noConversion"/>
  </si>
  <si>
    <t>FY25_한국남부발전_외부감사</t>
    <phoneticPr fontId="7" type="noConversion"/>
  </si>
  <si>
    <t>SK인천석유화학_FY2025 외부감사</t>
    <phoneticPr fontId="7" type="noConversion"/>
  </si>
  <si>
    <t>김현기(hkim51@kr.kpmg.com)</t>
    <phoneticPr fontId="7" type="noConversion"/>
  </si>
  <si>
    <t>[한국서부발전] FY2025 회계감사</t>
    <phoneticPr fontId="7" type="noConversion"/>
  </si>
  <si>
    <t>2025년 회계감사_한국동서발전</t>
    <phoneticPr fontId="7" type="noConversion"/>
  </si>
  <si>
    <t>전명재(myoungjaejeon@kr.kpmg.com)</t>
    <phoneticPr fontId="7" type="noConversion"/>
  </si>
  <si>
    <t>FY2025 씨제이프레시웨이 외부감사</t>
    <phoneticPr fontId="7" type="noConversion"/>
  </si>
  <si>
    <t>FY2025 코리아세븐 법정감사</t>
    <phoneticPr fontId="7" type="noConversion"/>
  </si>
  <si>
    <t>김성동(skim127@kr.kpmg.com)</t>
    <phoneticPr fontId="7" type="noConversion"/>
  </si>
  <si>
    <t>FY25 한국석유공사 외부감사</t>
    <phoneticPr fontId="7" type="noConversion"/>
  </si>
  <si>
    <t>이상민(slee14@kr.kpmg.com)</t>
    <phoneticPr fontId="7" type="noConversion"/>
  </si>
  <si>
    <t>동원F&amp;B_외부감사_FY25</t>
    <phoneticPr fontId="7" type="noConversion"/>
  </si>
  <si>
    <t>최연주(yeonjoochoi@kr.kpmg.com)</t>
    <phoneticPr fontId="7" type="noConversion"/>
  </si>
  <si>
    <t>우아한형제들_외부감사 및 Group reporting_FY25</t>
    <phoneticPr fontId="7" type="noConversion"/>
  </si>
  <si>
    <t>권내형(naehyeongkwon@kr.kpmg.com)</t>
    <phoneticPr fontId="7" type="noConversion"/>
  </si>
  <si>
    <t xml:space="preserve">한일시멘트(주) </t>
    <phoneticPr fontId="7" type="noConversion"/>
  </si>
  <si>
    <t>한일시멘트 FY25 외부감사</t>
    <phoneticPr fontId="7" type="noConversion"/>
  </si>
  <si>
    <t>안창현(changhyunan@kr.kpmg.com)</t>
    <phoneticPr fontId="7" type="noConversion"/>
  </si>
  <si>
    <t>김정현(jkim216@kr.kpmg.com)</t>
    <phoneticPr fontId="7" type="noConversion"/>
  </si>
  <si>
    <t xml:space="preserve">대한제당(주) </t>
    <phoneticPr fontId="7" type="noConversion"/>
  </si>
  <si>
    <t>FY2025_대한제당_법정감사</t>
    <phoneticPr fontId="7" type="noConversion"/>
  </si>
  <si>
    <t xml:space="preserve">롯데물산주식회사 </t>
    <phoneticPr fontId="7" type="noConversion"/>
  </si>
  <si>
    <t>롯데물산_FY2025_외부감사</t>
    <phoneticPr fontId="7" type="noConversion"/>
  </si>
  <si>
    <t xml:space="preserve">(주)한섬 </t>
    <phoneticPr fontId="7" type="noConversion"/>
  </si>
  <si>
    <t>한섬_2025년 외부감사</t>
    <phoneticPr fontId="7" type="noConversion"/>
  </si>
  <si>
    <t>FY25_산타클로스ENT_지정감사</t>
    <phoneticPr fontId="7" type="noConversion"/>
  </si>
  <si>
    <t>최유라(yoorachoi@kr.kpmg.com)</t>
    <phoneticPr fontId="7" type="noConversion"/>
  </si>
  <si>
    <t xml:space="preserve">에스케이쉴더스(주) </t>
    <phoneticPr fontId="7" type="noConversion"/>
  </si>
  <si>
    <t>SK쉴더스_외부감사_FY2025</t>
    <phoneticPr fontId="7" type="noConversion"/>
  </si>
  <si>
    <t>조민곤(mcho5@kr.kpmg.com)</t>
    <phoneticPr fontId="7" type="noConversion"/>
  </si>
  <si>
    <t>FY2025_롯데글로벌로지스 외부감사</t>
    <phoneticPr fontId="7" type="noConversion"/>
  </si>
  <si>
    <t>장문성(mjang3@kr.kpmg.com)</t>
    <phoneticPr fontId="7" type="noConversion"/>
  </si>
  <si>
    <t>SK케미칼 2025년 지정감사</t>
    <phoneticPr fontId="7" type="noConversion"/>
  </si>
  <si>
    <t>김은석(eunseokkim@kr.kpmg.com)</t>
    <phoneticPr fontId="7" type="noConversion"/>
  </si>
  <si>
    <t>[에어부산] 2025년 지정 감사</t>
    <phoneticPr fontId="7" type="noConversion"/>
  </si>
  <si>
    <t>나수정(sujungna@kr.kpmg.com)</t>
    <phoneticPr fontId="7" type="noConversion"/>
  </si>
  <si>
    <t>남해화학 FY2025 외부감사</t>
    <phoneticPr fontId="7" type="noConversion"/>
  </si>
  <si>
    <t xml:space="preserve">(주)알파칩스 </t>
    <phoneticPr fontId="7" type="noConversion"/>
  </si>
  <si>
    <t>[알파홀딩스] 2025년 지정감사</t>
    <phoneticPr fontId="7" type="noConversion"/>
  </si>
  <si>
    <t>송민규(mingyusong@kr.kpmg.com)</t>
    <phoneticPr fontId="7" type="noConversion"/>
  </si>
  <si>
    <t xml:space="preserve">주식회사 국보 </t>
    <phoneticPr fontId="7" type="noConversion"/>
  </si>
  <si>
    <t>[국보] FY2025 지정감사</t>
    <phoneticPr fontId="7" type="noConversion"/>
  </si>
  <si>
    <t>웹젠 FY2025 외부감사</t>
    <phoneticPr fontId="7" type="noConversion"/>
  </si>
  <si>
    <t>정병열(byungyuljung@kr.kpmg.com)</t>
    <phoneticPr fontId="7" type="noConversion"/>
  </si>
  <si>
    <t xml:space="preserve">(주)LS네트웍스 </t>
    <phoneticPr fontId="7" type="noConversion"/>
  </si>
  <si>
    <t>LS네트웍스 FY25 회계감사</t>
    <phoneticPr fontId="7" type="noConversion"/>
  </si>
  <si>
    <t>신정은(jeongeunshin@kr.kpmg.com)</t>
    <phoneticPr fontId="7" type="noConversion"/>
  </si>
  <si>
    <t xml:space="preserve">(주)이수화학 </t>
    <phoneticPr fontId="7" type="noConversion"/>
  </si>
  <si>
    <t>이수화학_2025년 회계감사</t>
    <phoneticPr fontId="7" type="noConversion"/>
  </si>
  <si>
    <t xml:space="preserve">더블유씨피 주식회사 </t>
    <phoneticPr fontId="7" type="noConversion"/>
  </si>
  <si>
    <t>더블유씨피_외부감사_FY25</t>
    <phoneticPr fontId="7" type="noConversion"/>
  </si>
  <si>
    <t xml:space="preserve">무림페이퍼(주) </t>
    <phoneticPr fontId="7" type="noConversion"/>
  </si>
  <si>
    <t>2025년 무림페이퍼 법정감사</t>
    <phoneticPr fontId="7" type="noConversion"/>
  </si>
  <si>
    <t>윤보현(bohyunyoon@kr.kpmg.com)</t>
    <phoneticPr fontId="7" type="noConversion"/>
  </si>
  <si>
    <t xml:space="preserve">주식회사 컬리 </t>
    <phoneticPr fontId="7" type="noConversion"/>
  </si>
  <si>
    <t>컬리 FY2025.12 IPO지정감사</t>
    <phoneticPr fontId="7" type="noConversion"/>
  </si>
  <si>
    <t>강지헌(jiheonkang@kr.kpmg.com)</t>
    <phoneticPr fontId="7" type="noConversion"/>
  </si>
  <si>
    <t xml:space="preserve">율촌화학 </t>
    <phoneticPr fontId="7" type="noConversion"/>
  </si>
  <si>
    <t>율촌화학_지정감사_FY25</t>
    <phoneticPr fontId="7" type="noConversion"/>
  </si>
  <si>
    <t>박광량(gbak@kr.kpmg.com)</t>
    <phoneticPr fontId="7" type="noConversion"/>
  </si>
  <si>
    <t>2025년 무림피앤피 법정감사</t>
    <phoneticPr fontId="7" type="noConversion"/>
  </si>
  <si>
    <t>이용범(yongbeomlee@kr.kpmg.com)</t>
    <phoneticPr fontId="7" type="noConversion"/>
  </si>
  <si>
    <t xml:space="preserve">에스케이렌터카(주) </t>
    <phoneticPr fontId="7" type="noConversion"/>
  </si>
  <si>
    <t>FY2025_SK렌터카_법정감사</t>
    <phoneticPr fontId="7" type="noConversion"/>
  </si>
  <si>
    <t xml:space="preserve">(주)우리홈쇼핑 </t>
    <phoneticPr fontId="7" type="noConversion"/>
  </si>
  <si>
    <t>우리홈쇼핑_FY2025_법정감사</t>
    <phoneticPr fontId="7" type="noConversion"/>
  </si>
  <si>
    <t xml:space="preserve">한화갤러리아 (주) </t>
    <phoneticPr fontId="7" type="noConversion"/>
  </si>
  <si>
    <t>[한화갤러리아] FY2025 외부감사</t>
    <phoneticPr fontId="7" type="noConversion"/>
  </si>
  <si>
    <t xml:space="preserve">주식회사 놀유니버스 </t>
    <phoneticPr fontId="7" type="noConversion"/>
  </si>
  <si>
    <t>FY25 놀유니버스(구.인터파크트리플) 외부감사</t>
    <phoneticPr fontId="7" type="noConversion"/>
  </si>
  <si>
    <t>정대륙(daeryukjeong@kr.kpmg.com)</t>
    <phoneticPr fontId="7" type="noConversion"/>
  </si>
  <si>
    <t xml:space="preserve">주식회사 지누스 </t>
    <phoneticPr fontId="7" type="noConversion"/>
  </si>
  <si>
    <t>[지누스] FY2025 외부감사</t>
    <phoneticPr fontId="7" type="noConversion"/>
  </si>
  <si>
    <t>신호영(hoyoungshin@kr.kpmg.com)</t>
    <phoneticPr fontId="7" type="noConversion"/>
  </si>
  <si>
    <t xml:space="preserve">(주)티와이홀딩스 </t>
    <phoneticPr fontId="7" type="noConversion"/>
  </si>
  <si>
    <t>TY홀딩스 지정감사 FY2025</t>
    <phoneticPr fontId="7" type="noConversion"/>
  </si>
  <si>
    <t xml:space="preserve">주식회사 아이센스 </t>
    <phoneticPr fontId="7" type="noConversion"/>
  </si>
  <si>
    <t>FY25 아이센스 지정감사</t>
    <phoneticPr fontId="7" type="noConversion"/>
  </si>
  <si>
    <t>윤광현(kwanghyunyun@kr.kpmg.com)</t>
    <phoneticPr fontId="7" type="noConversion"/>
  </si>
  <si>
    <t xml:space="preserve">비에이치아이 주식회사 </t>
    <phoneticPr fontId="7" type="noConversion"/>
  </si>
  <si>
    <t>비에이치아이_Audit_FY2025</t>
    <phoneticPr fontId="7" type="noConversion"/>
  </si>
  <si>
    <t xml:space="preserve">오텍 </t>
    <phoneticPr fontId="7" type="noConversion"/>
  </si>
  <si>
    <t>오텍 2025년 외부감사</t>
    <phoneticPr fontId="7" type="noConversion"/>
  </si>
  <si>
    <t xml:space="preserve">에이치디씨현대이피 주식회사 </t>
    <phoneticPr fontId="7" type="noConversion"/>
  </si>
  <si>
    <t>[HDC현대EP] FY2025 지정감사</t>
    <phoneticPr fontId="7" type="noConversion"/>
  </si>
  <si>
    <t xml:space="preserve">STX </t>
    <phoneticPr fontId="7" type="noConversion"/>
  </si>
  <si>
    <t>FY25 STX외부회계감사</t>
    <phoneticPr fontId="7" type="noConversion"/>
  </si>
  <si>
    <t xml:space="preserve">주식회사 지마켓 </t>
    <phoneticPr fontId="7" type="noConversion"/>
  </si>
  <si>
    <t>지마켓 FY25 외부감사</t>
    <phoneticPr fontId="7" type="noConversion"/>
  </si>
  <si>
    <t>김용욱(yongwookkim@kr.kpmg.com)</t>
    <phoneticPr fontId="7" type="noConversion"/>
  </si>
  <si>
    <t xml:space="preserve">한일홀딩스(주) </t>
    <phoneticPr fontId="7" type="noConversion"/>
  </si>
  <si>
    <t>한일홀딩스 2025년 지정감사(주기적)</t>
    <phoneticPr fontId="7" type="noConversion"/>
  </si>
  <si>
    <t>박재현(jbak@kr.kpmg.com)</t>
    <phoneticPr fontId="7" type="noConversion"/>
  </si>
  <si>
    <t>삼성바이오에피스 25년 외부감사</t>
    <phoneticPr fontId="7" type="noConversion"/>
  </si>
  <si>
    <t>김현우(hkim154@kr.kpmg.com)</t>
    <phoneticPr fontId="7" type="noConversion"/>
  </si>
  <si>
    <t xml:space="preserve">풀무원식품 (주) </t>
    <phoneticPr fontId="7" type="noConversion"/>
  </si>
  <si>
    <t>풀무원식품_FY2025_외부감사</t>
    <phoneticPr fontId="7" type="noConversion"/>
  </si>
  <si>
    <t>양순재(soonjaeyang@kr.kpmg.com)</t>
    <phoneticPr fontId="7" type="noConversion"/>
  </si>
  <si>
    <t>허우석(wooseokheo@kr.kpmg.com)</t>
    <phoneticPr fontId="7" type="noConversion"/>
  </si>
  <si>
    <t xml:space="preserve">케이엔솔 주식회사 </t>
    <phoneticPr fontId="7" type="noConversion"/>
  </si>
  <si>
    <t>[케이엔솔] FY2025 회계감사</t>
    <phoneticPr fontId="7" type="noConversion"/>
  </si>
  <si>
    <t xml:space="preserve">(주)이엔플러스 </t>
    <phoneticPr fontId="7" type="noConversion"/>
  </si>
  <si>
    <t>[이엔플러스] 2025년 외부감사</t>
    <phoneticPr fontId="7" type="noConversion"/>
  </si>
  <si>
    <t xml:space="preserve">한일현대시멘트(주) </t>
    <phoneticPr fontId="7" type="noConversion"/>
  </si>
  <si>
    <t>2025년 한일현대시멘트 지정감사</t>
    <phoneticPr fontId="7" type="noConversion"/>
  </si>
  <si>
    <t>추연주(yeonjuchu@kr.kpmg.com)</t>
    <phoneticPr fontId="7" type="noConversion"/>
  </si>
  <si>
    <t xml:space="preserve">에스케이매직 (주) </t>
    <phoneticPr fontId="7" type="noConversion"/>
  </si>
  <si>
    <t>FY2025_SK매직_법정감사</t>
    <phoneticPr fontId="7" type="noConversion"/>
  </si>
  <si>
    <t xml:space="preserve">주식회사 노블엠앤비 </t>
    <phoneticPr fontId="7" type="noConversion"/>
  </si>
  <si>
    <t>FY25_노블엠앤비_지정감사업무</t>
    <phoneticPr fontId="7" type="noConversion"/>
  </si>
  <si>
    <t>전재현(jaehyunjeon@kr.kpmg.com)</t>
    <phoneticPr fontId="7" type="noConversion"/>
  </si>
  <si>
    <t xml:space="preserve">롯데컬처웍스 주식회사 </t>
    <phoneticPr fontId="7" type="noConversion"/>
  </si>
  <si>
    <t>FY2025 롯데컬처웍스 외부감사</t>
    <phoneticPr fontId="7" type="noConversion"/>
  </si>
  <si>
    <t xml:space="preserve">대한화섬(주) </t>
    <phoneticPr fontId="7" type="noConversion"/>
  </si>
  <si>
    <t>2025년 대한화섬 회계감사</t>
    <phoneticPr fontId="7" type="noConversion"/>
  </si>
  <si>
    <t>임재완(jaewanlim@kr.kpmg.com)</t>
    <phoneticPr fontId="7" type="noConversion"/>
  </si>
  <si>
    <t xml:space="preserve">삼화페인트공업주식회사 </t>
    <phoneticPr fontId="7" type="noConversion"/>
  </si>
  <si>
    <t>삼화페인트공업 - FY25 외부감사</t>
    <phoneticPr fontId="7" type="noConversion"/>
  </si>
  <si>
    <t xml:space="preserve">(주)풀무원 </t>
    <phoneticPr fontId="7" type="noConversion"/>
  </si>
  <si>
    <t>풀무원_2025년 외부감사</t>
    <phoneticPr fontId="7" type="noConversion"/>
  </si>
  <si>
    <t xml:space="preserve">(주)다우기술 </t>
    <phoneticPr fontId="7" type="noConversion"/>
  </si>
  <si>
    <t>다우기술 2025년 외부감사</t>
    <phoneticPr fontId="7" type="noConversion"/>
  </si>
  <si>
    <t>강원재(wonjaekang@kr.kpmg.com)</t>
    <phoneticPr fontId="7" type="noConversion"/>
  </si>
  <si>
    <t xml:space="preserve">(주)야놀자 </t>
    <phoneticPr fontId="7" type="noConversion"/>
  </si>
  <si>
    <t>FY2025 야놀자 외부감사</t>
    <phoneticPr fontId="7" type="noConversion"/>
  </si>
  <si>
    <t>최혁순(hyucksoonchoi@kr.kpmg.com)</t>
    <phoneticPr fontId="7" type="noConversion"/>
  </si>
  <si>
    <t xml:space="preserve">(주)마크로젠 </t>
    <phoneticPr fontId="7" type="noConversion"/>
  </si>
  <si>
    <t>FY25 마크로젠 지정감사</t>
    <phoneticPr fontId="7" type="noConversion"/>
  </si>
  <si>
    <t xml:space="preserve">에스티팜 주식회사 </t>
    <phoneticPr fontId="7" type="noConversion"/>
  </si>
  <si>
    <t>에스티팜 외부감사_FY25</t>
    <phoneticPr fontId="7" type="noConversion"/>
  </si>
  <si>
    <t xml:space="preserve">주식회사 씨젠 </t>
    <phoneticPr fontId="7" type="noConversion"/>
  </si>
  <si>
    <t>주식회사 씨젠 2025년 외부감사</t>
    <phoneticPr fontId="7" type="noConversion"/>
  </si>
  <si>
    <t xml:space="preserve">삼아알미늄 </t>
    <phoneticPr fontId="7" type="noConversion"/>
  </si>
  <si>
    <t>FY2025 삼아알미늄 외부감사</t>
    <phoneticPr fontId="7" type="noConversion"/>
  </si>
  <si>
    <t>황지영(jhwang4@kr.kpmg.com)</t>
    <phoneticPr fontId="7" type="noConversion"/>
  </si>
  <si>
    <t xml:space="preserve">유아이엘 주식회사 </t>
    <phoneticPr fontId="7" type="noConversion"/>
  </si>
  <si>
    <t>FY25 유아이엘 외부회계감사</t>
    <phoneticPr fontId="7" type="noConversion"/>
  </si>
  <si>
    <t>홍준형(junhyunghong@kr.kpmg.com)</t>
    <phoneticPr fontId="7" type="noConversion"/>
  </si>
  <si>
    <t xml:space="preserve">주식회사 코맥스 </t>
    <phoneticPr fontId="7" type="noConversion"/>
  </si>
  <si>
    <t>FY2025 코맥스 지정감사(2/3)</t>
    <phoneticPr fontId="7" type="noConversion"/>
  </si>
  <si>
    <t>이동규(donggyulee@kr.kpmg.com)</t>
    <phoneticPr fontId="7" type="noConversion"/>
  </si>
  <si>
    <t xml:space="preserve">주식회사켐트로닉스 </t>
    <phoneticPr fontId="7" type="noConversion"/>
  </si>
  <si>
    <t>FY25 켐트로닉스 외부감사</t>
    <phoneticPr fontId="7" type="noConversion"/>
  </si>
  <si>
    <t>이영재(ylee67@kr.kpmg.com)</t>
    <phoneticPr fontId="7" type="noConversion"/>
  </si>
  <si>
    <t xml:space="preserve">(주)한진칼 </t>
    <phoneticPr fontId="7" type="noConversion"/>
  </si>
  <si>
    <t>한진칼 2025회계연도 법정감사</t>
    <phoneticPr fontId="7" type="noConversion"/>
  </si>
  <si>
    <t>이정윤(jlee123@kr.kpmg.com)</t>
    <phoneticPr fontId="7" type="noConversion"/>
  </si>
  <si>
    <t xml:space="preserve">티케이지휴켐스(주) </t>
    <phoneticPr fontId="7" type="noConversion"/>
  </si>
  <si>
    <t>티케이지휴켐스 외부감사 FY25</t>
    <phoneticPr fontId="7" type="noConversion"/>
  </si>
  <si>
    <t xml:space="preserve">동국제약 (주) </t>
    <phoneticPr fontId="7" type="noConversion"/>
  </si>
  <si>
    <t>[동국제약] FY2025 외부감사</t>
    <phoneticPr fontId="7" type="noConversion"/>
  </si>
  <si>
    <t xml:space="preserve">에스앤티모티브 주식회사 </t>
    <phoneticPr fontId="7" type="noConversion"/>
  </si>
  <si>
    <t>FY25 SNT모티브 회계감사</t>
    <phoneticPr fontId="7" type="noConversion"/>
  </si>
  <si>
    <t xml:space="preserve">일진전기(주) </t>
    <phoneticPr fontId="7" type="noConversion"/>
  </si>
  <si>
    <t>일진전기 - FY25 외부감사</t>
    <phoneticPr fontId="7" type="noConversion"/>
  </si>
  <si>
    <t>김명환(mkim175@kr.kpmg.com)</t>
    <phoneticPr fontId="7" type="noConversion"/>
  </si>
  <si>
    <t>김도희(dkim240@kr.kpmg.com)</t>
    <phoneticPr fontId="7" type="noConversion"/>
  </si>
  <si>
    <t xml:space="preserve">(주)빛과전자 </t>
    <phoneticPr fontId="7" type="noConversion"/>
  </si>
  <si>
    <t>빛과전자 FY25 지정감사</t>
    <phoneticPr fontId="7" type="noConversion"/>
  </si>
  <si>
    <t>이우현(woohyunyi@kr.kpmg.com)</t>
    <phoneticPr fontId="7" type="noConversion"/>
  </si>
  <si>
    <t xml:space="preserve">(주)팜스토리 </t>
    <phoneticPr fontId="7" type="noConversion"/>
  </si>
  <si>
    <t>FY2025 팜스토리 외부감사</t>
    <phoneticPr fontId="7" type="noConversion"/>
  </si>
  <si>
    <t xml:space="preserve">하이트진로홀딩스(주) </t>
    <phoneticPr fontId="7" type="noConversion"/>
  </si>
  <si>
    <t>FY25 하이트진로홀딩스 외부감사</t>
    <phoneticPr fontId="7" type="noConversion"/>
  </si>
  <si>
    <t xml:space="preserve">에이치라인해운 주식회사 </t>
    <phoneticPr fontId="7" type="noConversion"/>
  </si>
  <si>
    <t>FY25 에이치라인해운 외부감사</t>
    <phoneticPr fontId="7" type="noConversion"/>
  </si>
  <si>
    <t xml:space="preserve">에스텍 주식회사 </t>
    <phoneticPr fontId="7" type="noConversion"/>
  </si>
  <si>
    <t>2025 에스텍 외부감사</t>
    <phoneticPr fontId="7" type="noConversion"/>
  </si>
  <si>
    <t>장가현(gahyunjang@kr.kpmg.com)</t>
    <phoneticPr fontId="7" type="noConversion"/>
  </si>
  <si>
    <t xml:space="preserve">제이준코스메틱 주식회사 </t>
    <phoneticPr fontId="7" type="noConversion"/>
  </si>
  <si>
    <t>제이준코스메틱 FY25 회계감사</t>
    <phoneticPr fontId="7" type="noConversion"/>
  </si>
  <si>
    <t>[씨티씨바이오] FY2025 지정감사</t>
    <phoneticPr fontId="7" type="noConversion"/>
  </si>
  <si>
    <t xml:space="preserve">주식회사 위지윅스튜디오 </t>
    <phoneticPr fontId="7" type="noConversion"/>
  </si>
  <si>
    <t>위지윅스튜디오_외부감사_FY2025</t>
    <phoneticPr fontId="7" type="noConversion"/>
  </si>
  <si>
    <t>도의연(edo@kr.kpmg.com)</t>
    <phoneticPr fontId="7" type="noConversion"/>
  </si>
  <si>
    <t xml:space="preserve">(주) 드림텍 </t>
    <phoneticPr fontId="7" type="noConversion"/>
  </si>
  <si>
    <t>드림텍 FY2025 외부감사</t>
    <phoneticPr fontId="7" type="noConversion"/>
  </si>
  <si>
    <t xml:space="preserve">주식회사 체리부로 </t>
    <phoneticPr fontId="7" type="noConversion"/>
  </si>
  <si>
    <t>체리부로 FY2025 외부감사</t>
    <phoneticPr fontId="7" type="noConversion"/>
  </si>
  <si>
    <t xml:space="preserve">한국철강주식회사 </t>
    <phoneticPr fontId="7" type="noConversion"/>
  </si>
  <si>
    <t>25년 한국철강 지정감사</t>
    <phoneticPr fontId="7" type="noConversion"/>
  </si>
  <si>
    <t>임재연(jaeyeonleem@kr.kpmg.com)</t>
    <phoneticPr fontId="7" type="noConversion"/>
  </si>
  <si>
    <t>이재성(jlee177@kr.kpmg.com)</t>
    <phoneticPr fontId="7" type="noConversion"/>
  </si>
  <si>
    <t xml:space="preserve">이니텍 주식회사 </t>
    <phoneticPr fontId="7" type="noConversion"/>
  </si>
  <si>
    <t>FY25 이니텍 외부감사</t>
    <phoneticPr fontId="7" type="noConversion"/>
  </si>
  <si>
    <t xml:space="preserve">주식회사 동구바이오제약 </t>
    <phoneticPr fontId="7" type="noConversion"/>
  </si>
  <si>
    <t>FY25 동구바이오제약 법정감사</t>
    <phoneticPr fontId="7" type="noConversion"/>
  </si>
  <si>
    <t>이주화(jlee92@kr.kpmg.com)</t>
    <phoneticPr fontId="7" type="noConversion"/>
  </si>
  <si>
    <t>임혁순(hyim@kr.kpmg.com)</t>
    <phoneticPr fontId="7" type="noConversion"/>
  </si>
  <si>
    <t xml:space="preserve">현대바이오사이언스 주식회사 </t>
    <phoneticPr fontId="7" type="noConversion"/>
  </si>
  <si>
    <t>현대바이오사이언스 2025년 지정감사</t>
    <phoneticPr fontId="7" type="noConversion"/>
  </si>
  <si>
    <t xml:space="preserve">네이버파이낸셜 주식회사 </t>
    <phoneticPr fontId="7" type="noConversion"/>
  </si>
  <si>
    <t>FY2025 네이버파이낸셜 외부감사</t>
    <phoneticPr fontId="7" type="noConversion"/>
  </si>
  <si>
    <t>FY2025 제이와이피엔터테인먼트(2/3)</t>
    <phoneticPr fontId="7" type="noConversion"/>
  </si>
  <si>
    <t xml:space="preserve">에이치엘비생명과학(주) </t>
    <phoneticPr fontId="7" type="noConversion"/>
  </si>
  <si>
    <t>에이치엘비생명과학_외부감사_FY25</t>
    <phoneticPr fontId="7" type="noConversion"/>
  </si>
  <si>
    <t xml:space="preserve">깨끗한나라 주식회사 </t>
    <phoneticPr fontId="7" type="noConversion"/>
  </si>
  <si>
    <t>깨끗한나라 FY2025 외부감사</t>
    <phoneticPr fontId="7" type="noConversion"/>
  </si>
  <si>
    <t>연규진(gyeon@kr.kpmg.com)</t>
    <phoneticPr fontId="7" type="noConversion"/>
  </si>
  <si>
    <t xml:space="preserve">주식회사 케이이씨 </t>
    <phoneticPr fontId="7" type="noConversion"/>
  </si>
  <si>
    <t>KEC FY25 지정감사</t>
    <phoneticPr fontId="7" type="noConversion"/>
  </si>
  <si>
    <t>한석희(sukheehan@kr.kpmg.com)</t>
    <phoneticPr fontId="7" type="noConversion"/>
  </si>
  <si>
    <t xml:space="preserve">태림포장(주) </t>
    <phoneticPr fontId="7" type="noConversion"/>
  </si>
  <si>
    <t>FY2025 외부감사_태림포장</t>
    <phoneticPr fontId="7" type="noConversion"/>
  </si>
  <si>
    <t>장재혁(jaehyukjang@kr.kpmg.com)</t>
    <phoneticPr fontId="7" type="noConversion"/>
  </si>
  <si>
    <t xml:space="preserve">아우토크립트 주식회사 </t>
    <phoneticPr fontId="7" type="noConversion"/>
  </si>
  <si>
    <t>아우토크립트_FY2025_외부감사</t>
    <phoneticPr fontId="7" type="noConversion"/>
  </si>
  <si>
    <t xml:space="preserve">이스트소프트 </t>
    <phoneticPr fontId="7" type="noConversion"/>
  </si>
  <si>
    <t>FY25 이스트소프트 외부감사</t>
    <phoneticPr fontId="7" type="noConversion"/>
  </si>
  <si>
    <t>이성범(seongbeomlee@kr.kpmg.com)</t>
    <phoneticPr fontId="7" type="noConversion"/>
  </si>
  <si>
    <t xml:space="preserve">(주)팜젠사이언스 </t>
    <phoneticPr fontId="7" type="noConversion"/>
  </si>
  <si>
    <t>[팜젠사이언스] FY2025 외부감사</t>
    <phoneticPr fontId="7" type="noConversion"/>
  </si>
  <si>
    <t xml:space="preserve">SNT다이내믹스(주) </t>
    <phoneticPr fontId="7" type="noConversion"/>
  </si>
  <si>
    <t>FY25_SNT Dynamics_외부감사</t>
    <phoneticPr fontId="7" type="noConversion"/>
  </si>
  <si>
    <t>배기웅(giwoongbae@kr.kpmg.com)</t>
    <phoneticPr fontId="7" type="noConversion"/>
  </si>
  <si>
    <t>팅크웨어 FY25 주기적 지정감사</t>
    <phoneticPr fontId="7" type="noConversion"/>
  </si>
  <si>
    <t xml:space="preserve">주식회사 퀀텀온 </t>
    <phoneticPr fontId="7" type="noConversion"/>
  </si>
  <si>
    <t>[퀀텀온] 2025 회계연도 지정감사</t>
    <phoneticPr fontId="7" type="noConversion"/>
  </si>
  <si>
    <t xml:space="preserve">주식회사 에프앤에프홀딩스 </t>
    <phoneticPr fontId="7" type="noConversion"/>
  </si>
  <si>
    <t>에프앤에프홀딩스 FY25 외부감사</t>
    <phoneticPr fontId="7" type="noConversion"/>
  </si>
  <si>
    <t xml:space="preserve">제이앤티씨 </t>
    <phoneticPr fontId="7" type="noConversion"/>
  </si>
  <si>
    <t>제이앤티씨_외부감사_FY25</t>
    <phoneticPr fontId="7" type="noConversion"/>
  </si>
  <si>
    <t>이승훈(slee336@kr.kpmg.com)</t>
    <phoneticPr fontId="7" type="noConversion"/>
  </si>
  <si>
    <t xml:space="preserve">㈜케이씨 </t>
    <phoneticPr fontId="7" type="noConversion"/>
  </si>
  <si>
    <t>2025년 케이씨 외부감사</t>
    <phoneticPr fontId="7" type="noConversion"/>
  </si>
  <si>
    <t>강영호(ykang4@kr.kpmg.com)</t>
    <phoneticPr fontId="7" type="noConversion"/>
  </si>
  <si>
    <t xml:space="preserve">한화토탈에너지스 주식회사 </t>
    <phoneticPr fontId="7" type="noConversion"/>
  </si>
  <si>
    <t>2025년도 한화토탈에너지스 법정감사</t>
    <phoneticPr fontId="7" type="noConversion"/>
  </si>
  <si>
    <t>윤정오(jungohyoon@kr.kpmg.com)</t>
    <phoneticPr fontId="7" type="noConversion"/>
  </si>
  <si>
    <t>FY25 네이버 클라우드 외부감사업무</t>
    <phoneticPr fontId="7" type="noConversion"/>
  </si>
  <si>
    <t xml:space="preserve">십일번가 주식회사 </t>
    <phoneticPr fontId="7" type="noConversion"/>
  </si>
  <si>
    <t>십일번가_FY2025_외부감사 및 Group reporting</t>
    <phoneticPr fontId="7" type="noConversion"/>
  </si>
  <si>
    <t xml:space="preserve">디와이덕양 </t>
    <phoneticPr fontId="7" type="noConversion"/>
  </si>
  <si>
    <t>FY25 디와이덕양(구, 덕양산업) 외부감사</t>
    <phoneticPr fontId="7" type="noConversion"/>
  </si>
  <si>
    <t xml:space="preserve">(주)다우데이타 </t>
    <phoneticPr fontId="7" type="noConversion"/>
  </si>
  <si>
    <t>다우데이타 FY2025 외부감사</t>
    <phoneticPr fontId="7" type="noConversion"/>
  </si>
  <si>
    <t xml:space="preserve">코오롱모빌리티그룹 주식회사 </t>
    <phoneticPr fontId="7" type="noConversion"/>
  </si>
  <si>
    <t>FY25 코오롱모빌리티그룹 외부감사</t>
    <phoneticPr fontId="7" type="noConversion"/>
  </si>
  <si>
    <t>이권재(kwonjaelee@kr.kpmg.com)</t>
    <phoneticPr fontId="7" type="noConversion"/>
  </si>
  <si>
    <t xml:space="preserve">주식회사 대산에프앤비 </t>
    <phoneticPr fontId="7" type="noConversion"/>
  </si>
  <si>
    <t>FY2025 대산F&amp;B 지정감사</t>
    <phoneticPr fontId="7" type="noConversion"/>
  </si>
  <si>
    <t xml:space="preserve">한전KDN 주식회사 </t>
    <phoneticPr fontId="7" type="noConversion"/>
  </si>
  <si>
    <t>[한전KDN] 2025년 외부감사</t>
    <phoneticPr fontId="7" type="noConversion"/>
  </si>
  <si>
    <t xml:space="preserve">주식회사 리가켐바이오사이언스 </t>
    <phoneticPr fontId="7" type="noConversion"/>
  </si>
  <si>
    <t>리가켐바이오 외부감사 FY25</t>
    <phoneticPr fontId="7" type="noConversion"/>
  </si>
  <si>
    <t xml:space="preserve">에스케이플래닛 주식회사 </t>
    <phoneticPr fontId="7" type="noConversion"/>
  </si>
  <si>
    <t>SK플래닛 FY25 외부감사</t>
    <phoneticPr fontId="7" type="noConversion"/>
  </si>
  <si>
    <t>이태형(taehyunglee@kr.kpmg.com)</t>
    <phoneticPr fontId="7" type="noConversion"/>
  </si>
  <si>
    <t>김도흔(doheunkim@kr.kpmg.com)</t>
    <phoneticPr fontId="7" type="noConversion"/>
  </si>
  <si>
    <t xml:space="preserve">한화임팩트주식회사 </t>
    <phoneticPr fontId="7" type="noConversion"/>
  </si>
  <si>
    <t>FY2025 외부감사_한화임팩트</t>
    <phoneticPr fontId="7" type="noConversion"/>
  </si>
  <si>
    <t>이도경(dokyunglee@kr.kpmg.com)</t>
    <phoneticPr fontId="7" type="noConversion"/>
  </si>
  <si>
    <t>FY2025 코나아이 외부감사</t>
    <phoneticPr fontId="7" type="noConversion"/>
  </si>
  <si>
    <t xml:space="preserve">삼성메디슨 주식회사 </t>
    <phoneticPr fontId="7" type="noConversion"/>
  </si>
  <si>
    <t>FY25 삼성메디슨 외부감사</t>
    <phoneticPr fontId="7" type="noConversion"/>
  </si>
  <si>
    <t>우진혁(jinhyeokwoo@kr.kpmg.com)</t>
    <phoneticPr fontId="7" type="noConversion"/>
  </si>
  <si>
    <t>FY25 국도화학 외부감사</t>
    <phoneticPr fontId="7" type="noConversion"/>
  </si>
  <si>
    <t>이다니엘(dlee34@kr.kpmg.com)</t>
    <phoneticPr fontId="7" type="noConversion"/>
  </si>
  <si>
    <t xml:space="preserve">한화첨단소재 주식회사 </t>
    <phoneticPr fontId="7" type="noConversion"/>
  </si>
  <si>
    <t>FY25 한화첨단소재 외부감사</t>
    <phoneticPr fontId="7" type="noConversion"/>
  </si>
  <si>
    <t>오규철(gyucheoloh@kr.kpmg.com)</t>
    <phoneticPr fontId="7" type="noConversion"/>
  </si>
  <si>
    <t xml:space="preserve">(주)대호특수강 </t>
    <phoneticPr fontId="7" type="noConversion"/>
  </si>
  <si>
    <t>FY2025_대호특수강_지정감사</t>
    <phoneticPr fontId="7" type="noConversion"/>
  </si>
  <si>
    <t xml:space="preserve">세메스 주식회사 </t>
    <phoneticPr fontId="7" type="noConversion"/>
  </si>
  <si>
    <t>FY25_세메스_외부감사</t>
    <phoneticPr fontId="7" type="noConversion"/>
  </si>
  <si>
    <t xml:space="preserve">주식회사 에스씨케이컴퍼니 </t>
    <phoneticPr fontId="7" type="noConversion"/>
  </si>
  <si>
    <t>에스씨케이컴퍼니 FY25 외부감사</t>
    <phoneticPr fontId="7" type="noConversion"/>
  </si>
  <si>
    <t xml:space="preserve">우진아이엔에스 </t>
    <phoneticPr fontId="7" type="noConversion"/>
  </si>
  <si>
    <t>[우진아이엔에스] 2025년 외부감사</t>
    <phoneticPr fontId="7" type="noConversion"/>
  </si>
  <si>
    <t>김태진(tkim50@kr.kpmg.com)</t>
    <phoneticPr fontId="7" type="noConversion"/>
  </si>
  <si>
    <t xml:space="preserve">흥아해운 (주) </t>
    <phoneticPr fontId="7" type="noConversion"/>
  </si>
  <si>
    <t>[흥아해운] FY2025 외부감사</t>
    <phoneticPr fontId="7" type="noConversion"/>
  </si>
  <si>
    <t xml:space="preserve">에이치디현대마린엔진 주식회사 </t>
    <phoneticPr fontId="7" type="noConversion"/>
  </si>
  <si>
    <t>FY2025_HD현대마린엔진 외부감사</t>
    <phoneticPr fontId="7" type="noConversion"/>
  </si>
  <si>
    <t>박상용(spark72@kr.kpmg.com)</t>
    <phoneticPr fontId="7" type="noConversion"/>
  </si>
  <si>
    <t xml:space="preserve">(주)세코닉스 </t>
    <phoneticPr fontId="7" type="noConversion"/>
  </si>
  <si>
    <t>FY25 세코닉스 외부감사</t>
    <phoneticPr fontId="7" type="noConversion"/>
  </si>
  <si>
    <t xml:space="preserve">환인제약 </t>
    <phoneticPr fontId="7" type="noConversion"/>
  </si>
  <si>
    <t>2025년 지정감사_환인제약</t>
    <phoneticPr fontId="7" type="noConversion"/>
  </si>
  <si>
    <t xml:space="preserve">피에스케이 주식회사 </t>
    <phoneticPr fontId="7" type="noConversion"/>
  </si>
  <si>
    <t>FY2025 피에스케이 외부감사</t>
    <phoneticPr fontId="7" type="noConversion"/>
  </si>
  <si>
    <t>부준웅(jboo@kr.kpmg.com)</t>
    <phoneticPr fontId="7" type="noConversion"/>
  </si>
  <si>
    <t xml:space="preserve">에스케이피아이씨글로벌 </t>
    <phoneticPr fontId="7" type="noConversion"/>
  </si>
  <si>
    <t>FY25 에스케이피아이씨글로벌 외부감사</t>
    <phoneticPr fontId="7" type="noConversion"/>
  </si>
  <si>
    <t xml:space="preserve">주식회사 혜인 </t>
    <phoneticPr fontId="7" type="noConversion"/>
  </si>
  <si>
    <t>혜인 2025년 외부감사</t>
    <phoneticPr fontId="7" type="noConversion"/>
  </si>
  <si>
    <t xml:space="preserve">주식회사 넵튠 </t>
    <phoneticPr fontId="7" type="noConversion"/>
  </si>
  <si>
    <t>넵튠_FY2025_외부감사</t>
    <phoneticPr fontId="7" type="noConversion"/>
  </si>
  <si>
    <t xml:space="preserve">(주)케이티씨에스 </t>
    <phoneticPr fontId="7" type="noConversion"/>
  </si>
  <si>
    <t>FY25 케이티씨에스 외부감사 업무</t>
    <phoneticPr fontId="7" type="noConversion"/>
  </si>
  <si>
    <t>FY2025 뉴프렉스 외부감사(지정)</t>
    <phoneticPr fontId="7" type="noConversion"/>
  </si>
  <si>
    <t xml:space="preserve">(주)대유 </t>
    <phoneticPr fontId="7" type="noConversion"/>
  </si>
  <si>
    <t>FY2025 지정감사_대유</t>
    <phoneticPr fontId="7" type="noConversion"/>
  </si>
  <si>
    <t xml:space="preserve">영풍제지(주) </t>
    <phoneticPr fontId="7" type="noConversion"/>
  </si>
  <si>
    <t>2025년 지정감사_영풍제지</t>
    <phoneticPr fontId="7" type="noConversion"/>
  </si>
  <si>
    <t>FY25 한일화학공업 회계감사</t>
    <phoneticPr fontId="7" type="noConversion"/>
  </si>
  <si>
    <t>에치에프알_25년 회계감사(지정)</t>
    <phoneticPr fontId="7" type="noConversion"/>
  </si>
  <si>
    <t>현건재(ghyun@kr.kpmg.com)</t>
    <phoneticPr fontId="7" type="noConversion"/>
  </si>
  <si>
    <t xml:space="preserve">인선이엔티 </t>
    <phoneticPr fontId="7" type="noConversion"/>
  </si>
  <si>
    <t>인선이엔티 2025년 외부감사(지정)</t>
    <phoneticPr fontId="7" type="noConversion"/>
  </si>
  <si>
    <t>추지훈(jihoonchoo@kr.kpmg.com)</t>
    <phoneticPr fontId="7" type="noConversion"/>
  </si>
  <si>
    <t xml:space="preserve">(주)위메이드플레이 </t>
    <phoneticPr fontId="7" type="noConversion"/>
  </si>
  <si>
    <t>위메이드플레이 FY25 외부감사</t>
    <phoneticPr fontId="7" type="noConversion"/>
  </si>
  <si>
    <t xml:space="preserve">(주)빙그레 </t>
    <phoneticPr fontId="7" type="noConversion"/>
  </si>
  <si>
    <t>FY2025 빙그레 외부감사</t>
    <phoneticPr fontId="7" type="noConversion"/>
  </si>
  <si>
    <t>배철현(cbae1@kr.kpmg.com)</t>
    <phoneticPr fontId="7" type="noConversion"/>
  </si>
  <si>
    <t xml:space="preserve">(주)시노펙스 </t>
    <phoneticPr fontId="7" type="noConversion"/>
  </si>
  <si>
    <t>FY2025 시노펙스 외부감사</t>
    <phoneticPr fontId="7" type="noConversion"/>
  </si>
  <si>
    <t xml:space="preserve">에스케이오션플랜트(주) </t>
    <phoneticPr fontId="7" type="noConversion"/>
  </si>
  <si>
    <t>[SK오션플랜트] FY2025 외부감사</t>
    <phoneticPr fontId="7" type="noConversion"/>
  </si>
  <si>
    <t xml:space="preserve">티이엠씨씨엔에스(주) </t>
    <phoneticPr fontId="7" type="noConversion"/>
  </si>
  <si>
    <t>2025년 지정감사_TEMC CNS</t>
    <phoneticPr fontId="7" type="noConversion"/>
  </si>
  <si>
    <t xml:space="preserve">하이즈항공 주식회사 </t>
    <phoneticPr fontId="7" type="noConversion"/>
  </si>
  <si>
    <t>하이즈항공_FY2025_외부(지정)감사</t>
    <phoneticPr fontId="7" type="noConversion"/>
  </si>
  <si>
    <t>김기웅(kiwoongkim@kr.kpmg.com)</t>
    <phoneticPr fontId="7" type="noConversion"/>
  </si>
  <si>
    <t xml:space="preserve">(주)드림어스컴퍼니 </t>
    <phoneticPr fontId="7" type="noConversion"/>
  </si>
  <si>
    <t>드림어스컴퍼니_FY2025_외부감사</t>
    <phoneticPr fontId="7" type="noConversion"/>
  </si>
  <si>
    <t xml:space="preserve">한전원자력연료 (주) </t>
    <phoneticPr fontId="7" type="noConversion"/>
  </si>
  <si>
    <t>[한전원자력연료] 2025 회계연도 외부감사</t>
    <phoneticPr fontId="7" type="noConversion"/>
  </si>
  <si>
    <t>에이디칩스_외부감사(직권지정)_FY25</t>
    <phoneticPr fontId="7" type="noConversion"/>
  </si>
  <si>
    <t xml:space="preserve">주식회사 아스플로 </t>
    <phoneticPr fontId="7" type="noConversion"/>
  </si>
  <si>
    <t>FY25_아스플로_지정감사</t>
    <phoneticPr fontId="7" type="noConversion"/>
  </si>
  <si>
    <t xml:space="preserve">주식회사 비씨월드제약 </t>
    <phoneticPr fontId="7" type="noConversion"/>
  </si>
  <si>
    <t>FY2025_비씨월드제약_외부(지정)감사</t>
    <phoneticPr fontId="7" type="noConversion"/>
  </si>
  <si>
    <t>윤다산(dasanyoun@kr.kpmg.com)</t>
    <phoneticPr fontId="7" type="noConversion"/>
  </si>
  <si>
    <t xml:space="preserve">주식회사 딜라이브 </t>
    <phoneticPr fontId="7" type="noConversion"/>
  </si>
  <si>
    <t>딜라이브 FY2025 외부감사</t>
    <phoneticPr fontId="7" type="noConversion"/>
  </si>
  <si>
    <t>위형길(hyeonggilwi@kr.kpmg.com)</t>
    <phoneticPr fontId="7" type="noConversion"/>
  </si>
  <si>
    <t xml:space="preserve">갤럭시아머니트리 주식회사 </t>
    <phoneticPr fontId="7" type="noConversion"/>
  </si>
  <si>
    <t>FY25_갤럭시아머니트리 외부감사</t>
    <phoneticPr fontId="7" type="noConversion"/>
  </si>
  <si>
    <t xml:space="preserve">(주)고스트스튜디오 </t>
    <phoneticPr fontId="7" type="noConversion"/>
  </si>
  <si>
    <t>FY2025 고스트스튜디오 외부감사</t>
    <phoneticPr fontId="7" type="noConversion"/>
  </si>
  <si>
    <t>남서영(seoyoungnam@kr.kpmg.com)</t>
    <phoneticPr fontId="7" type="noConversion"/>
  </si>
  <si>
    <t>민중기(joonggimin@kr.kpmg.com)</t>
    <phoneticPr fontId="7" type="noConversion"/>
  </si>
  <si>
    <t xml:space="preserve">티케이지태광(주) </t>
    <phoneticPr fontId="7" type="noConversion"/>
  </si>
  <si>
    <t>TKG태광 FY25 외부감사</t>
    <phoneticPr fontId="7" type="noConversion"/>
  </si>
  <si>
    <t xml:space="preserve">삼성전자서비스주식회사 </t>
    <phoneticPr fontId="7" type="noConversion"/>
  </si>
  <si>
    <t>FY25 삼성전자서비스 외부감사</t>
    <phoneticPr fontId="7" type="noConversion"/>
  </si>
  <si>
    <t xml:space="preserve">에스앤티에너지 주식회사 </t>
    <phoneticPr fontId="7" type="noConversion"/>
  </si>
  <si>
    <t>FY25 SNT에너지 회계감사</t>
    <phoneticPr fontId="7" type="noConversion"/>
  </si>
  <si>
    <t>임현재(hyunjaeim@kr.kpmg.com)</t>
    <phoneticPr fontId="7" type="noConversion"/>
  </si>
  <si>
    <t xml:space="preserve">(주)앤에스 </t>
    <phoneticPr fontId="7" type="noConversion"/>
  </si>
  <si>
    <t>FY25_앤에스(구,뉴로스)_지정감사</t>
    <phoneticPr fontId="7" type="noConversion"/>
  </si>
  <si>
    <t xml:space="preserve">현우산업 주식회사 </t>
    <phoneticPr fontId="7" type="noConversion"/>
  </si>
  <si>
    <t>현우산업 FY2025 외부감사</t>
    <phoneticPr fontId="7" type="noConversion"/>
  </si>
  <si>
    <t xml:space="preserve">주식회사 이수앱지스 </t>
    <phoneticPr fontId="7" type="noConversion"/>
  </si>
  <si>
    <t>이수앱지스 2025년 외부감사(주기적 지정)</t>
    <phoneticPr fontId="7" type="noConversion"/>
  </si>
  <si>
    <t>김재현(jkim508@kr.kpmg.com)</t>
    <phoneticPr fontId="7" type="noConversion"/>
  </si>
  <si>
    <t xml:space="preserve">동원수산(주) </t>
    <phoneticPr fontId="7" type="noConversion"/>
  </si>
  <si>
    <t>동원수산_외부감사_FY25</t>
    <phoneticPr fontId="7" type="noConversion"/>
  </si>
  <si>
    <t xml:space="preserve">아이에스지주 주식회사 </t>
    <phoneticPr fontId="7" type="noConversion"/>
  </si>
  <si>
    <t>아이에스지주 2025년 외부감사(지정)</t>
    <phoneticPr fontId="7" type="noConversion"/>
  </si>
  <si>
    <t xml:space="preserve">주식회사 씨앤씨인터내셔널 </t>
    <phoneticPr fontId="7" type="noConversion"/>
  </si>
  <si>
    <t>FY25_씨앤씨인터내셔널_외부감사</t>
    <phoneticPr fontId="7" type="noConversion"/>
  </si>
  <si>
    <t xml:space="preserve">(주) 세라젬 </t>
    <phoneticPr fontId="7" type="noConversion"/>
  </si>
  <si>
    <t>[세라젬] FY2025 외부감사</t>
    <phoneticPr fontId="7" type="noConversion"/>
  </si>
  <si>
    <t xml:space="preserve">메가스터디교육 주식회사 </t>
    <phoneticPr fontId="7" type="noConversion"/>
  </si>
  <si>
    <t>메가스터디교육_FY2025 외부감사</t>
    <phoneticPr fontId="7" type="noConversion"/>
  </si>
  <si>
    <t xml:space="preserve">우양에이치씨 </t>
    <phoneticPr fontId="7" type="noConversion"/>
  </si>
  <si>
    <t>FY2025 우양에이치씨_지정감사</t>
    <phoneticPr fontId="7" type="noConversion"/>
  </si>
  <si>
    <t xml:space="preserve">케이지에코솔루션 주식회사 </t>
    <phoneticPr fontId="7" type="noConversion"/>
  </si>
  <si>
    <t>2025년 KG에코솔루션(주) 회계감사</t>
    <phoneticPr fontId="7" type="noConversion"/>
  </si>
  <si>
    <t>(주)동원홈푸드 외부감사_FY25</t>
    <phoneticPr fontId="7" type="noConversion"/>
  </si>
  <si>
    <t xml:space="preserve">(주) 우주일렉트로닉스 </t>
    <phoneticPr fontId="7" type="noConversion"/>
  </si>
  <si>
    <t>우주일렉트로닉스 2025년 외부감사</t>
    <phoneticPr fontId="7" type="noConversion"/>
  </si>
  <si>
    <t xml:space="preserve">(주)넥스트아이 </t>
    <phoneticPr fontId="7" type="noConversion"/>
  </si>
  <si>
    <t>FY2025 넥스트아이 지정감사</t>
    <phoneticPr fontId="7" type="noConversion"/>
  </si>
  <si>
    <t xml:space="preserve">주식회사 스타코링크 </t>
    <phoneticPr fontId="7" type="noConversion"/>
  </si>
  <si>
    <t>스타코링크 FY25 외부감사</t>
    <phoneticPr fontId="7" type="noConversion"/>
  </si>
  <si>
    <t xml:space="preserve">(주)비지에프에코머티리얼즈 </t>
    <phoneticPr fontId="7" type="noConversion"/>
  </si>
  <si>
    <t>BGF에코머티리얼즈_외부감사_FY25</t>
    <phoneticPr fontId="7" type="noConversion"/>
  </si>
  <si>
    <t xml:space="preserve">에이치엘비테라퓨틱스 </t>
    <phoneticPr fontId="7" type="noConversion"/>
  </si>
  <si>
    <t>에이치엘비테라퓨틱스_외부감사_FY25</t>
    <phoneticPr fontId="7" type="noConversion"/>
  </si>
  <si>
    <t>에이치엘비바이오스텝_외부감사_FY25</t>
    <phoneticPr fontId="7" type="noConversion"/>
  </si>
  <si>
    <t xml:space="preserve">삼성전자판매 주식회사 </t>
    <phoneticPr fontId="7" type="noConversion"/>
  </si>
  <si>
    <t>FY25 삼성전자판매 외부감사</t>
    <phoneticPr fontId="7" type="noConversion"/>
  </si>
  <si>
    <t>윤민철(mincheolyun@kr.kpmg.com)</t>
    <phoneticPr fontId="7" type="noConversion"/>
  </si>
  <si>
    <t xml:space="preserve">주식회사 엔알비 </t>
    <phoneticPr fontId="7" type="noConversion"/>
  </si>
  <si>
    <t>[엔알비] 2025년 IPO지정감사</t>
    <phoneticPr fontId="7" type="noConversion"/>
  </si>
  <si>
    <t xml:space="preserve">니프코코리아 </t>
    <phoneticPr fontId="7" type="noConversion"/>
  </si>
  <si>
    <t>니프코코리아 FY25 회계감사</t>
    <phoneticPr fontId="7" type="noConversion"/>
  </si>
  <si>
    <t>김지훈(jkim181@kr.kpmg.com)</t>
    <phoneticPr fontId="7" type="noConversion"/>
  </si>
  <si>
    <t xml:space="preserve">환영철강공업(주) </t>
    <phoneticPr fontId="7" type="noConversion"/>
  </si>
  <si>
    <t>25년 환영철강공업 외부감사</t>
    <phoneticPr fontId="7" type="noConversion"/>
  </si>
  <si>
    <t xml:space="preserve">주식회사 비와이엔블랙야크 </t>
    <phoneticPr fontId="7" type="noConversion"/>
  </si>
  <si>
    <t>비와이엔블랙야크 FY25 회계감사</t>
    <phoneticPr fontId="7" type="noConversion"/>
  </si>
  <si>
    <t xml:space="preserve">발렉스코리아주식회사 </t>
    <phoneticPr fontId="7" type="noConversion"/>
  </si>
  <si>
    <t>FY25_발렉스코리아 외부감사</t>
    <phoneticPr fontId="7" type="noConversion"/>
  </si>
  <si>
    <t xml:space="preserve">(주)풍산시스템 </t>
    <phoneticPr fontId="7" type="noConversion"/>
  </si>
  <si>
    <t xml:space="preserve">(주)베베쿡 </t>
    <phoneticPr fontId="7" type="noConversion"/>
  </si>
  <si>
    <t>베베쿡_2025년_외부감사</t>
    <phoneticPr fontId="7" type="noConversion"/>
  </si>
  <si>
    <t>신양호(yanghoshin@kr.kpmg.com)</t>
  </si>
  <si>
    <t>N</t>
  </si>
  <si>
    <t>감사팀 안내메일(mapping) 발송</t>
    <phoneticPr fontId="7" type="noConversion"/>
  </si>
  <si>
    <t>Data Upload완료</t>
    <phoneticPr fontId="7" type="noConversion"/>
  </si>
  <si>
    <t>Mapping 완료</t>
  </si>
  <si>
    <t>AITS 감사팀 전달</t>
    <phoneticPr fontId="7" type="noConversion"/>
  </si>
  <si>
    <t>추가작업 필요</t>
    <phoneticPr fontId="7" type="noConversion"/>
  </si>
  <si>
    <t>추가작업 완료</t>
    <phoneticPr fontId="7" type="noConversion"/>
  </si>
  <si>
    <t>제외요청</t>
    <phoneticPr fontId="7" type="noConversion"/>
  </si>
  <si>
    <t>매출전표가 월합으로 기표되어 전체 매출전표 숫자 자체가 10건 미만. AITS 사용 시 효익이 없음</t>
  </si>
  <si>
    <t>수익이 모두 진행기준이고 SR</t>
    <phoneticPr fontId="7" type="noConversion"/>
  </si>
  <si>
    <t>매출 규모가 상당히 작아 샘플 수 감소로 인한 효익이 크지 않을 것으로 감사팀에서 판단</t>
    <phoneticPr fontId="7" type="noConversion"/>
  </si>
  <si>
    <t>매출 관련 RMM이 Based가 아님</t>
    <phoneticPr fontId="7" type="noConversion"/>
  </si>
  <si>
    <t>지주회사 임에 따라 적용범위 RMM이 해당되는 Journal entry가 별도재무제표 상 거의 없어, 적용이 어려움</t>
    <phoneticPr fontId="7" type="noConversion"/>
  </si>
  <si>
    <t xml:space="preserve">	1000682032</t>
    <phoneticPr fontId="7" type="noConversion"/>
  </si>
  <si>
    <t>전진바이오팜</t>
    <phoneticPr fontId="7" type="noConversion"/>
  </si>
  <si>
    <t>FY2025 전진바이오팜 외부감사</t>
    <phoneticPr fontId="7" type="noConversion"/>
  </si>
  <si>
    <t>코스닥</t>
    <phoneticPr fontId="7" type="noConversion"/>
  </si>
  <si>
    <t>구영모(youngmokoo@kr.kpmg.com)</t>
    <phoneticPr fontId="7" type="noConversion"/>
  </si>
  <si>
    <t>투자부문: 영업수익 및 운영비용의 거래구조가 복잡하지 않으므로 적용하지 아니함 / 사업부문: 진행매출로 적용하지 아니함</t>
    <phoneticPr fontId="7" type="noConversion"/>
  </si>
  <si>
    <t>파르나스호텔 주식회사</t>
    <phoneticPr fontId="7" type="noConversion"/>
  </si>
  <si>
    <t>파르나스호텔_FY2025_법정감사</t>
    <phoneticPr fontId="7" type="noConversion"/>
  </si>
  <si>
    <t>일반</t>
    <phoneticPr fontId="7" type="noConversion"/>
  </si>
  <si>
    <t>호텔업</t>
  </si>
  <si>
    <t>이종현(jlee273@kr.kpmg.com)</t>
    <phoneticPr fontId="7" type="noConversion"/>
  </si>
  <si>
    <t>에프앤에프홀딩스(1681968)에서 전진바이오팜(1659410)으로 변경 요청</t>
    <phoneticPr fontId="7" type="noConversion"/>
  </si>
  <si>
    <t>매출전표 100건 미만</t>
    <phoneticPr fontId="7" type="noConversion"/>
  </si>
  <si>
    <t>지주회사로 수익이 배당, 브랜드수수료. 부적합할것으로 판단.</t>
    <phoneticPr fontId="7" type="noConversion"/>
  </si>
  <si>
    <t>Sampling이 아닌 개별 프로젝트 단위 절차 확인 및 진행률로 적용 불가</t>
    <phoneticPr fontId="7" type="noConversion"/>
  </si>
  <si>
    <t>모집단 크기가 100개 미만으로 AITS를 적용하는데 비효율</t>
    <phoneticPr fontId="7" type="noConversion"/>
  </si>
  <si>
    <t>1) AITS를 적용하지 않더라도 실재성 샘플의 수가 많지 않음. 따라서 AITS 를 위한 자료 가공에 더 많은 공수가 들 것으로 판단됨.
2) AITS 주의사항에 기재된 바와 같이, 월합기표전표는 AITS 사용이 부적합할 수 있다고 언급하고 있음. 
회사의 일부 매출스트림은 월합전표로 인식이 되고 있어 AITS 사용이 부적합하다고 판단됨.</t>
    <phoneticPr fontId="7" type="noConversion"/>
  </si>
  <si>
    <t>별도 매출의 경우 진행매출에 해당하고 RMM의 CAR 평가가 Significant에 해당하기 때문에 적용 대상에 해당하지 않음.</t>
    <phoneticPr fontId="7" type="noConversion"/>
  </si>
  <si>
    <t>1) 발렉스코리아의 경우 월합전표를 발행함에 따라 그 사용이 부적합한 것으로 판단됨 
2) 23년도 감사 시 발렉스코리아가 필수 적용 대상으로 선정되어 본부차원에서 시범적으로 AITS를 진행하였으나, 상기 현황으로 인해 90% 이상이 High로 도출된 바 있으며, 당기에도 마찬가지인 상황으로 사용의 실효성이 낮다고 판단, 제외 요청</t>
    <phoneticPr fontId="7" type="noConversion"/>
  </si>
  <si>
    <t>N/A</t>
    <phoneticPr fontId="7" type="noConversion"/>
  </si>
  <si>
    <t>2025 SK에너지 외부감사</t>
  </si>
  <si>
    <t>V</t>
    <phoneticPr fontId="7" type="noConversion"/>
  </si>
  <si>
    <t>별도재무제표에서 중요성금액 대비 손익 규모가 작은 상태.
실증절차 수행 시 기존의 샘플링 방식을 적용해도 표본 개수가 10개 미만.</t>
    <phoneticPr fontId="7" type="noConversion"/>
  </si>
  <si>
    <t>Consumer Products,
Energy and Natural Resources,
Industrial Products,
Retail</t>
    <phoneticPr fontId="7" type="noConversion"/>
  </si>
  <si>
    <t>KR_KPMG Dashboards - IFRS v3.1 - Retail Industry</t>
    <phoneticPr fontId="7" type="noConversion"/>
  </si>
  <si>
    <t>Retail Trade</t>
    <phoneticPr fontId="7" type="noConversion"/>
  </si>
  <si>
    <t>지주사로 연간 전표 발생 건수가 2,000건 미만</t>
    <phoneticPr fontId="7" type="noConversion"/>
  </si>
  <si>
    <t>STS신청</t>
    <phoneticPr fontId="7" type="noConversion"/>
  </si>
  <si>
    <t>샘플수가 10개 미만으로 실익이 없음.</t>
    <phoneticPr fontId="7" type="noConversion"/>
  </si>
  <si>
    <t>Eng 생성</t>
    <phoneticPr fontId="7" type="noConversion"/>
  </si>
  <si>
    <t>매출은 수주산업이 90%이고, 투입법에 따라 기간에 걸쳐 인식하는 수익
원가의 경우에도 수기로 계산하여 진행률을 계산</t>
    <phoneticPr fontId="7" type="noConversion"/>
  </si>
  <si>
    <t>주문생산에 따라 반도체 제품을 만들어서 파는 회사. 큰 거래가 몇건씩 발생하는 상황.원가는 시스템에 의존하지 않고, 수기로 작성한 후 더존에 수기 입력하는 형태입니다. 재고수불도 수기로 작성</t>
    <phoneticPr fontId="7" type="noConversion"/>
  </si>
  <si>
    <t>대부분이 진행기준으로 매출과 원가 90% 이상이 SR</t>
    <phoneticPr fontId="7" type="noConversion"/>
  </si>
  <si>
    <t>샘플 숫자 30건 이하. AITS 효과가 없을 것으로 판단</t>
    <phoneticPr fontId="7" type="noConversion"/>
  </si>
  <si>
    <t>보조부 원장과 총계정원장이 매핑되어 있지 않아 추가 작업 필요</t>
    <phoneticPr fontId="7" type="noConversion"/>
  </si>
  <si>
    <t>115.2.02
115.2.13</t>
    <phoneticPr fontId="7" type="noConversion"/>
  </si>
  <si>
    <t>Revenue
RMM</t>
    <phoneticPr fontId="7" type="noConversion"/>
  </si>
  <si>
    <t>O</t>
    <phoneticPr fontId="7" type="noConversion"/>
  </si>
  <si>
    <t>Revenue
통제의존</t>
    <phoneticPr fontId="7" type="noConversion"/>
  </si>
  <si>
    <t>COGS
RMM</t>
    <phoneticPr fontId="7" type="noConversion"/>
  </si>
  <si>
    <t>COGS
통제의존</t>
    <phoneticPr fontId="7" type="noConversion"/>
  </si>
  <si>
    <t>Opex
RMM</t>
    <phoneticPr fontId="7" type="noConversion"/>
  </si>
  <si>
    <t>Opex
통제의존</t>
    <phoneticPr fontId="7" type="noConversion"/>
  </si>
  <si>
    <t>Interest income
RMM</t>
    <phoneticPr fontId="7" type="noConversion"/>
  </si>
  <si>
    <t>Interest income
통제의존</t>
    <phoneticPr fontId="7" type="noConversion"/>
  </si>
  <si>
    <t>Interest expense
RMM</t>
    <phoneticPr fontId="7" type="noConversion"/>
  </si>
  <si>
    <t>Interest expense
통제의존</t>
    <phoneticPr fontId="7" type="noConversion"/>
  </si>
  <si>
    <t>100.2.02</t>
    <phoneticPr fontId="7" type="noConversion"/>
  </si>
  <si>
    <t>지주회사로 배당수익이 전체 매출의 99%를 차지하고 있으며, 전수로 증빙을 확인. 비용도 감가상각비와 인건비가 80%이상. 나머지는 PM미만.</t>
    <phoneticPr fontId="7" type="noConversion"/>
  </si>
  <si>
    <t>변동날짜</t>
    <phoneticPr fontId="7" type="noConversion"/>
  </si>
  <si>
    <t>순수 지주사임에 따라 MUS 불필요</t>
    <phoneticPr fontId="7" type="noConversion"/>
  </si>
  <si>
    <t>매출은 모든 CAR이 Base보다 위험하다고 평가하여 적용 불가.
비용은 샘플수가 적음(30건 미만)</t>
    <phoneticPr fontId="7" type="noConversion"/>
  </si>
  <si>
    <t>KR_KPMG Dashboards - IFRS v3.1 - Retail Industry</t>
    <phoneticPr fontId="7" type="noConversion"/>
  </si>
  <si>
    <t>V</t>
    <phoneticPr fontId="7" type="noConversion"/>
  </si>
  <si>
    <t>(주)스튜디오 산타클로스 엔터테인먼트</t>
    <phoneticPr fontId="7" type="noConversion"/>
  </si>
  <si>
    <t>제외요청</t>
    <phoneticPr fontId="7" type="noConversion"/>
  </si>
  <si>
    <t>총계정원장과 보조부원장 맵핑이 어려워, 모집단을 총계정원장으로 사용하기 어려움</t>
    <phoneticPr fontId="7" type="noConversion"/>
  </si>
  <si>
    <t>KR_KPMG Dashboards - IFRS v3.1 - Technology Industry</t>
    <phoneticPr fontId="7" type="noConversion"/>
  </si>
  <si>
    <t>Manufacturing</t>
    <phoneticPr fontId="7" type="noConversion"/>
  </si>
  <si>
    <t>N/A</t>
    <phoneticPr fontId="7" type="noConversion"/>
  </si>
  <si>
    <t>115.2.02
115.2.13
115.2.02
115.2.12b</t>
    <phoneticPr fontId="7" type="noConversion"/>
  </si>
  <si>
    <t>100.2.02</t>
    <phoneticPr fontId="7" type="noConversion"/>
  </si>
  <si>
    <t>O</t>
    <phoneticPr fontId="7" type="noConversion"/>
  </si>
  <si>
    <t>115.2.02
115.2.12b
115.2.13
115.3.01</t>
    <phoneticPr fontId="7" type="noConversion"/>
  </si>
  <si>
    <t>115.2.02
115.2.13
115.3.01</t>
    <phoneticPr fontId="7" type="noConversion"/>
  </si>
  <si>
    <t>jaenamhwang@kr.kpmg.com, sehongchoi@kr.kpmg.com, sangkeunlee@kr.kpmg.com, hwanukjung@kr.kpmg.com, choongkilee@kr.kpmg.com, dayeongahn@kr.kpmg.com</t>
  </si>
  <si>
    <t>seungmikang@kr.kpmg.com, jeewonlee@kr.kpmg.com, jinboshim@kr.kpmg.com, jlee79@kr.kpmg.com, semokim@kr.kpmg.com, jjung9@kr.kpmg.com</t>
  </si>
  <si>
    <t>jungkikim@kr.kpmg.com, yeehyunchoi@kr.kpmg.com, euijinkim@kr.kpmg.com</t>
  </si>
  <si>
    <t>yangkijung@kr.kpmg.com, sungchaekang@kr.kpmg.com, juneheeshin@kr.kpmg.com, djung4@kr.kpmg.com</t>
  </si>
  <si>
    <t>jaenamhwang@kr.kpmg.com, dongjunshin@kr.kpmg.com, skim56@kr.kpmg.com, yosupgo@kr.kpmg.com</t>
  </si>
  <si>
    <t>chaeneunglee@kr.kpmg.com, mbaek@kr.kpmg.com, yungicho@kr.kpmg.com</t>
  </si>
  <si>
    <t>hsul@kr.kpmg.com, yseol@kr.kpmg.com, jinjang@kr.kpmg.com, jongseokyoun@kr.kpmg.com</t>
  </si>
  <si>
    <t>cahn@kr.kpmg.com, yeontaekchoi@kr.kpmg.com, hkim108@kr.kpmg.com, mingyuhan@kr.kpmg.com</t>
  </si>
  <si>
    <t>joohunyoon@kr.kpmg.com, ikchankim@kr.kpmg.com, yoonahlee@kr.kpmg.com, hyeongcheollee@kr.kpmg.com</t>
  </si>
  <si>
    <t>sanghoroh@kr.kpmg.com, wjeon@kr.kpmg.com, seongilkim@kr.kpmg.com, gibaeksong@kr.kpmg.com, hyunwootak@kr.kpmg.com</t>
  </si>
  <si>
    <t>yhyun@kr.kpmg.com, hchung@kr.kpmg.com, clee60@kr.kpmg.com</t>
  </si>
  <si>
    <t>ychoi@kr.kpmg.com, sungbaekim@kr.kpmg.com, jongsunam@kr.kpmg.com</t>
  </si>
  <si>
    <t>hchung@kr.kpmg.com, joongkyukim@kr.kpmg.com, yaehyeonkim@kr.kpmg.com, konkukkang@kr.kpmg.com</t>
  </si>
  <si>
    <t>jra@kr.kpmg.com, jjoung@kr.kpmg.com, yeasolju@kr.kpmg.com, ckim12@kr.kpmg.com</t>
  </si>
  <si>
    <t>sungbaepark@kr.kpmg.com, yeontaekchoi@kr.kpmg.com, jjung32@kr.kpmg.com</t>
  </si>
  <si>
    <t>dchi@kr.kpmg.com, hwasoocho@kr.kpmg.com, yeasolju@kr.kpmg.com, ykim47@kr.kpmg.com</t>
  </si>
  <si>
    <t>hyunminjang@kr.kpmg.com, sangkilee@kr.kpmg.com, sehyunlee@kr.kpmg.com, ykim85@kr.kpmg.com</t>
  </si>
  <si>
    <t>kyungsuklee@kr.kpmg.com, sanghoroh@kr.kpmg.com, jeongheehan@kr.kpmg.com</t>
  </si>
  <si>
    <t>ychoi@kr.kpmg.com, sanghyunbyun@kr.kpmg.com, younginwon@kr.kpmg.com, sunseokcha@kr.kpmg.com</t>
  </si>
  <si>
    <t>jra@kr.kpmg.com, jongsanglee@kr.kpmg.com, jchoi13@kr.kpmg.com</t>
  </si>
  <si>
    <t>moonchulshin@kr.kpmg.com, sungbaepark@kr.kpmg.com, jaejoongkim@kr.kpmg.com, hocheolyang@kr.kpmg.com</t>
  </si>
  <si>
    <t>chaeneunglee@kr.kpmg.com, ycha@kr.kpmg.com, seongilkim@kr.kpmg.com, gimyeonghwang@kr.kpmg.com</t>
  </si>
  <si>
    <t>sanghyunhan@kr.kpmg.com, sungbaepark@kr.kpmg.com, jahn6@kr.kpmg.com, mkang8@kr.kpmg.com</t>
  </si>
  <si>
    <t>hyunsukkim@kr.kpmg.com, hyundonghwang@kr.kpmg.com, changwonseo@kr.kpmg.com, gyeongokim@kr.kpmg.com</t>
  </si>
  <si>
    <t>tkim@kr.kpmg.com, dohyunkim@kr.kpmg.com, jongsunam@kr.kpmg.com, taeseoblee@kr.kpmg.com</t>
  </si>
  <si>
    <t>sangkeunlee@kr.kpmg.com, wjeon@kr.kpmg.com, inchanhwang@kr.kpmg.com, howonyoon@kr.kpmg.com</t>
  </si>
  <si>
    <t>jroh@kr.kpmg.com, hsul@kr.kpmg.com, hlee42@kr.kpmg.com, hyegyeongryu@kr.kpmg.com</t>
  </si>
  <si>
    <t>moonchulshin@kr.kpmg.com, kyunghopark@kr.kpmg.com, jinholee1@kr.kpmg.com</t>
  </si>
  <si>
    <t>ikang@kr.kpmg.com, sanghoonpark@kr.kpmg.com, mingyulee@kr.kpmg.com, skim106@kr.kpmg.com</t>
  </si>
  <si>
    <t>seungmikang@kr.kpmg.com, syeom@kr.kpmg.com, semokim@kr.kpmg.com</t>
  </si>
  <si>
    <t>sanghyunhan@kr.kpmg.com, hakbeomlee@kr.kpmg.com, sorakim@kr.kpmg.com</t>
  </si>
  <si>
    <t>yeehyunchoi@kr.kpmg.com, yeontaekchoi@kr.kpmg.com, jeongungcha@kr.kpmg.com, changilwon@kr.kpmg.com</t>
  </si>
  <si>
    <t>hchung@kr.kpmg.com, junheehan@kr.kpmg.com</t>
  </si>
  <si>
    <t>seunghoikoo@kr.kpmg.com, juhyunglee@kr.kpmg.com, jinmokkim@kr.kpmg.com, eunjeonghong@kr.kpmg.com</t>
  </si>
  <si>
    <t>sangminnam@kr.kpmg.com, kyuhonglee1@kr.kpmg.com, suminpark@kr.kpmg.com, yanghoshin@kr.kpmg.com</t>
  </si>
  <si>
    <t>sanghyunhan@kr.kpmg.com, yangkijung@kr.kpmg.com, jongroklee@kr.kpmg.com</t>
  </si>
  <si>
    <t>hyunsukkim@kr.kpmg.com, hochullee@kr.kpmg.com, hkim51@kr.kpmg.com</t>
  </si>
  <si>
    <t>sangminnam@kr.kpmg.com, yeonjungkim@kr.kpmg.com, sunguckkim@kr.kpmg.com, hkim51@kr.kpmg.com</t>
  </si>
  <si>
    <t>sangminnam@kr.kpmg.com, sungbaekim@kr.kpmg.com, suminpark@kr.kpmg.com, myoungjaejeon@kr.kpmg.com</t>
  </si>
  <si>
    <t>kyungsuklee@kr.kpmg.com, slee14@kr.kpmg.com</t>
  </si>
  <si>
    <t>jungwookdo@kr.kpmg.com, jungsoopark@kr.kpmg.com, jinyoungson@kr.kpmg.com, yeonjoochoi@kr.kpmg.com</t>
  </si>
  <si>
    <t>yseol@kr.kpmg.com, hongminpark@kr.kpmg.com, shinyoungkim@kr.kpmg.com, naehyeongkwon@kr.kpmg.com</t>
  </si>
  <si>
    <t>kwanjongpark@kr.kpmg.com, hjo@kr.kpmg.com, changhyunan@kr.kpmg.com, jkim216@kr.kpmg.com</t>
  </si>
  <si>
    <t>changgiljung@kr.kpmg.com, jungsoopark@kr.kpmg.com, sungwoonchoi@kr.kpmg.com</t>
  </si>
  <si>
    <t>juhyunglee@kr.kpmg.com, sangilhan@kr.kpmg.com, sanghwapark@kr.kpmg.com</t>
  </si>
  <si>
    <t>jungwookdo@kr.kpmg.com, ijo@kr.kpmg.com, juhyungkim@kr.kpmg.com, soh10@kr.kpmg.com</t>
  </si>
  <si>
    <t>smin@kr.kpmg.com, seungmikang@kr.kpmg.com, yoorachoi@kr.kpmg.com</t>
  </si>
  <si>
    <t>dongyoonlee@kr.kpmg.com, ikang@kr.kpmg.com, soyoungpark@kr.kpmg.com, mcho5@kr.kpmg.com</t>
  </si>
  <si>
    <t>sangokpark@kr.kpmg.com, sukwangkim@kr.kpmg.com, mjang3@kr.kpmg.com</t>
  </si>
  <si>
    <t>wjeon@kr.kpmg.com, yangkijung@kr.kpmg.com, eunseokkim@kr.kpmg.com</t>
  </si>
  <si>
    <t>chaeneunglee@kr.kpmg.com, dongjunshin@kr.kpmg.com, skim56@kr.kpmg.com, sujungna@kr.kpmg.com</t>
  </si>
  <si>
    <t>hyunhojeon@kr.kpmg.com, sbeom@kr.kpmg.com, khur@kr.kpmg.com</t>
  </si>
  <si>
    <t>jaehoonheo@kr.kpmg.com, wonseol@kr.kpmg.com, euijinkim@kr.kpmg.com, byungyuljung@kr.kpmg.com</t>
  </si>
  <si>
    <t>dchi@kr.kpmg.com, hwasoocho@kr.kpmg.com, jinseokyang@kr.kpmg.com, jeongeunshin@kr.kpmg.com</t>
  </si>
  <si>
    <t>wjeon@kr.kpmg.com, ychoi@kr.kpmg.com, kyu3@kr.kpmg.com</t>
  </si>
  <si>
    <t>yhyun@kr.kpmg.com, changgiljung@kr.kpmg.com, sungwookkim@kr.kpmg.com</t>
  </si>
  <si>
    <t>jongsanglee@kr.kpmg.com, jaenamhwang@kr.kpmg.com, younginwon@kr.kpmg.com, jlee92@kr.kpmg.com, bohyunyoon@kr.kpmg.com</t>
  </si>
  <si>
    <t>tkim@kr.kpmg.com, khwang@kr.kpmg.com, jiheonkang@kr.kpmg.com</t>
  </si>
  <si>
    <t>sanghoonpark@kr.kpmg.com, khwang@kr.kpmg.com, skim125@kr.kpmg.com, gbak@kr.kpmg.com</t>
  </si>
  <si>
    <t>jongsanglee@kr.kpmg.com, sanghyunbyun@kr.kpmg.com, younginwon@kr.kpmg.com, yongbeomlee@kr.kpmg.com</t>
  </si>
  <si>
    <t>jeonggukang@kr.kpmg.com, jooyounglee@kr.kpmg.com, sungheeyoo@kr.kpmg.com, minkyungshin@kr.kpmg.com</t>
  </si>
  <si>
    <t>ikang@kr.kpmg.com, jinseokchoi@kr.kpmg.com, junhyeoklee@kr.kpmg.com, daeryukjeong@kr.kpmg.com</t>
  </si>
  <si>
    <t>tkim@kr.kpmg.com, sangokpark@kr.kpmg.com, sangseokseo@kr.kpmg.com, hoyoungshin@kr.kpmg.com</t>
  </si>
  <si>
    <t>sanghoonpark@kr.kpmg.com, jungwookdo@kr.kpmg.com, hkim23@kr.kpmg.com, jihamchoi@kr.kpmg.com</t>
  </si>
  <si>
    <t>jongsanglee@kr.kpmg.com, jeonggukang@kr.kpmg.com, kwanghyunyun@kr.kpmg.com</t>
  </si>
  <si>
    <t>sungchaekang@kr.kpmg.com, jungsoolee@kr.kpmg.com, sunguckkim@kr.kpmg.com, sunghobu@kr.kpmg.com</t>
  </si>
  <si>
    <t>sehongchoi@kr.kpmg.com, mbaek@kr.kpmg.com, spark20@kr.kpmg.com</t>
  </si>
  <si>
    <t>sanghoroh@kr.kpmg.com, deokyeonglee@kr.kpmg.com, jeonghoonpark@kr.kpmg.com</t>
  </si>
  <si>
    <t>seungheecho@kr.kpmg.com, kyungsuklee@kr.kpmg.com, slee14@kr.kpmg.com</t>
  </si>
  <si>
    <t>hchung@kr.kpmg.com, yongholee@kr.kpmg.com, bkim13@kr.kpmg.com, yongwookkim@kr.kpmg.com</t>
  </si>
  <si>
    <t>kwanjongpark@kr.kpmg.com, hjo@kr.kpmg.com, changhyunan@kr.kpmg.com, jbak@kr.kpmg.com</t>
  </si>
  <si>
    <t>ijo@kr.kpmg.com, soonjaeyang@kr.kpmg.com, wooseokheo@kr.kpmg.com</t>
  </si>
  <si>
    <t>jooyounglee@kr.kpmg.com, sangokpark@kr.kpmg.com, jongkeunpark@kr.kpmg.com</t>
  </si>
  <si>
    <t>hyunhojeon@kr.kpmg.com, taeungjeon@kr.kpmg.com, hkim51@kr.kpmg.com</t>
  </si>
  <si>
    <t>kwanjongpark@kr.kpmg.com, hakbeomlee@kr.kpmg.com, changwonseo@kr.kpmg.com, yeonjuchu@kr.kpmg.com</t>
  </si>
  <si>
    <t>heeseokkang@kr.kpmg.com, jooyounglee@kr.kpmg.com, sungheeyoo@kr.kpmg.com, dlee89@kr.kpmg.com</t>
  </si>
  <si>
    <t>jeewonlee@kr.kpmg.com, jaehoonheo@kr.kpmg.com, jinjang@kr.kpmg.com, jaehyunjeon@kr.kpmg.com</t>
  </si>
  <si>
    <t>khwang@kr.kpmg.com, sukwangkim@kr.kpmg.com, hkim23@kr.kpmg.com, dongjoonchi@kr.kpmg.com</t>
  </si>
  <si>
    <t>junsikuhm@kr.kpmg.com, yangkijung@kr.kpmg.com, jaewanlim@kr.kpmg.com</t>
  </si>
  <si>
    <t>kyunghopark@kr.kpmg.com, dohyunkim@kr.kpmg.com, mingyusong@kr.kpmg.com, jkim258@kr.kpmg.com</t>
  </si>
  <si>
    <t>hchung@kr.kpmg.com, yongholee@kr.kpmg.com, soonjaeyang@kr.kpmg.com, ihwang7@kr.kpmg.com</t>
  </si>
  <si>
    <t>hyunminjang@kr.kpmg.com, kwanjongpark@kr.kpmg.com, jaehyoungan@kr.kpmg.com, wonjaekang@kr.kpmg.com</t>
  </si>
  <si>
    <t>ikang@kr.kpmg.com, jaehoonheo@kr.kpmg.com, yoonahlee@kr.kpmg.com, junhyeoklee@kr.kpmg.com, hyucksoonchoi@kr.kpmg.com</t>
  </si>
  <si>
    <t>hyunhojeon@kr.kpmg.com, yeonjungkim@kr.kpmg.com, kwanghyunyun@kr.kpmg.com</t>
  </si>
  <si>
    <t>sangokpark@kr.kpmg.com, yeounchoi@kr.kpmg.com, suyeonkim@kr.kpmg.com</t>
  </si>
  <si>
    <t>dchi@kr.kpmg.com, sangminnam@kr.kpmg.com, pjeong@kr.kpmg.com</t>
  </si>
  <si>
    <t>dongjunshin@kr.kpmg.com, sukwangkim@kr.kpmg.com, jkim143@kr.kpmg.com, jhwang4@kr.kpmg.com</t>
  </si>
  <si>
    <t>daejinkim@kr.kpmg.com, hochullee@kr.kpmg.com, sunguckkim@kr.kpmg.com, junhyunghong@kr.kpmg.com</t>
  </si>
  <si>
    <t>smin@kr.kpmg.com, jaehoonheo@kr.kpmg.com, donggyulee@kr.kpmg.com</t>
  </si>
  <si>
    <t>sangokpark@kr.kpmg.com, daejinkim@kr.kpmg.com, yulcheolpark@kr.kpmg.com, ylee67@kr.kpmg.com</t>
  </si>
  <si>
    <t>jaenamhwang@kr.kpmg.com, kyunghopark@kr.kpmg.com, jlee123@kr.kpmg.com</t>
  </si>
  <si>
    <t>sungchaekang@kr.kpmg.com, yongholee@kr.kpmg.com, jinyoungson@kr.kpmg.com</t>
  </si>
  <si>
    <t>chulyoungkim@kr.kpmg.com, hwasoocho@kr.kpmg.com, jinseokyang@kr.kpmg.com, yeonjuchu@kr.kpmg.com</t>
  </si>
  <si>
    <t>khwang@kr.kpmg.com, dohyunkim@kr.kpmg.com, mkim175@kr.kpmg.com, dkim240@kr.kpmg.com</t>
  </si>
  <si>
    <t>sangkeunlee@kr.kpmg.com, hyunminjang@kr.kpmg.com, woohyunyi@kr.kpmg.com</t>
  </si>
  <si>
    <t>changgiljung@kr.kpmg.com, dchi@kr.kpmg.com, inchanhwang@kr.kpmg.com, syoo7@kr.kpmg.com</t>
  </si>
  <si>
    <t>hchung@kr.kpmg.com, yongholee@kr.kpmg.com, yaehyeonkim@kr.kpmg.com, konkukkang@kr.kpmg.com</t>
  </si>
  <si>
    <t>chulyoungkim@kr.kpmg.com, kyungsuklee@kr.kpmg.com, slee14@kr.kpmg.com</t>
  </si>
  <si>
    <t>hyunminjang@kr.kpmg.com, jungwookdo@kr.kpmg.com, minjujeong@kr.kpmg.com</t>
  </si>
  <si>
    <t>kyunghopark@kr.kpmg.com, gleem@kr.kpmg.com, jeonghoonpark@kr.kpmg.com</t>
  </si>
  <si>
    <t>jungkikim@kr.kpmg.com, moonchulshin@kr.kpmg.com, edo@kr.kpmg.com, seungohwoo@kr.kpmg.com</t>
  </si>
  <si>
    <t>sangilhan@kr.kpmg.com, jlee79@kr.kpmg.com, sungwoonchoi@kr.kpmg.com</t>
  </si>
  <si>
    <t>sangilhan@kr.kpmg.com, jlee79@kr.kpmg.com, bkim13@kr.kpmg.com, yongwookkim@kr.kpmg.com</t>
  </si>
  <si>
    <t>jungsoolee@kr.kpmg.com, jjoung@kr.kpmg.com, jaeyeonleem@kr.kpmg.com, jlee177@kr.kpmg.com</t>
  </si>
  <si>
    <t>cahn@kr.kpmg.com, yseol@kr.kpmg.com, yoorachoi@kr.kpmg.com</t>
  </si>
  <si>
    <t>seungheecho@kr.kpmg.com, sanghoonpark@kr.kpmg.com, jlee92@kr.kpmg.com, hyim@kr.kpmg.com</t>
  </si>
  <si>
    <t>jooyounglee@kr.kpmg.com, chaeneunglee@kr.kpmg.com, jongroklee@kr.kpmg.com</t>
  </si>
  <si>
    <t>jungkikim@kr.kpmg.com, sanghyunkang@kr.kpmg.com, euijinkim@kr.kpmg.com</t>
  </si>
  <si>
    <t>jooyounglee@kr.kpmg.com, seunghoikoo@kr.kpmg.com, jeonghoonlee@kr.kpmg.com</t>
  </si>
  <si>
    <t>siwookim@kr.kpmg.com, ijo@kr.kpmg.com, gyeon@kr.kpmg.com</t>
  </si>
  <si>
    <t>sungchaekang@kr.kpmg.com, seungmikang@kr.kpmg.com, woohyunyi@kr.kpmg.com, sukheehan@kr.kpmg.com</t>
  </si>
  <si>
    <t>chaeneunglee@kr.kpmg.com, daejinkim@kr.kpmg.com, jaehyukjang@kr.kpmg.com, hcho12@kr.kpmg.com</t>
  </si>
  <si>
    <t>seungmikang@kr.kpmg.com, moonchulshin@kr.kpmg.com, scho3@kr.kpmg.com</t>
  </si>
  <si>
    <t>jroh@kr.kpmg.com, hsul@kr.kpmg.com, seongbeomlee@kr.kpmg.com</t>
  </si>
  <si>
    <t>sungbaekim@kr.kpmg.com, hyundonghwang@kr.kpmg.com, giwoongbae@kr.kpmg.com</t>
  </si>
  <si>
    <t>junsikuhm@kr.kpmg.com, taeungjeon@kr.kpmg.com, hkim51@kr.kpmg.com</t>
  </si>
  <si>
    <t>ijo@kr.kpmg.com, tkim@kr.kpmg.com, jkim143@kr.kpmg.com</t>
  </si>
  <si>
    <t>seungmikang@kr.kpmg.com, yeontaekchoi@kr.kpmg.com, ykang4@kr.kpmg.com</t>
  </si>
  <si>
    <t>hakbeomlee@kr.kpmg.com, daejinkim@kr.kpmg.com, jaehyukjang@kr.kpmg.com, jungohyoon@kr.kpmg.com</t>
  </si>
  <si>
    <t>jungkikim@kr.kpmg.com, yeehyunchoi@kr.kpmg.com</t>
  </si>
  <si>
    <t>sangkilee@kr.kpmg.com, seungmikang@kr.kpmg.com, woohyunyi@kr.kpmg.com</t>
  </si>
  <si>
    <t>yeonjungkim@kr.kpmg.com, heeseokkang@kr.kpmg.com, jchoi13@kr.kpmg.com</t>
  </si>
  <si>
    <t>jaeyeonkim@kr.kpmg.com, jra@kr.kpmg.com, yulcheolpark@kr.kpmg.com, kwonjaelee@kr.kpmg.com</t>
  </si>
  <si>
    <t>sukwangkim@kr.kpmg.com, yhyun@kr.kpmg.com, yaehyeonkim@kr.kpmg.com</t>
  </si>
  <si>
    <t>sehongchoi@kr.kpmg.com, kyuhonglee1@kr.kpmg.com, mkim175@kr.kpmg.com</t>
  </si>
  <si>
    <t>daejinkim@kr.kpmg.com, jjoung@kr.kpmg.com, giwoongbae@kr.kpmg.com</t>
  </si>
  <si>
    <t>dongyoonlee@kr.kpmg.com, ikang@kr.kpmg.com, taehyunglee@kr.kpmg.com, doheunkim@kr.kpmg.com</t>
  </si>
  <si>
    <t>heeseokkang@kr.kpmg.com, yeounchoi@kr.kpmg.com, jaehyukjang@kr.kpmg.com, dokyunglee@kr.kpmg.com</t>
  </si>
  <si>
    <t>hakbeomlee@kr.kpmg.com, jeonghwancha@kr.kpmg.com, sungkyujung@kr.kpmg.com, jinhyeokwoo@kr.kpmg.com</t>
  </si>
  <si>
    <t>kyunghopark@kr.kpmg.com, yeounchoi@kr.kpmg.com, jlee92@kr.kpmg.com, gyucheoloh@kr.kpmg.com</t>
  </si>
  <si>
    <t>jaeyeonkim@kr.kpmg.com, wjeon@kr.kpmg.com, sungheeyoo@kr.kpmg.com, hyunwootak@kr.kpmg.com</t>
  </si>
  <si>
    <t>ycha@kr.kpmg.com, heeseokkang@kr.kpmg.com, jlee123@kr.kpmg.com</t>
  </si>
  <si>
    <t>changgiljung@kr.kpmg.com, yongholee@kr.kpmg.com, jaehyoungan@kr.kpmg.com, wonjaekang@kr.kpmg.com</t>
  </si>
  <si>
    <t>dongjunshin@kr.kpmg.com, hochullee@kr.kpmg.com, sunguckkim@kr.kpmg.com, tkim50@kr.kpmg.com</t>
  </si>
  <si>
    <t>jjoung@kr.kpmg.com, sbeom@kr.kpmg.com, hyoungtakhan@kr.kpmg.com</t>
  </si>
  <si>
    <t>ychoi@kr.kpmg.com, dchi@kr.kpmg.com, yeongminlee@kr.kpmg.com, spark72@kr.kpmg.com</t>
  </si>
  <si>
    <t>junsikuhm@kr.kpmg.com, yeounchoi@kr.kpmg.com, suyeonkim@kr.kpmg.com</t>
  </si>
  <si>
    <t>sanghyunkang@kr.kpmg.com, jeewonlee@kr.kpmg.com, jboo@kr.kpmg.com</t>
  </si>
  <si>
    <t>ychoi@kr.kpmg.com, ycha@kr.kpmg.com, jlee92@kr.kpmg.com, kyungsunkwon@kr.kpmg.com</t>
  </si>
  <si>
    <t>daejinkim@kr.kpmg.com, sungchaekang@kr.kpmg.com, spark20@kr.kpmg.com</t>
  </si>
  <si>
    <t>yeehyunchoi@kr.kpmg.com, yeontaekchoi@kr.kpmg.com, ykang4@kr.kpmg.com</t>
  </si>
  <si>
    <t>smin@kr.kpmg.com, yeehyunchoi@kr.kpmg.com, jaeyoungpark@kr.kpmg.com</t>
  </si>
  <si>
    <t>joohunyoon@kr.kpmg.com, daejinkim@kr.kpmg.com, jlee92@kr.kpmg.com, jungohyoon@kr.kpmg.com</t>
  </si>
  <si>
    <t>yangkijung@kr.kpmg.com, hochullee@kr.kpmg.com, sseo@kr.kpmg.com</t>
  </si>
  <si>
    <t>dohyunkim@kr.kpmg.com, daejinkim@kr.kpmg.com, suyeonkim@kr.kpmg.com</t>
  </si>
  <si>
    <t>chulyoungkim@kr.kpmg.com, sangminnam@kr.kpmg.com, eunseokkim@kr.kpmg.com</t>
  </si>
  <si>
    <t>khwang@kr.kpmg.com, jungwookdo@kr.kpmg.com, jkim143@kr.kpmg.com, jihoonchoo@kr.kpmg.com</t>
  </si>
  <si>
    <t>seunghoikoo@kr.kpmg.com, seungmikang@kr.kpmg.com, woohyunyi@kr.kpmg.com, sukheehan@kr.kpmg.com</t>
  </si>
  <si>
    <t>jongwoolee@kr.kpmg.com, joongkyukim@kr.kpmg.com, yaehyeonkim@kr.kpmg.com, cbae1@kr.kpmg.com</t>
  </si>
  <si>
    <t>hyunsukkim@kr.kpmg.com, seungmikang@kr.kpmg.com, jaeyoungpark@kr.kpmg.com, hyeongcheollee@kr.kpmg.com</t>
  </si>
  <si>
    <t>jongsanglee@kr.kpmg.com, jungwoohan@kr.kpmg.com, yno@kr.kpmg.com</t>
  </si>
  <si>
    <t>dohyunkim@kr.kpmg.com, jra@kr.kpmg.com, younakim@kr.kpmg.com</t>
  </si>
  <si>
    <t>jungsoopark@kr.kpmg.com, siwookim@kr.kpmg.com, sanghwapark@kr.kpmg.com, youngjoojin@kr.kpmg.com, kiwoongkim@kr.kpmg.com</t>
  </si>
  <si>
    <t>ikchankim@kr.kpmg.com, seunghoikoo@kr.kpmg.com, scho3@kr.kpmg.com</t>
  </si>
  <si>
    <t>sehongchoi@kr.kpmg.com, kyuhonglee1@kr.kpmg.com, jongsunam@kr.kpmg.com</t>
  </si>
  <si>
    <t>jeonghwancha@kr.kpmg.com, dongyoonlee@kr.kpmg.com, hyejujang@kr.kpmg.com</t>
  </si>
  <si>
    <t>yeonjungkim@kr.kpmg.com, hongminpark@kr.kpmg.com, edo@kr.kpmg.com</t>
  </si>
  <si>
    <t>seungheecho@kr.kpmg.com, ycha@kr.kpmg.com, mingyulee@kr.kpmg.com, dasanyoun@kr.kpmg.com</t>
  </si>
  <si>
    <t>dongyoonlee@kr.kpmg.com, hyunminjang@kr.kpmg.com, hyeonggilwi@kr.kpmg.com</t>
  </si>
  <si>
    <t>cahn@kr.kpmg.com, sehongchoi@kr.kpmg.com, sorakim@kr.kpmg.com</t>
  </si>
  <si>
    <t>smin@kr.kpmg.com, cahn@kr.kpmg.com, seoyoungnam@kr.kpmg.com, joonggimin@kr.kpmg.com</t>
  </si>
  <si>
    <t>daejinkim@kr.kpmg.com, joongkyukim@kr.kpmg.com, jiheonkang@kr.kpmg.com</t>
  </si>
  <si>
    <t>chulyoungkim@kr.kpmg.com, hwasoocho@kr.kpmg.com, jinseokyang@kr.kpmg.com, hyunjaeim@kr.kpmg.com</t>
  </si>
  <si>
    <t>hyundonghwang@kr.kpmg.com, heeseokkang@kr.kpmg.com, dlee34@kr.kpmg.com</t>
  </si>
  <si>
    <t>jaehoonheo@kr.kpmg.com, tkim@kr.kpmg.com, seunghyeonpark@kr.kpmg.com</t>
  </si>
  <si>
    <t>jungkikim@kr.kpmg.com, hyundonghwang@kr.kpmg.com, jaeyeonleem@kr.kpmg.com, jkim508@kr.kpmg.com</t>
  </si>
  <si>
    <t>sangilhan@kr.kpmg.com, kwanjongpark@kr.kpmg.com, jinyoungson@kr.kpmg.com, yeonjoochoi@kr.kpmg.com</t>
  </si>
  <si>
    <t>sbeom@kr.kpmg.com, hchung@kr.kpmg.com, junheehan@kr.kpmg.com</t>
  </si>
  <si>
    <t>jungsoopark@kr.kpmg.com, sanghoonpark@kr.kpmg.com, sungheeyoo@kr.kpmg.com, dkim77@kr.kpmg.com</t>
  </si>
  <si>
    <t>jungwoohan@kr.kpmg.com, khwang@kr.kpmg.com, jiheonkang@kr.kpmg.com</t>
  </si>
  <si>
    <t>sbeom@kr.kpmg.com, wjeon@kr.kpmg.com, skim66@kr.kpmg.com</t>
  </si>
  <si>
    <t>kyungsuklee@kr.kpmg.com, sanghoroh@kr.kpmg.com, sorakim@kr.kpmg.com</t>
  </si>
  <si>
    <t>yangkijung@kr.kpmg.com, smin@kr.kpmg.com, hlee42@kr.kpmg.com</t>
  </si>
  <si>
    <t>jeonghwancha@kr.kpmg.com, yoongeunoh@kr.kpmg.com, yungicho@kr.kpmg.com</t>
  </si>
  <si>
    <t>seungmikang@kr.kpmg.com, sukwangkim@kr.kpmg.com, clee60@kr.kpmg.com</t>
  </si>
  <si>
    <t>sangilhan@kr.kpmg.com, minjujeong@kr.kpmg.com</t>
  </si>
  <si>
    <t>jooyounglee@kr.kpmg.com, seunghoikoo@kr.kpmg.com, jahn6@kr.kpmg.com, naehyeongkwon@kr.kpmg.com</t>
  </si>
  <si>
    <t>hyunminjang@kr.kpmg.com, seunghoikoo@kr.kpmg.com, jeonghoonlee@kr.kpmg.com</t>
  </si>
  <si>
    <t>wonseol@kr.kpmg.com, jeonghwancha@kr.kpmg.com, seoyoungnam@kr.kpmg.com, mincheolyun@kr.kpmg.com</t>
  </si>
  <si>
    <t>hyunhojeon@kr.kpmg.com, kyuhonglee1@kr.kpmg.com, mkim175@kr.kpmg.com</t>
  </si>
  <si>
    <t>joongkyukim@kr.kpmg.com, hjo@kr.kpmg.com, clee60@kr.kpmg.com, jkim181@kr.kpmg.com</t>
  </si>
  <si>
    <t>jungsoolee@kr.kpmg.com, jjoung@kr.kpmg.com, changwonseo@kr.kpmg.com, jlee177@kr.kpmg.com</t>
  </si>
  <si>
    <t>jongwoolee@kr.kpmg.com, seunghyeonpark@kr.kpmg.com</t>
  </si>
  <si>
    <t>yoongeunoh@kr.kpmg.com, yungicho@kr.kpmg.com</t>
  </si>
  <si>
    <t>hochullee@kr.kpmg.com, mkim175@kr.kpmg.com</t>
  </si>
  <si>
    <t>tkim@kr.kpmg.com, mjang3@kr.kpmg.com</t>
  </si>
  <si>
    <t>seungheecho@kr.kpmg.com, tkim@kr.kpmg.com, jkim143@kr.kpmg.com, youngmokoo@kr.kpmg.com</t>
  </si>
  <si>
    <t>Korea Electric Power Corporation</t>
  </si>
  <si>
    <t>한국수력원자력 ㈜</t>
  </si>
  <si>
    <t>에스케이브로드밴드 주식회사</t>
  </si>
  <si>
    <t>SK이노베이션㈜</t>
  </si>
  <si>
    <t>SK에너지 주식회사</t>
  </si>
  <si>
    <t xml:space="preserve">(주)알파칩스 </t>
  </si>
  <si>
    <t xml:space="preserve">(주)우리홈쇼핑 </t>
  </si>
  <si>
    <t xml:space="preserve">에이치디현대마린엔진 주식회사 </t>
  </si>
  <si>
    <t xml:space="preserve">(주)비지에프에코머티리얼즈 </t>
  </si>
  <si>
    <t>파르나스호텔 주식회사</t>
  </si>
  <si>
    <t>KR_KPMG Dashboards - IFRS v3.1 - Media &amp; Telecoms Industry</t>
    <phoneticPr fontId="7" type="noConversion"/>
  </si>
  <si>
    <t>Transportation and Warehousing</t>
    <phoneticPr fontId="7" type="noConversion"/>
  </si>
  <si>
    <t>KR_KPMG Dashboards - IFRS v3.1 - Healthcare Industry</t>
    <phoneticPr fontId="7" type="noConversion"/>
  </si>
  <si>
    <t>Wholesale Trade</t>
    <phoneticPr fontId="7" type="noConversion"/>
  </si>
  <si>
    <t>KR_KPMG Dashboards - IFRS v3.1 - Banking Industry</t>
    <phoneticPr fontId="7" type="noConversion"/>
  </si>
  <si>
    <t>Finance and Insurance</t>
    <phoneticPr fontId="7" type="noConversion"/>
  </si>
  <si>
    <t>yhyun@kr.kpmg.com, siwookim@kr.kpmg.com, seungjaeoh@kr.kpmg.com, kwangsulee@kr.kpmg.com</t>
    <phoneticPr fontId="7" type="noConversion"/>
  </si>
  <si>
    <t>Management of Companies and Enterprises</t>
    <phoneticPr fontId="7" type="noConversion"/>
  </si>
  <si>
    <t>yongholee@kr.kpmg.com, siwookim@kr.kpmg.com, seungjaeoh@kr.kpmg.com, skim127@kr.kpmg.com</t>
    <phoneticPr fontId="7" type="noConversion"/>
  </si>
  <si>
    <t>한국석유공사</t>
    <phoneticPr fontId="7" type="noConversion"/>
  </si>
  <si>
    <t>(주)코리아세븐</t>
    <phoneticPr fontId="7" type="noConversion"/>
  </si>
  <si>
    <t>씨제이프레시웨이주식회사</t>
    <phoneticPr fontId="7" type="noConversion"/>
  </si>
  <si>
    <t>한국동서발전 ㈜</t>
    <phoneticPr fontId="7" type="noConversion"/>
  </si>
  <si>
    <t>한국서부발전주식회사</t>
    <phoneticPr fontId="7" type="noConversion"/>
  </si>
  <si>
    <t>SK인천석유화학㈜</t>
    <phoneticPr fontId="7" type="noConversion"/>
  </si>
  <si>
    <t>한국남부발전주식회사</t>
    <phoneticPr fontId="7" type="noConversion"/>
  </si>
  <si>
    <t>한국남동발전 ㈜</t>
    <phoneticPr fontId="7" type="noConversion"/>
  </si>
  <si>
    <t>주식회사 에스에스지닷컴</t>
    <phoneticPr fontId="7" type="noConversion"/>
  </si>
  <si>
    <t>아이에스동서 ㈜</t>
    <phoneticPr fontId="7" type="noConversion"/>
  </si>
  <si>
    <t>주식회사펄어비스</t>
    <phoneticPr fontId="7" type="noConversion"/>
  </si>
  <si>
    <t>㈜에스엠엔터테인먼트</t>
    <phoneticPr fontId="7" type="noConversion"/>
  </si>
  <si>
    <t>한국중부발전 (주)</t>
    <phoneticPr fontId="7" type="noConversion"/>
  </si>
  <si>
    <t>주식회사 카카오게임즈</t>
    <phoneticPr fontId="7" type="noConversion"/>
  </si>
  <si>
    <t>대한전선 ㈜</t>
    <phoneticPr fontId="7" type="noConversion"/>
  </si>
  <si>
    <t>주식회사 이노션</t>
    <phoneticPr fontId="7" type="noConversion"/>
  </si>
  <si>
    <t>Mining</t>
    <phoneticPr fontId="7" type="noConversion"/>
  </si>
  <si>
    <t>주식회사 우아한형제들</t>
    <phoneticPr fontId="7" type="noConversion"/>
  </si>
  <si>
    <t>(주)동원에프앤비</t>
    <phoneticPr fontId="7" type="noConversion"/>
  </si>
  <si>
    <t>삼성전자 ㈜</t>
    <phoneticPr fontId="7" type="noConversion"/>
  </si>
  <si>
    <t>주식회사 카카오</t>
    <phoneticPr fontId="7" type="noConversion"/>
  </si>
  <si>
    <t>네이버 주식회사</t>
    <phoneticPr fontId="7" type="noConversion"/>
  </si>
  <si>
    <t>현대모비스 ㈜</t>
    <phoneticPr fontId="7" type="noConversion"/>
  </si>
  <si>
    <t>(주)대한항공</t>
    <phoneticPr fontId="7" type="noConversion"/>
  </si>
  <si>
    <t>아시아나항공</t>
    <phoneticPr fontId="7" type="noConversion"/>
  </si>
  <si>
    <t>삼성바이오로직스 주식회사</t>
    <phoneticPr fontId="7" type="noConversion"/>
  </si>
  <si>
    <t>삼성디스플레이 주식회사</t>
    <phoneticPr fontId="7" type="noConversion"/>
  </si>
  <si>
    <t>SK 네트웍스 ㈜</t>
    <phoneticPr fontId="7" type="noConversion"/>
  </si>
  <si>
    <t>두나무 주식회사</t>
    <phoneticPr fontId="7" type="noConversion"/>
  </si>
  <si>
    <t>롯데지주 주식회사</t>
    <phoneticPr fontId="7" type="noConversion"/>
  </si>
  <si>
    <t>넷마블 주식회사</t>
    <phoneticPr fontId="7" type="noConversion"/>
  </si>
  <si>
    <t>롯데웰푸드㈜</t>
    <phoneticPr fontId="7" type="noConversion"/>
  </si>
  <si>
    <t>팬오션 주식회사</t>
    <phoneticPr fontId="7" type="noConversion"/>
  </si>
  <si>
    <t>에스케이지오센트릭 주식회사</t>
    <phoneticPr fontId="7" type="noConversion"/>
  </si>
  <si>
    <t>하이트진로 ㈜</t>
    <phoneticPr fontId="7" type="noConversion"/>
  </si>
  <si>
    <t>GS칼텍스㈜</t>
    <phoneticPr fontId="7" type="noConversion"/>
  </si>
  <si>
    <t>크래프톤</t>
    <phoneticPr fontId="7" type="noConversion"/>
  </si>
  <si>
    <t>(주) 제일기획</t>
    <phoneticPr fontId="7" type="noConversion"/>
  </si>
  <si>
    <t>엘에스일렉트릭㈜</t>
    <phoneticPr fontId="7" type="noConversion"/>
  </si>
  <si>
    <t>케이지모빌리티㈜</t>
    <phoneticPr fontId="7" type="noConversion"/>
  </si>
  <si>
    <t>(주)엘앤에프</t>
    <phoneticPr fontId="7" type="noConversion"/>
  </si>
  <si>
    <t>에스케이스퀘어 주식회사</t>
    <phoneticPr fontId="7" type="noConversion"/>
  </si>
  <si>
    <t>(주)엔씨소프트</t>
    <phoneticPr fontId="7" type="noConversion"/>
  </si>
  <si>
    <t>송원산업㈜</t>
    <phoneticPr fontId="7" type="noConversion"/>
  </si>
  <si>
    <t>주식회사 하림지주</t>
    <phoneticPr fontId="7" type="noConversion"/>
  </si>
  <si>
    <t>(주)엘지헬로비전</t>
    <phoneticPr fontId="7" type="noConversion"/>
  </si>
  <si>
    <t>Retail, Consumer Products</t>
    <phoneticPr fontId="7" type="noConversion"/>
  </si>
  <si>
    <t>115.2.02
115.2.13
115.3.01</t>
    <phoneticPr fontId="7" type="noConversion"/>
  </si>
  <si>
    <t>O</t>
    <phoneticPr fontId="7" type="noConversion"/>
  </si>
  <si>
    <t>N/A</t>
    <phoneticPr fontId="7" type="noConversion"/>
  </si>
  <si>
    <t>100.2.02</t>
    <phoneticPr fontId="7" type="noConversion"/>
  </si>
  <si>
    <t>매출은 KCa 사용예정.
비용은 RMM 존재하지 않음</t>
    <phoneticPr fontId="7" type="noConversion"/>
  </si>
  <si>
    <t>Dry-run Test 결과 샘플수 감소 효과가 미미함</t>
    <phoneticPr fontId="7" type="noConversion"/>
  </si>
  <si>
    <t>최초 Scoping</t>
    <phoneticPr fontId="7" type="noConversion"/>
  </si>
  <si>
    <t>(-) 제외</t>
    <phoneticPr fontId="7" type="noConversion"/>
  </si>
  <si>
    <t>현재 Scoping</t>
    <phoneticPr fontId="7" type="noConversion"/>
  </si>
  <si>
    <t>항목</t>
    <phoneticPr fontId="7" type="noConversion"/>
  </si>
  <si>
    <t>계(제외요청/제외 빼고)</t>
    <phoneticPr fontId="7" type="noConversion"/>
  </si>
  <si>
    <t/>
  </si>
  <si>
    <t>남해화학㈜</t>
    <phoneticPr fontId="7" type="noConversion"/>
  </si>
  <si>
    <t>에어부산㈜</t>
    <phoneticPr fontId="7" type="noConversion"/>
  </si>
  <si>
    <t>에스케이케미칼</t>
    <phoneticPr fontId="7" type="noConversion"/>
  </si>
  <si>
    <t>롯데글로벌로지스주식회사</t>
    <phoneticPr fontId="7" type="noConversion"/>
  </si>
  <si>
    <t>Subledger
Revenue</t>
    <phoneticPr fontId="7" type="noConversion"/>
  </si>
  <si>
    <t>Subledger
Opex</t>
    <phoneticPr fontId="7" type="noConversion"/>
  </si>
  <si>
    <t>국도화학 주식회사</t>
    <phoneticPr fontId="7" type="noConversion"/>
  </si>
  <si>
    <t>팅크웨어㈜</t>
    <phoneticPr fontId="7" type="noConversion"/>
  </si>
  <si>
    <t>1. 현황 요약</t>
    <phoneticPr fontId="7" type="noConversion"/>
  </si>
  <si>
    <t>최초선정</t>
    <phoneticPr fontId="7" type="noConversion"/>
  </si>
  <si>
    <t>(+) 추가신청</t>
    <phoneticPr fontId="7" type="noConversion"/>
  </si>
  <si>
    <t>FY24 AITS 사용결과 AITS 효익 미비</t>
    <phoneticPr fontId="7" type="noConversion"/>
  </si>
  <si>
    <t>115.2.02</t>
    <phoneticPr fontId="7" type="noConversion"/>
  </si>
  <si>
    <t>V</t>
    <phoneticPr fontId="7" type="noConversion"/>
  </si>
  <si>
    <t>통신 및 방송장비 제조업</t>
    <phoneticPr fontId="7" type="noConversion"/>
  </si>
  <si>
    <t>115.2.02
115.2.12.b
115.2.13
115.3.01</t>
    <phoneticPr fontId="7" type="noConversion"/>
  </si>
  <si>
    <t>N/A</t>
    <phoneticPr fontId="7" type="noConversion"/>
  </si>
  <si>
    <t>복합비료 및 기타 화학비료 제조업</t>
    <phoneticPr fontId="7" type="noConversion"/>
  </si>
  <si>
    <t>100.2.02</t>
    <phoneticPr fontId="7" type="noConversion"/>
  </si>
  <si>
    <t>O</t>
    <phoneticPr fontId="7" type="noConversion"/>
  </si>
  <si>
    <t>N/A</t>
    <phoneticPr fontId="7" type="noConversion"/>
  </si>
  <si>
    <t>V</t>
    <phoneticPr fontId="7" type="noConversion"/>
  </si>
  <si>
    <t>적용 시 비효율적이라 판단</t>
    <phoneticPr fontId="7" type="noConversion"/>
  </si>
  <si>
    <t>엘오티베큠</t>
    <phoneticPr fontId="7" type="noConversion"/>
  </si>
  <si>
    <t>(주)엘오티베큠</t>
    <phoneticPr fontId="7" type="noConversion"/>
  </si>
  <si>
    <t>yeehyunchoi@kr.kpmg.com, yeontaekchoi@kr.kpmg.com, sungkyujung@kr.kpmg.com, jinhyeokwoo@kr.kpmg.com</t>
    <phoneticPr fontId="7" type="noConversion"/>
  </si>
  <si>
    <t>V</t>
    <phoneticPr fontId="7" type="noConversion"/>
  </si>
  <si>
    <t>모든 RMM이 Elevated</t>
    <phoneticPr fontId="7" type="noConversion"/>
  </si>
  <si>
    <t>최초선정</t>
    <phoneticPr fontId="7" type="noConversion"/>
  </si>
  <si>
    <t>총계정원장에 거래처가 맵핑되지 않아 AITS활용을 위해서는 추가 공수가 투입. 투입 공수대비 효익이 없을 것으로 판단</t>
    <phoneticPr fontId="7" type="noConversion"/>
  </si>
  <si>
    <t>매출은 SR과 Elevated. 매출 외 계정은 샘플 숫자가 적어 효익이 없다고 판단</t>
    <phoneticPr fontId="7" type="noConversion"/>
  </si>
  <si>
    <t>115.2.12b
115.2.13</t>
    <phoneticPr fontId="7" type="noConversion"/>
  </si>
  <si>
    <t>O</t>
    <phoneticPr fontId="7" type="noConversion"/>
  </si>
  <si>
    <t>N/A</t>
    <phoneticPr fontId="7" type="noConversion"/>
  </si>
  <si>
    <t>V</t>
    <phoneticPr fontId="7" type="noConversion"/>
  </si>
  <si>
    <t>정혜정</t>
  </si>
  <si>
    <t>정혜정(hyejungjung@kr.kpmg.com)</t>
    <phoneticPr fontId="7" type="noConversion"/>
  </si>
  <si>
    <t>이상은</t>
  </si>
  <si>
    <t>이상은(sangunlee@kr.kpmg.com)</t>
    <phoneticPr fontId="7" type="noConversion"/>
  </si>
  <si>
    <t>곽근영(gkwak@kr.kpmg.com)</t>
    <phoneticPr fontId="7" type="noConversion"/>
  </si>
  <si>
    <t>유민혁(minhyuckyoo@kr.kpmg.com)</t>
    <phoneticPr fontId="7" type="noConversion"/>
  </si>
  <si>
    <t>김혜원(hkim31@kr.kpmg.com)</t>
    <phoneticPr fontId="7" type="noConversion"/>
  </si>
  <si>
    <t>이재근(jaekeunlee@kr.kpmg.com)</t>
    <phoneticPr fontId="7" type="noConversion"/>
  </si>
  <si>
    <t>진영주(youngjoojin@kr.kpmg.com)</t>
    <phoneticPr fontId="7" type="noConversion"/>
  </si>
  <si>
    <t>이영민(yeongminlee@kr.kpmg.com)</t>
    <phoneticPr fontId="7" type="noConversion"/>
  </si>
  <si>
    <t>김종수(jongsukim@kr.kpmg.com)</t>
    <phoneticPr fontId="7" type="noConversion"/>
  </si>
  <si>
    <t>이태윤(taeyoonlee@kr.kpmg.com)</t>
    <phoneticPr fontId="7" type="noConversion"/>
  </si>
  <si>
    <t>김준호(jkim252@kr.kpmg.com)</t>
    <phoneticPr fontId="7" type="noConversion"/>
  </si>
  <si>
    <t>김동역(dongyeokkim@kr.kpmg.com)</t>
    <phoneticPr fontId="7" type="noConversion"/>
  </si>
  <si>
    <t>이승훈(slee336@kr.kpmg.com)</t>
    <phoneticPr fontId="7" type="noConversion"/>
  </si>
  <si>
    <t>김승기(seungkikim@kr.kpmg.com)</t>
    <phoneticPr fontId="7" type="noConversion"/>
  </si>
  <si>
    <t>홍인우(inwoohong@kr.kpmg.com)</t>
    <phoneticPr fontId="7" type="noConversion"/>
  </si>
  <si>
    <t>김정우(jkim502@kr.kpmg.com)</t>
    <phoneticPr fontId="7" type="noConversion"/>
  </si>
  <si>
    <t>배슬기(seulgibae@kr.kpmg.com)</t>
    <phoneticPr fontId="7" type="noConversion"/>
  </si>
  <si>
    <t>김희재(hkim238@kr.kpmg.com)</t>
    <phoneticPr fontId="7" type="noConversion"/>
  </si>
  <si>
    <t>최성환(seonghwanchoi@kr.kpmg.com)</t>
    <phoneticPr fontId="7" type="noConversion"/>
  </si>
  <si>
    <t>이승준(slee89@kr.kpmg.com)</t>
    <phoneticPr fontId="7" type="noConversion"/>
  </si>
  <si>
    <t>곽승준(seungjunkwak@kr.kpmg.com)</t>
    <phoneticPr fontId="7" type="noConversion"/>
  </si>
  <si>
    <t>이성범(seongbeomlee@kr.kpmg.com)</t>
    <phoneticPr fontId="7" type="noConversion"/>
  </si>
  <si>
    <t>서희석</t>
  </si>
  <si>
    <t>서희석(heeseokseo@kr.kpmg.com)</t>
    <phoneticPr fontId="7" type="noConversion"/>
  </si>
  <si>
    <t>전민구(mjeon1@kr.kpmg.com)</t>
    <phoneticPr fontId="7" type="noConversion"/>
  </si>
  <si>
    <t>조광수(kwangsoocho@kr.kpmg.com)</t>
    <phoneticPr fontId="7" type="noConversion"/>
  </si>
  <si>
    <t>김아정(ajungkim@kr.kpmg.com)</t>
    <phoneticPr fontId="7" type="noConversion"/>
  </si>
  <si>
    <t>현예슬(yhyeon@kr.kpmg.com)</t>
    <phoneticPr fontId="7" type="noConversion"/>
  </si>
  <si>
    <t>정형석(hyeongseokjeong@kr.kpmg.com)</t>
    <phoneticPr fontId="7" type="noConversion"/>
  </si>
  <si>
    <t>김지영</t>
  </si>
  <si>
    <t>김지영(jkim176@kr.kpmg.com)</t>
    <phoneticPr fontId="7" type="noConversion"/>
  </si>
  <si>
    <t>박범진(beomjinpark@kr.kpmg.com)</t>
    <phoneticPr fontId="7" type="noConversion"/>
  </si>
  <si>
    <t>최장희(jchoi38@kr.kpmg.com)</t>
    <phoneticPr fontId="7" type="noConversion"/>
  </si>
  <si>
    <t>이유영(yooyounglee@kr.kpmg.com)</t>
    <phoneticPr fontId="7" type="noConversion"/>
  </si>
  <si>
    <t>이창우(clee45@kr.kpmg.com)</t>
    <phoneticPr fontId="7" type="noConversion"/>
  </si>
  <si>
    <t>조강희(kwangheecho@kr.kpmg.com)</t>
    <phoneticPr fontId="7" type="noConversion"/>
  </si>
  <si>
    <t>정승헌(seungheonjeong@kr.kpmg.com)</t>
    <phoneticPr fontId="7" type="noConversion"/>
  </si>
  <si>
    <t>김민규(mkim63@kr.kpmg.com)</t>
    <phoneticPr fontId="7" type="noConversion"/>
  </si>
  <si>
    <t>성기찬(kichansung@kr.kpmg.com)</t>
    <phoneticPr fontId="7" type="noConversion"/>
  </si>
  <si>
    <t>심재민(jaeminsim@kr.kpmg.com)</t>
    <phoneticPr fontId="7" type="noConversion"/>
  </si>
  <si>
    <t>이진주(jinjulee@kr.kpmg.com)</t>
    <phoneticPr fontId="7" type="noConversion"/>
  </si>
  <si>
    <t>김영균</t>
  </si>
  <si>
    <t>김영균(yeongjyunkim@kr.kpmg.com)</t>
    <phoneticPr fontId="7" type="noConversion"/>
  </si>
  <si>
    <t>부성준(sboo@kr.kpmg.com)</t>
    <phoneticPr fontId="7" type="noConversion"/>
  </si>
  <si>
    <t>임이랑(yiranglim@kr.kpmg.com)</t>
    <phoneticPr fontId="7" type="noConversion"/>
  </si>
  <si>
    <t>박상언(sangeonpark@kr.kpmg.com)</t>
    <phoneticPr fontId="7" type="noConversion"/>
  </si>
  <si>
    <t>강기찬(kichankang@kr.kpmg.com)</t>
    <phoneticPr fontId="7" type="noConversion"/>
  </si>
  <si>
    <t>이요셉(jlee176@kr.kpmg.com)</t>
    <phoneticPr fontId="7" type="noConversion"/>
  </si>
  <si>
    <t>정진욱(jinukjeong@kr.kpmg.com)</t>
    <phoneticPr fontId="7" type="noConversion"/>
  </si>
  <si>
    <t>장지형(jihyeongjang@kr.kpmg.com)</t>
    <phoneticPr fontId="7" type="noConversion"/>
  </si>
  <si>
    <t>신양호(yanghoshin@kr.kpmg.com)</t>
    <phoneticPr fontId="7" type="noConversion"/>
  </si>
  <si>
    <t>박주원(juwonpark@kr.kpmg.com)</t>
    <phoneticPr fontId="7" type="noConversion"/>
  </si>
  <si>
    <t>백록담(rbaek@kr.kpmg.com)</t>
    <phoneticPr fontId="7" type="noConversion"/>
  </si>
  <si>
    <t>박도영(doyoungpark@kr.kpmg.com)</t>
    <phoneticPr fontId="7" type="noConversion"/>
  </si>
  <si>
    <t>이성범</t>
  </si>
  <si>
    <t>정대주</t>
  </si>
  <si>
    <t>고요섭</t>
  </si>
  <si>
    <t>이광수</t>
  </si>
  <si>
    <t>이형철</t>
  </si>
  <si>
    <t>이재근</t>
  </si>
  <si>
    <t>이요셉</t>
  </si>
  <si>
    <t>김찬양</t>
  </si>
  <si>
    <t>최성환</t>
  </si>
  <si>
    <t>부성준</t>
  </si>
  <si>
    <t>양호철</t>
  </si>
  <si>
    <t>강민구</t>
  </si>
  <si>
    <t>유혜경</t>
  </si>
  <si>
    <t>임이랑</t>
  </si>
  <si>
    <t>이승준</t>
  </si>
  <si>
    <t>현건재</t>
  </si>
  <si>
    <t>원창일</t>
  </si>
  <si>
    <t>진영주</t>
  </si>
  <si>
    <t>홍은정</t>
  </si>
  <si>
    <t>조강희</t>
  </si>
  <si>
    <t>정진욱</t>
  </si>
  <si>
    <t>전명재</t>
  </si>
  <si>
    <t>김성동</t>
  </si>
  <si>
    <t>장지형</t>
  </si>
  <si>
    <t>권내형</t>
  </si>
  <si>
    <t>김정현</t>
  </si>
  <si>
    <t>조민곤</t>
  </si>
  <si>
    <t>이영민</t>
  </si>
  <si>
    <t>정승헌</t>
  </si>
  <si>
    <t>나수정</t>
  </si>
  <si>
    <t>신정은</t>
  </si>
  <si>
    <t>김재현</t>
  </si>
  <si>
    <t>윤보현</t>
  </si>
  <si>
    <t>박광량</t>
  </si>
  <si>
    <t>이용범</t>
  </si>
  <si>
    <t>정대륙</t>
  </si>
  <si>
    <t>신호영</t>
  </si>
  <si>
    <t>정형석</t>
  </si>
  <si>
    <t>박주원</t>
  </si>
  <si>
    <t>김용욱</t>
  </si>
  <si>
    <t>박재현</t>
  </si>
  <si>
    <t>허우석</t>
  </si>
  <si>
    <t>현예슬</t>
  </si>
  <si>
    <t>백록담</t>
  </si>
  <si>
    <t>추연주</t>
  </si>
  <si>
    <t>전재현</t>
  </si>
  <si>
    <t>김민규</t>
  </si>
  <si>
    <t>강원재</t>
  </si>
  <si>
    <t>최혁순</t>
  </si>
  <si>
    <t>박도영</t>
  </si>
  <si>
    <t>김현우</t>
  </si>
  <si>
    <t>황지영</t>
  </si>
  <si>
    <t>이영재</t>
  </si>
  <si>
    <t>김도희</t>
  </si>
  <si>
    <t>전민구</t>
  </si>
  <si>
    <t>김혜원</t>
  </si>
  <si>
    <t>조광수</t>
  </si>
  <si>
    <t>심재민</t>
  </si>
  <si>
    <t>김동역</t>
  </si>
  <si>
    <t>이승훈</t>
  </si>
  <si>
    <t>연규진</t>
  </si>
  <si>
    <t>한석희</t>
  </si>
  <si>
    <t>김승기</t>
  </si>
  <si>
    <t>장가현</t>
  </si>
  <si>
    <t>강기찬</t>
  </si>
  <si>
    <t>이권재</t>
  </si>
  <si>
    <t>김태진</t>
  </si>
  <si>
    <t>김도흔</t>
  </si>
  <si>
    <t>이도경</t>
  </si>
  <si>
    <t>우진혁</t>
  </si>
  <si>
    <t>오규철</t>
  </si>
  <si>
    <t>박범진</t>
  </si>
  <si>
    <t>박상용</t>
  </si>
  <si>
    <t>곽승준</t>
  </si>
  <si>
    <t>윤정오</t>
  </si>
  <si>
    <t>이유영</t>
  </si>
  <si>
    <t>추지훈</t>
  </si>
  <si>
    <t>배철현</t>
  </si>
  <si>
    <t>최장희</t>
  </si>
  <si>
    <t>김기웅</t>
  </si>
  <si>
    <t>홍인우</t>
  </si>
  <si>
    <t>홍준형</t>
  </si>
  <si>
    <t>김정우</t>
  </si>
  <si>
    <t>배슬기</t>
  </si>
  <si>
    <t>윤다산</t>
  </si>
  <si>
    <t>김아정</t>
  </si>
  <si>
    <t>이진주</t>
  </si>
  <si>
    <t>민중기</t>
  </si>
  <si>
    <t>유민혁</t>
  </si>
  <si>
    <t>임현재</t>
  </si>
  <si>
    <t>박상언</t>
  </si>
  <si>
    <t>이태윤</t>
  </si>
  <si>
    <t>곽근영</t>
  </si>
  <si>
    <t>김희재</t>
  </si>
  <si>
    <t>윤민철</t>
  </si>
  <si>
    <t>김지훈</t>
  </si>
  <si>
    <t>김준호</t>
  </si>
  <si>
    <t>구영모</t>
  </si>
  <si>
    <t>jjung9@kr.kpmg.com</t>
  </si>
  <si>
    <t>seongbeomlee@kr.kpmg.com</t>
  </si>
  <si>
    <t>djung4@kr.kpmg.com</t>
  </si>
  <si>
    <t>yosupgo@kr.kpmg.com</t>
  </si>
  <si>
    <t>jongseokyoun@kr.kpmg.com</t>
  </si>
  <si>
    <t>kwangsulee@kr.kpmg.com</t>
  </si>
  <si>
    <t>hyeongcheollee@kr.kpmg.com</t>
  </si>
  <si>
    <t>jaekeunlee@kr.kpmg.com</t>
  </si>
  <si>
    <t>jlee176@kr.kpmg.com</t>
  </si>
  <si>
    <t>konkukkang@kr.kpmg.com</t>
  </si>
  <si>
    <t>ckim12@kr.kpmg.com</t>
  </si>
  <si>
    <t>seonghwanchoi@kr.kpmg.com</t>
  </si>
  <si>
    <t>ykim47@kr.kpmg.com</t>
  </si>
  <si>
    <t>ykim85@kr.kpmg.com</t>
  </si>
  <si>
    <t>clee45@kr.kpmg.com</t>
  </si>
  <si>
    <t>sboo@kr.kpmg.com</t>
  </si>
  <si>
    <t>hocheolyang@kr.kpmg.com</t>
  </si>
  <si>
    <t>mkang8@kr.kpmg.com</t>
  </si>
  <si>
    <t>gyeongokim@kr.kpmg.com</t>
  </si>
  <si>
    <t>taeseoblee@kr.kpmg.com</t>
  </si>
  <si>
    <t>hyegyeongryu@kr.kpmg.com</t>
  </si>
  <si>
    <t>yiranglim@kr.kpmg.com</t>
  </si>
  <si>
    <t>slee89@kr.kpmg.com</t>
  </si>
  <si>
    <t>ghyun@kr.kpmg.com</t>
  </si>
  <si>
    <t>changilwon@kr.kpmg.com</t>
  </si>
  <si>
    <t>youngjoojin@kr.kpmg.com</t>
  </si>
  <si>
    <t>eunjeonghong@kr.kpmg.com</t>
  </si>
  <si>
    <t>yanghoshin@kr.kpmg.com</t>
  </si>
  <si>
    <t>kwangheecho@kr.kpmg.com</t>
  </si>
  <si>
    <t>jinukjeong@kr.kpmg.com</t>
  </si>
  <si>
    <t>hkim51@kr.kpmg.com</t>
  </si>
  <si>
    <t>myoungjaejeon@kr.kpmg.com</t>
  </si>
  <si>
    <t>skim127@kr.kpmg.com</t>
  </si>
  <si>
    <t>jihyeongjang@kr.kpmg.com</t>
  </si>
  <si>
    <t>yeonjoochoi@kr.kpmg.com</t>
  </si>
  <si>
    <t>naehyeongkwon@kr.kpmg.com</t>
  </si>
  <si>
    <t>jkim216@kr.kpmg.com</t>
  </si>
  <si>
    <t>hyejungjung@kr.kpmg.com</t>
  </si>
  <si>
    <t>byungyuljung@kr.kpmg.com</t>
  </si>
  <si>
    <t>mcho5@kr.kpmg.com</t>
  </si>
  <si>
    <t>yeongminlee@kr.kpmg.com</t>
  </si>
  <si>
    <t>seungheonjeong@kr.kpmg.com</t>
  </si>
  <si>
    <t>sujungna@kr.kpmg.com</t>
  </si>
  <si>
    <t>jeongeunshin@kr.kpmg.com</t>
  </si>
  <si>
    <t>jkim508@kr.kpmg.com</t>
  </si>
  <si>
    <t>jongsukim@kr.kpmg.com</t>
  </si>
  <si>
    <t>bohyunyoon@kr.kpmg.com</t>
  </si>
  <si>
    <t>sangunlee@kr.kpmg.com</t>
  </si>
  <si>
    <t>gbak@kr.kpmg.com</t>
  </si>
  <si>
    <t>yongbeomlee@kr.kpmg.com</t>
  </si>
  <si>
    <t>daeryukjeong@kr.kpmg.com</t>
  </si>
  <si>
    <t>hoyoungshin@kr.kpmg.com</t>
  </si>
  <si>
    <t>hyeongseokjeong@kr.kpmg.com</t>
  </si>
  <si>
    <t>juwonpark@kr.kpmg.com</t>
  </si>
  <si>
    <t>yongwookkim@kr.kpmg.com</t>
  </si>
  <si>
    <t>jbak@kr.kpmg.com</t>
  </si>
  <si>
    <t>wooseokheo@kr.kpmg.com</t>
  </si>
  <si>
    <t>yhyeon@kr.kpmg.com</t>
  </si>
  <si>
    <t>rbaek@kr.kpmg.com</t>
  </si>
  <si>
    <t>yeonjuchu@kr.kpmg.com</t>
  </si>
  <si>
    <t>jaehyunjeon@kr.kpmg.com</t>
  </si>
  <si>
    <t>mkim63@kr.kpmg.com</t>
  </si>
  <si>
    <t>wonjaekang@kr.kpmg.com</t>
  </si>
  <si>
    <t>hyucksoonchoi@kr.kpmg.com</t>
  </si>
  <si>
    <t>doyoungpark@kr.kpmg.com</t>
  </si>
  <si>
    <t>hkim154@kr.kpmg.com</t>
  </si>
  <si>
    <t>kichansung@kr.kpmg.com</t>
  </si>
  <si>
    <t>jhwang4@kr.kpmg.com</t>
  </si>
  <si>
    <t>heeseokseo@kr.kpmg.com</t>
  </si>
  <si>
    <t>ylee67@kr.kpmg.com</t>
  </si>
  <si>
    <t>jlee273@kr.kpmg.com</t>
  </si>
  <si>
    <t>dkim240@kr.kpmg.com</t>
  </si>
  <si>
    <t>mjeon1@kr.kpmg.com</t>
  </si>
  <si>
    <t>jkim176@kr.kpmg.com</t>
  </si>
  <si>
    <t>jlee177@kr.kpmg.com</t>
  </si>
  <si>
    <t>kwangsoocho@kr.kpmg.com</t>
  </si>
  <si>
    <t>hyim@kr.kpmg.com</t>
  </si>
  <si>
    <t>jaeminsim@kr.kpmg.com</t>
  </si>
  <si>
    <t>dongyeokkim@kr.kpmg.com</t>
  </si>
  <si>
    <t>slee336@kr.kpmg.com</t>
  </si>
  <si>
    <t>gyeon@kr.kpmg.com</t>
  </si>
  <si>
    <t>sukheehan@kr.kpmg.com</t>
  </si>
  <si>
    <t>seungkikim@kr.kpmg.com</t>
  </si>
  <si>
    <t>gahyunjang@kr.kpmg.com</t>
  </si>
  <si>
    <t>kichankang@kr.kpmg.com</t>
  </si>
  <si>
    <t>kwonjaelee@kr.kpmg.com</t>
  </si>
  <si>
    <t>tkim50@kr.kpmg.com</t>
  </si>
  <si>
    <t>doheunkim@kr.kpmg.com</t>
  </si>
  <si>
    <t>dokyunglee@kr.kpmg.com</t>
  </si>
  <si>
    <t>jinhyeokwoo@kr.kpmg.com</t>
  </si>
  <si>
    <t>gyucheoloh@kr.kpmg.com</t>
  </si>
  <si>
    <t>beomjinpark@kr.kpmg.com</t>
  </si>
  <si>
    <t>spark72@kr.kpmg.com</t>
  </si>
  <si>
    <t>seungjunkwak@kr.kpmg.com</t>
  </si>
  <si>
    <t>jungohyoon@kr.kpmg.com</t>
  </si>
  <si>
    <t>yooyounglee@kr.kpmg.com</t>
  </si>
  <si>
    <t>jihoonchoo@kr.kpmg.com</t>
  </si>
  <si>
    <t>cbae1@kr.kpmg.com</t>
  </si>
  <si>
    <t>jchoi38@kr.kpmg.com</t>
  </si>
  <si>
    <t>kiwoongkim@kr.kpmg.com</t>
  </si>
  <si>
    <t>inwoohong@kr.kpmg.com</t>
  </si>
  <si>
    <t>junhyunghong@kr.kpmg.com</t>
  </si>
  <si>
    <t>jkim502@kr.kpmg.com</t>
  </si>
  <si>
    <t>seulgibae@kr.kpmg.com</t>
  </si>
  <si>
    <t>dasanyoun@kr.kpmg.com</t>
  </si>
  <si>
    <t>ajungkim@kr.kpmg.com</t>
  </si>
  <si>
    <t>jinjulee@kr.kpmg.com</t>
  </si>
  <si>
    <t>joonggimin@kr.kpmg.com</t>
  </si>
  <si>
    <t>minhyuckyoo@kr.kpmg.com</t>
  </si>
  <si>
    <t>hyunjaeim@kr.kpmg.com</t>
  </si>
  <si>
    <t>sangeonpark@kr.kpmg.com</t>
  </si>
  <si>
    <t>taeyoonlee@kr.kpmg.com</t>
  </si>
  <si>
    <t>gkwak@kr.kpmg.com</t>
  </si>
  <si>
    <t>hkim238@kr.kpmg.com</t>
  </si>
  <si>
    <t>mincheolyun@kr.kpmg.com</t>
  </si>
  <si>
    <t>jkim181@kr.kpmg.com</t>
  </si>
  <si>
    <t>jkim252@kr.kpmg.com</t>
  </si>
  <si>
    <t>youngmokoo@kr.kpmg.com</t>
  </si>
  <si>
    <t>V</t>
    <phoneticPr fontId="7" type="noConversion"/>
  </si>
  <si>
    <t>Accommodation and Food Services</t>
    <phoneticPr fontId="7" type="noConversion"/>
  </si>
  <si>
    <t>mkim175@kr.kpmg.com</t>
    <phoneticPr fontId="7" type="noConversion"/>
  </si>
  <si>
    <t>hkim51@kr.kpmg.com</t>
    <phoneticPr fontId="7" type="noConversion"/>
  </si>
  <si>
    <t>yeongkyunkim@kr.kpmg.com</t>
    <phoneticPr fontId="7" type="noConversion"/>
  </si>
  <si>
    <t>hkim131@kr.kpmg.com</t>
    <phoneticPr fontId="7" type="noConversion"/>
  </si>
  <si>
    <t>N/A</t>
    <phoneticPr fontId="7" type="noConversion"/>
  </si>
  <si>
    <t>Industrial Products</t>
    <phoneticPr fontId="7" type="noConversion"/>
  </si>
  <si>
    <t>매출 관련 RMM이 Based가 아님
매출원가 또는 영업비용의 경우 회사의 영업이 원활하게 이루어지고 있지 않아 AITS 적용 시 실익이 낮을 것으로 예상
또한 전기 및 당반기 감사 의견 변형이 나타난 곳으로 회사가 제시하는 재무 data에 대한 신뢰성이 높지 않음</t>
    <phoneticPr fontId="7" type="noConversion"/>
  </si>
  <si>
    <t>V</t>
    <phoneticPr fontId="7" type="noConversion"/>
  </si>
  <si>
    <t>제외요청</t>
    <phoneticPr fontId="7" type="noConversion"/>
  </si>
  <si>
    <t>수익 및 비용의 RMM이 모두 Base 초과이거나 RM이어서 AITS 적용 Usecase에 부합하지 아니함.</t>
    <phoneticPr fontId="7" type="noConversion"/>
  </si>
  <si>
    <t>115.2.13 RMM의 경우 CAR가 elevated임</t>
    <phoneticPr fontId="7" type="noConversion"/>
  </si>
  <si>
    <t>지주회사로 매출의 경우 SR이며, 비용의 경우 양적/질적으로 중요한 샘플은 specific으로 확인하고 있고, 잔여모집단에 대해서만 mus로 샘플을 추출하여 AITS 사용 실익이 적을 것으로 보임</t>
    <phoneticPr fontId="7" type="noConversion"/>
  </si>
  <si>
    <t>제외요청</t>
    <phoneticPr fontId="7" type="noConversion"/>
  </si>
  <si>
    <t>1. 수익 : 전수로 TOD 진행할 예정으로 AITS 미사용
2. 비용 : Usecase에 부합하지 아니함.</t>
    <phoneticPr fontId="7" type="noConversion"/>
  </si>
  <si>
    <t>1. 수익 : 이미 분반기 검토 시 AITS를 사용하지 않고 TOD 수행. 
2. 비용 : Usecase에 부합하지 아니함.</t>
    <phoneticPr fontId="7" type="noConversion"/>
  </si>
  <si>
    <t>회생인가신청 중으로 감사업무를 수행할 수 없는 상황임</t>
    <phoneticPr fontId="7" type="noConversion"/>
  </si>
  <si>
    <t>1. 수익 - CAR가 Significant로 AITS 조건 부합하지 않음.
2. 매출원가 - 재고자산 원가로 AITS 조건 부합하지 않음.
3. 판관비 - 실익이 적음(전기 기준 12개 sample)</t>
    <phoneticPr fontId="7" type="noConversion"/>
  </si>
  <si>
    <t>V</t>
    <phoneticPr fontId="7" type="noConversion"/>
  </si>
  <si>
    <t>1. 수익 : 샘플단위가 월별 매출이나, GL단위로 샘플링 수행 시 고객단위로 매출이 샘플링 진행 시 증빙 확인 불가능
2. 매출원가 : 재고자산에 포함된 원가로 적용 불가
3. 판관비 : 샘플 수가 많지 아니하여 실익이 낮음.</t>
    <phoneticPr fontId="7" type="noConversion"/>
  </si>
  <si>
    <t>1. 수익 : GL이 아닌 유통채널별 매출전표로 위험평가 및 실증절차를 수행하여 AITS 적용이 어려움.
2. 매출원가 : 재고자산으로 포함되는 원가로 적용 불가
3. 비용 : 실익이 낮아 미적용</t>
    <phoneticPr fontId="7" type="noConversion"/>
  </si>
  <si>
    <t>제외요청</t>
    <phoneticPr fontId="7" type="noConversion"/>
  </si>
  <si>
    <t>비용부담 능력이 없어 AITS 사용 제외</t>
    <phoneticPr fontId="7" type="noConversion"/>
  </si>
  <si>
    <t>ERP</t>
  </si>
  <si>
    <t>SAP S4 ECC</t>
  </si>
  <si>
    <t>SAP
S/4 HANA</t>
  </si>
  <si>
    <t>더존iCube
(Amaranth10)</t>
  </si>
  <si>
    <t>115.2.02
115.2.13
115.2.12b</t>
    <phoneticPr fontId="7" type="noConversion"/>
  </si>
  <si>
    <t>에스케이하이닉스</t>
    <phoneticPr fontId="7" type="noConversion"/>
  </si>
  <si>
    <t>KR_KPMG Dashboards - IFRS v3.1 - Base Industry: UpdateMay2025</t>
  </si>
  <si>
    <t>Manufacturing</t>
  </si>
  <si>
    <t>V</t>
    <phoneticPr fontId="7" type="noConversion"/>
  </si>
  <si>
    <t>제외요청</t>
    <phoneticPr fontId="7" type="noConversion"/>
  </si>
  <si>
    <t>자산 1천억원대의 소규모 상장사이며, 현재 신약개발에 중점을 두고 있는 바 매출 거래 수나 규모가 AITS를 적용할 만큼은 아닌 것으로 판단. 아울러 원가 및 영업비용의 경우에도 매출과 유사하게 AITS를 적용할만한 수준은 아닌 것으로 판단</t>
    <phoneticPr fontId="7" type="noConversion"/>
  </si>
  <si>
    <t>Energy and Natural Resources</t>
    <phoneticPr fontId="7" type="noConversion"/>
  </si>
  <si>
    <t>SAP</t>
    <phoneticPr fontId="7" type="noConversion"/>
  </si>
  <si>
    <t>O</t>
    <phoneticPr fontId="7" type="noConversion"/>
  </si>
  <si>
    <t>수익관련 RMM CAR 평가결과 BASE가 아닌 그 이상의 리스크로 평가. 비용은 샘플이 10개로 실익 없음</t>
    <phoneticPr fontId="7" type="noConversion"/>
  </si>
  <si>
    <t>수익과 비용모두 진행기준을 적용하여 AITS활용 어려움</t>
    <phoneticPr fontId="7" type="noConversion"/>
  </si>
  <si>
    <t>KCa 대상</t>
    <phoneticPr fontId="7" type="noConversion"/>
  </si>
  <si>
    <t>115.2.13</t>
    <phoneticPr fontId="7" type="noConversion"/>
  </si>
  <si>
    <t>Arts, Entertainment, and Recreation</t>
    <phoneticPr fontId="7" type="noConversion"/>
  </si>
  <si>
    <t>CAAT조서 작성</t>
    <phoneticPr fontId="7" type="noConversion"/>
  </si>
  <si>
    <t>Engagement Name</t>
  </si>
  <si>
    <t>Analysis Name</t>
  </si>
  <si>
    <t>Group</t>
  </si>
  <si>
    <t>₩ value total</t>
  </si>
  <si>
    <t>Net Activity</t>
  </si>
  <si>
    <t>Total entries</t>
  </si>
  <si>
    <t>% of ₩ value in high risk</t>
  </si>
  <si>
    <t>% of ₩ value in medium risk</t>
  </si>
  <si>
    <t>% of ₩ value in low risk</t>
  </si>
  <si>
    <t>High risk entries</t>
  </si>
  <si>
    <t>₩ value in high</t>
  </si>
  <si>
    <t>Medium risk entries</t>
  </si>
  <si>
    <t>₩ value in medium</t>
  </si>
  <si>
    <t>Low risk entries</t>
  </si>
  <si>
    <t>₩ value in low</t>
  </si>
  <si>
    <t>케이씨</t>
  </si>
  <si>
    <t>케이씨_FY23_0112</t>
  </si>
  <si>
    <t xml:space="preserve">        RMM 115.2.02</t>
  </si>
  <si>
    <t>삼성전자(주)</t>
  </si>
  <si>
    <t>GL Analysis 4Q</t>
  </si>
  <si>
    <t xml:space="preserve">        RMM 115.3.01</t>
  </si>
  <si>
    <t>SEC_C100_3Q_DryRun</t>
  </si>
  <si>
    <t>(주)풍산시스템</t>
  </si>
  <si>
    <t>GL Analysis 2023</t>
  </si>
  <si>
    <t>GL Analysis</t>
  </si>
  <si>
    <t>에스케이하이닉스 주식회사</t>
  </si>
  <si>
    <t>SKHynix_GLAnalysis_1012</t>
  </si>
  <si>
    <t>SKHynix_GLAnalysis_0709</t>
  </si>
  <si>
    <t xml:space="preserve">        RMM 115.2.13</t>
  </si>
  <si>
    <t>SKHynix_GLAnalysis_0406</t>
  </si>
  <si>
    <t>SKHynix_GLAnalysis_0103</t>
  </si>
  <si>
    <t>티케이지휴켐스_AITS_FY23_0712_v3</t>
  </si>
  <si>
    <t>General ledger analysis_Dryrun</t>
  </si>
  <si>
    <t>SK이노베이션_FY23_0112_지정감사</t>
  </si>
  <si>
    <t>동원F&amp;B</t>
  </si>
  <si>
    <t>FY23_DongwonF&amp;B_3Q</t>
  </si>
  <si>
    <t>FY23_DongwonF&amp;B_4Q</t>
  </si>
  <si>
    <t>FY23_DongwonF&amp;B_2Q</t>
  </si>
  <si>
    <t>FY23_DongwonHomefood_3Q</t>
  </si>
  <si>
    <t>FY23_DongwonHomefood_4Q</t>
  </si>
  <si>
    <t>General ledger analysis 20232Q Dryrun</t>
  </si>
  <si>
    <t>삼성디스플레이_AITS_FY23_0112</t>
  </si>
  <si>
    <t>FY2023 하이트진로 주식회사 외부감사</t>
  </si>
  <si>
    <t>FY2023 하이트진로 주식회사 외부감사_0112</t>
  </si>
  <si>
    <t>GL Analysis  _v2</t>
  </si>
  <si>
    <t>씨제이프레시웨이</t>
  </si>
  <si>
    <t>CJFW_GLAnalysis_1012</t>
  </si>
  <si>
    <t>CJFW_GLAnalysis_0709</t>
  </si>
  <si>
    <t>CJFW_GLAnalysis_0406</t>
  </si>
  <si>
    <t>CJFW_GLAnalysis_0103</t>
  </si>
  <si>
    <t>주식회사 비와이엔블랙야크</t>
  </si>
  <si>
    <t>SK쉴더스_FY23_AITS_0112</t>
  </si>
  <si>
    <t>GL Analysis 3Q&amp;4Q</t>
  </si>
  <si>
    <t>General ledger analysis DryRun_자사몰수정</t>
  </si>
  <si>
    <t>한국철강주식회사</t>
  </si>
  <si>
    <t>GL Analysis 0214</t>
  </si>
  <si>
    <t>GL Analysis_2023</t>
  </si>
  <si>
    <t>KPX홀딩스(주)</t>
  </si>
  <si>
    <t>KPX홀딩스(주)_2023년 외부감사_0712</t>
  </si>
  <si>
    <t>General Ledger Analysis</t>
  </si>
  <si>
    <t>General ledger analysis_07~12 (v2)</t>
  </si>
  <si>
    <t>General ledger analysis dry-run_JAN~JUN</t>
  </si>
  <si>
    <t>환영철강공업</t>
  </si>
  <si>
    <t>환영철강공업_FY23_0712</t>
  </si>
  <si>
    <t>General ledger analysis Dry run 231018</t>
  </si>
  <si>
    <t>No</t>
    <phoneticPr fontId="20" type="noConversion"/>
  </si>
  <si>
    <t>Timing</t>
    <phoneticPr fontId="20" type="noConversion"/>
  </si>
  <si>
    <t>Org Code</t>
    <phoneticPr fontId="20" type="noConversion"/>
  </si>
  <si>
    <t>Organizatin Name</t>
    <phoneticPr fontId="20" type="noConversion"/>
  </si>
  <si>
    <t>대상기간</t>
    <phoneticPr fontId="20" type="noConversion"/>
  </si>
  <si>
    <t>Usecase</t>
    <phoneticPr fontId="20" type="noConversion"/>
  </si>
  <si>
    <t>In-scope</t>
    <phoneticPr fontId="20" type="noConversion"/>
  </si>
  <si>
    <t>Gross activity</t>
    <phoneticPr fontId="20" type="noConversion"/>
  </si>
  <si>
    <t>H %</t>
    <phoneticPr fontId="20" type="noConversion"/>
  </si>
  <si>
    <t>M %</t>
    <phoneticPr fontId="20" type="noConversion"/>
  </si>
  <si>
    <t>L %</t>
    <phoneticPr fontId="20" type="noConversion"/>
  </si>
  <si>
    <t>비고</t>
    <phoneticPr fontId="20" type="noConversion"/>
  </si>
  <si>
    <t>1Q</t>
    <phoneticPr fontId="20" type="noConversion"/>
  </si>
  <si>
    <t>에스케이하이닉스</t>
    <phoneticPr fontId="20" type="noConversion"/>
  </si>
  <si>
    <t>SK하이닉스 FY2025 외부감사</t>
    <phoneticPr fontId="20" type="noConversion"/>
  </si>
  <si>
    <t>SK하이닉스 FY2025.1Q</t>
    <phoneticPr fontId="20" type="noConversion"/>
  </si>
  <si>
    <t>2025-01-01 ~ 2025-03-31</t>
    <phoneticPr fontId="20" type="noConversion"/>
  </si>
  <si>
    <t>Revenue</t>
    <phoneticPr fontId="20" type="noConversion"/>
  </si>
  <si>
    <t>O</t>
    <phoneticPr fontId="20" type="noConversion"/>
  </si>
  <si>
    <t>High Risk Journal Entry</t>
    <phoneticPr fontId="20" type="noConversion"/>
  </si>
  <si>
    <t>X</t>
    <phoneticPr fontId="20" type="noConversion"/>
  </si>
  <si>
    <t>[DRY-RUN]KEPCO_FY2025_Q1</t>
    <phoneticPr fontId="20" type="noConversion"/>
  </si>
  <si>
    <t>Operating Expense</t>
    <phoneticPr fontId="20" type="noConversion"/>
  </si>
  <si>
    <t>[한국수력원자력] FY2025 회계감사_Q1</t>
    <phoneticPr fontId="20" type="noConversion"/>
  </si>
  <si>
    <t>1Q</t>
    <phoneticPr fontId="20" type="noConversion"/>
  </si>
  <si>
    <t>SK브로드밴드 2025년 외부감사 1Q</t>
    <phoneticPr fontId="20" type="noConversion"/>
  </si>
  <si>
    <t>2Q</t>
    <phoneticPr fontId="20" type="noConversion"/>
  </si>
  <si>
    <t>2Q_SK이노베이션 2025년 외부감사</t>
    <phoneticPr fontId="20" type="noConversion"/>
  </si>
  <si>
    <t>2025-01-01 ~ 2025-06-30</t>
    <phoneticPr fontId="20" type="noConversion"/>
  </si>
  <si>
    <t>2025년 SK이노베이션 E&amp;S</t>
  </si>
  <si>
    <t>2Q_2025년 SK이노베이션 E&amp;S</t>
    <phoneticPr fontId="20" type="noConversion"/>
  </si>
  <si>
    <t>Q1_2025 SK에너지 외부감사</t>
    <phoneticPr fontId="20" type="noConversion"/>
  </si>
  <si>
    <t>삼성전자 ㈜</t>
  </si>
  <si>
    <t>FY25 삼성전자 외부감사</t>
  </si>
  <si>
    <t>2Q_FY25 삼성전자 외부감사</t>
    <phoneticPr fontId="20" type="noConversion"/>
  </si>
  <si>
    <t>2Q</t>
    <phoneticPr fontId="20" type="noConversion"/>
  </si>
  <si>
    <t>주식회사 E1</t>
  </si>
  <si>
    <t>E1 2025 회계감사(주기적지정)</t>
  </si>
  <si>
    <t>2Q_E1 2025 회계감사(주기적지정)</t>
    <phoneticPr fontId="20" type="noConversion"/>
  </si>
  <si>
    <t>FY2025 씨제이프레시웨이 외부감사</t>
  </si>
  <si>
    <t>삼아알미늄</t>
    <phoneticPr fontId="20" type="noConversion"/>
  </si>
  <si>
    <t>FY2025 삼아알미늄 외부감사</t>
    <phoneticPr fontId="20" type="noConversion"/>
  </si>
  <si>
    <t>FY2025 삼아알미늄 외부감사_2Q</t>
    <phoneticPr fontId="20" type="noConversion"/>
  </si>
  <si>
    <t>최종</t>
    <phoneticPr fontId="20" type="noConversion"/>
  </si>
  <si>
    <t>Interim</t>
  </si>
  <si>
    <t>삼성전자 ㈜</t>
    <phoneticPr fontId="20" type="noConversion"/>
  </si>
  <si>
    <t>FY2024 3Q 삼성전자DX v2</t>
    <phoneticPr fontId="20" type="noConversion"/>
  </si>
  <si>
    <t>FY2024 1Q 삼성전자DX v2</t>
    <phoneticPr fontId="20" type="noConversion"/>
  </si>
  <si>
    <t>2024-01-01 ~ 2024-03-31</t>
    <phoneticPr fontId="20" type="noConversion"/>
  </si>
  <si>
    <t>X</t>
  </si>
  <si>
    <t>FY2024 3Q 삼성전자DX v2</t>
  </si>
  <si>
    <t>FY2024 2Q 삼성전자DX v2</t>
    <phoneticPr fontId="20" type="noConversion"/>
  </si>
  <si>
    <t>2024-04-01 ~ 2024-06-30</t>
    <phoneticPr fontId="20" type="noConversion"/>
  </si>
  <si>
    <t>Medium 51% 중 48%가 재무제표에 영향을 미치지 않는 매출/매출 상계전표 4건. 해당 전표 유형 소명 시 특이사항 없음</t>
    <phoneticPr fontId="20" type="noConversion"/>
  </si>
  <si>
    <t>2024-07-01 ~ 2024-09-30</t>
    <phoneticPr fontId="20" type="noConversion"/>
  </si>
  <si>
    <t>FY2024 3Q 삼성전자DS v2</t>
  </si>
  <si>
    <t>FY2024 1Q 삼성전자DS v2</t>
    <phoneticPr fontId="20" type="noConversion"/>
  </si>
  <si>
    <t>FY2024 2Q 삼성전자DS v2</t>
    <phoneticPr fontId="20" type="noConversion"/>
  </si>
  <si>
    <t>FY2024 3Q 삼성전자DS v2</t>
    <phoneticPr fontId="20" type="noConversion"/>
  </si>
  <si>
    <t>Final</t>
    <phoneticPr fontId="20" type="noConversion"/>
  </si>
  <si>
    <t>FY2024 4Q 삼성전자</t>
    <phoneticPr fontId="20" type="noConversion"/>
  </si>
  <si>
    <t>2024-10-01 ~ 2024-12-31</t>
    <phoneticPr fontId="20" type="noConversion"/>
  </si>
  <si>
    <t>FY2024 3Q SK하이닉스</t>
    <phoneticPr fontId="20" type="noConversion"/>
  </si>
  <si>
    <t>FY2024 1Q SK하이닉스</t>
    <phoneticPr fontId="20" type="noConversion"/>
  </si>
  <si>
    <t>FY2024 2Q SK하이닉스</t>
    <phoneticPr fontId="20" type="noConversion"/>
  </si>
  <si>
    <t>FY2024 4Q SK하이닉스</t>
    <phoneticPr fontId="20" type="noConversion"/>
  </si>
  <si>
    <t>두산에너빌리티</t>
    <phoneticPr fontId="20" type="noConversion"/>
  </si>
  <si>
    <t>FY2024 2Q 두산에너빌리티</t>
    <phoneticPr fontId="20" type="noConversion"/>
  </si>
  <si>
    <t>FY2024 2Q 두산에너빌리티 v8</t>
    <phoneticPr fontId="20" type="noConversion"/>
  </si>
  <si>
    <t>2024-01-01 ~ 2024-06-30</t>
    <phoneticPr fontId="20" type="noConversion"/>
  </si>
  <si>
    <t>기아 주식회사</t>
    <phoneticPr fontId="20" type="noConversion"/>
  </si>
  <si>
    <t>FY2024 2Q 기아주식회사 v2</t>
    <phoneticPr fontId="20" type="noConversion"/>
  </si>
  <si>
    <t>FY2024 2Q 기아주식회사 v5</t>
    <phoneticPr fontId="20" type="noConversion"/>
  </si>
  <si>
    <t>FY2024 기아주식회사</t>
    <phoneticPr fontId="20" type="noConversion"/>
  </si>
  <si>
    <t>2024-01-01 ~ 2024-12-31</t>
    <phoneticPr fontId="20" type="noConversion"/>
  </si>
  <si>
    <t>SK네트웍스 ㈜</t>
    <phoneticPr fontId="20" type="noConversion"/>
  </si>
  <si>
    <t>FY2024 2Q SK네트웍스</t>
    <phoneticPr fontId="20" type="noConversion"/>
  </si>
  <si>
    <t>FY2024 2Q SK네트웍스 v6</t>
    <phoneticPr fontId="20" type="noConversion"/>
  </si>
  <si>
    <t xml:space="preserve">월말에 매출정산으로 100개 라인을 초과하는 전표가 존재. </t>
    <phoneticPr fontId="20" type="noConversion"/>
  </si>
  <si>
    <t>FY2024 SK네트웍스</t>
    <phoneticPr fontId="20" type="noConversion"/>
  </si>
  <si>
    <t>엘지이노텍 주식회사</t>
    <phoneticPr fontId="20" type="noConversion"/>
  </si>
  <si>
    <t>FY2024 2Q LG이노텍 v2</t>
    <phoneticPr fontId="20" type="noConversion"/>
  </si>
  <si>
    <t>FY2024 2Q LG이노텍 v2 KR</t>
    <phoneticPr fontId="20" type="noConversion"/>
  </si>
  <si>
    <t>Cost of Sales</t>
    <phoneticPr fontId="20" type="noConversion"/>
  </si>
  <si>
    <t>FY2024 2Q LG이노텍 v2 JP</t>
    <phoneticPr fontId="20" type="noConversion"/>
  </si>
  <si>
    <t xml:space="preserve">AITS 이용가능. </t>
    <phoneticPr fontId="20" type="noConversion"/>
  </si>
  <si>
    <t>전표숫자 자체가 낮아서 이용불가</t>
    <phoneticPr fontId="20" type="noConversion"/>
  </si>
  <si>
    <t>"매출채권 / 매출"로 정상전표이나 매출 전표 숫자가 적어서, Rare Flow로 대부분 Trigger</t>
    <phoneticPr fontId="20" type="noConversion"/>
  </si>
  <si>
    <t>FY2024 2Q LG이노텍 v2 EU</t>
    <phoneticPr fontId="20" type="noConversion"/>
  </si>
  <si>
    <t>에스케이가스㈜</t>
    <phoneticPr fontId="20" type="noConversion"/>
  </si>
  <si>
    <t>FY2024 2Q SK가스</t>
    <phoneticPr fontId="20" type="noConversion"/>
  </si>
  <si>
    <t>하이트진로 ㈜</t>
    <phoneticPr fontId="20" type="noConversion"/>
  </si>
  <si>
    <t>FY2024 3Q 하이트진로 주식회사 v2</t>
    <phoneticPr fontId="20" type="noConversion"/>
  </si>
  <si>
    <t>Medium 49% 중 48%가 재무제표에 영향을 미치지 않는 매출/매출 상계전표 41건. 해당 전표 유형 소명 시 특이사항 없음</t>
    <phoneticPr fontId="20" type="noConversion"/>
  </si>
  <si>
    <t>FY2024 하이트진로 주식회사</t>
    <phoneticPr fontId="20" type="noConversion"/>
  </si>
  <si>
    <t>㈜ 제일기획</t>
    <phoneticPr fontId="20" type="noConversion"/>
  </si>
  <si>
    <t>FY2024 2Q 제일기획</t>
    <phoneticPr fontId="20" type="noConversion"/>
  </si>
  <si>
    <t>FY2024 YE 제일기획</t>
    <phoneticPr fontId="20" type="noConversion"/>
  </si>
  <si>
    <t>FY2024 YE 제일기획(Y1B0)</t>
    <phoneticPr fontId="20" type="noConversion"/>
  </si>
  <si>
    <t>FY2024 YE 제일기획(Y7Z2)</t>
    <phoneticPr fontId="20" type="noConversion"/>
  </si>
  <si>
    <t>FY2024 YE 제일기획(Y2Z1)</t>
    <phoneticPr fontId="20" type="noConversion"/>
  </si>
  <si>
    <t>SK이노베이션㈜</t>
    <phoneticPr fontId="20" type="noConversion"/>
  </si>
  <si>
    <t>FY2024 2Q SK이노베이션</t>
    <phoneticPr fontId="20" type="noConversion"/>
  </si>
  <si>
    <t>FY2024 2Q SK이노베이션 v4</t>
    <phoneticPr fontId="20" type="noConversion"/>
  </si>
  <si>
    <t>FY2024 3Q SK이노베이션</t>
    <phoneticPr fontId="20" type="noConversion"/>
  </si>
  <si>
    <t>2024-01-01 ~ 2024-09-30</t>
    <phoneticPr fontId="20" type="noConversion"/>
  </si>
  <si>
    <t>FY2024 4Q SK이노베이션</t>
    <phoneticPr fontId="20" type="noConversion"/>
  </si>
  <si>
    <t>FY2024 3Q SK E&amp;S</t>
    <phoneticPr fontId="20" type="noConversion"/>
  </si>
  <si>
    <t>2024-01-01 ~ 2024-10-31</t>
    <phoneticPr fontId="20" type="noConversion"/>
  </si>
  <si>
    <t>FY2024 4Q SK E&amp;S</t>
    <phoneticPr fontId="20" type="noConversion"/>
  </si>
  <si>
    <t>오씨아이 주식회사</t>
    <phoneticPr fontId="20" type="noConversion"/>
  </si>
  <si>
    <t>FY2024 2Q OCI주식회사</t>
    <phoneticPr fontId="20" type="noConversion"/>
  </si>
  <si>
    <t>FY2024 3Q OCI주식회사</t>
    <phoneticPr fontId="20" type="noConversion"/>
  </si>
  <si>
    <t>FY2024 4Q OCI주식회사</t>
    <phoneticPr fontId="20" type="noConversion"/>
  </si>
  <si>
    <t>주식회사 현대백화점</t>
    <phoneticPr fontId="20" type="noConversion"/>
  </si>
  <si>
    <t>주식회사 현대백화점 2Q</t>
    <phoneticPr fontId="20" type="noConversion"/>
  </si>
  <si>
    <t>2024-06-01 ~ 2024-12-31</t>
    <phoneticPr fontId="20" type="noConversion"/>
  </si>
  <si>
    <t>아세아시멘트㈜</t>
    <phoneticPr fontId="20" type="noConversion"/>
  </si>
  <si>
    <t>FY2024 2Q 아세아시멘트</t>
    <phoneticPr fontId="20" type="noConversion"/>
  </si>
  <si>
    <t>FY2024 2Q 아세아시멘트 v4</t>
    <phoneticPr fontId="20" type="noConversion"/>
  </si>
  <si>
    <t>FY2024 아세아시멘트</t>
    <phoneticPr fontId="20" type="noConversion"/>
  </si>
  <si>
    <t>씨제이프레시웨이 주식회사</t>
    <phoneticPr fontId="20" type="noConversion"/>
  </si>
  <si>
    <t>FY2024 씨제이프레시웨이 외부감사_v2</t>
    <phoneticPr fontId="20" type="noConversion"/>
  </si>
  <si>
    <t>FY2024 씨제이프레시웨이 외부감사_v5</t>
    <phoneticPr fontId="20" type="noConversion"/>
  </si>
  <si>
    <t>FY2024 씨제이프레시웨이 외부감사</t>
    <phoneticPr fontId="20" type="noConversion"/>
  </si>
  <si>
    <t>보령</t>
    <phoneticPr fontId="20" type="noConversion"/>
  </si>
  <si>
    <t xml:space="preserve"> FY2024 2Q 보령</t>
    <phoneticPr fontId="20" type="noConversion"/>
  </si>
  <si>
    <t>주식회사  E1</t>
    <phoneticPr fontId="20" type="noConversion"/>
  </si>
  <si>
    <t>FY2024 2Q E1</t>
    <phoneticPr fontId="20" type="noConversion"/>
  </si>
  <si>
    <t>FY2024 2Q E1 v2</t>
    <phoneticPr fontId="20" type="noConversion"/>
  </si>
  <si>
    <t>FY2024 E1</t>
    <phoneticPr fontId="20" type="noConversion"/>
  </si>
  <si>
    <t>2024-07-01 ~ 2024-12-31</t>
    <phoneticPr fontId="20" type="noConversion"/>
  </si>
  <si>
    <t>㈜ 팜스코</t>
    <phoneticPr fontId="20" type="noConversion"/>
  </si>
  <si>
    <t>FY2024 2Q 팜스코</t>
    <phoneticPr fontId="20" type="noConversion"/>
  </si>
  <si>
    <t>주식회사 동양</t>
    <phoneticPr fontId="20" type="noConversion"/>
  </si>
  <si>
    <t>FY2024 2Q 동양</t>
    <phoneticPr fontId="20" type="noConversion"/>
  </si>
  <si>
    <t>한섬</t>
    <phoneticPr fontId="20" type="noConversion"/>
  </si>
  <si>
    <t>FY2024 한섬 2Q</t>
    <phoneticPr fontId="20" type="noConversion"/>
  </si>
  <si>
    <t>FY2024 2Q 한섬</t>
    <phoneticPr fontId="20" type="noConversion"/>
  </si>
  <si>
    <t>FY2024 한섬</t>
    <phoneticPr fontId="20" type="noConversion"/>
  </si>
  <si>
    <t>주식회사 세아제강</t>
    <phoneticPr fontId="20" type="noConversion"/>
  </si>
  <si>
    <t>FY2024 2Q 세아제강</t>
    <phoneticPr fontId="20" type="noConversion"/>
  </si>
  <si>
    <t>더블유씨피 주식회사</t>
    <phoneticPr fontId="20" type="noConversion"/>
  </si>
  <si>
    <t>FY2024 2Q 더블유씨피</t>
    <phoneticPr fontId="20" type="noConversion"/>
  </si>
  <si>
    <t>남해화학</t>
    <phoneticPr fontId="20" type="noConversion"/>
  </si>
  <si>
    <t>FY2024 2Q 남해화학 v2</t>
    <phoneticPr fontId="20" type="noConversion"/>
  </si>
  <si>
    <t>FY2024 2Q 남해화학</t>
    <phoneticPr fontId="20" type="noConversion"/>
  </si>
  <si>
    <t>FY2024 남해화학</t>
    <phoneticPr fontId="20" type="noConversion"/>
  </si>
  <si>
    <t>㈜한독</t>
    <phoneticPr fontId="20" type="noConversion"/>
  </si>
  <si>
    <t>FY2024 한독 2Q v2</t>
    <phoneticPr fontId="20" type="noConversion"/>
  </si>
  <si>
    <t>FY2024 2Q 한독</t>
    <phoneticPr fontId="20" type="noConversion"/>
  </si>
  <si>
    <t>주식회사 파트론</t>
    <phoneticPr fontId="20" type="noConversion"/>
  </si>
  <si>
    <t>FY2024 2Q 파트론</t>
    <phoneticPr fontId="20" type="noConversion"/>
  </si>
  <si>
    <t>지누스</t>
    <phoneticPr fontId="20" type="noConversion"/>
  </si>
  <si>
    <t>FY2024 2Q 지누스</t>
    <phoneticPr fontId="20" type="noConversion"/>
  </si>
  <si>
    <t>한화갤러리아 ㈜</t>
    <phoneticPr fontId="20" type="noConversion"/>
  </si>
  <si>
    <t>FY2024 한화갤러리아 YE_v2</t>
    <phoneticPr fontId="20" type="noConversion"/>
  </si>
  <si>
    <t>FY2024 한화갤러리아 YE</t>
    <phoneticPr fontId="20" type="noConversion"/>
  </si>
  <si>
    <t>㈜동원에프엔비</t>
    <phoneticPr fontId="20" type="noConversion"/>
  </si>
  <si>
    <t>FY2024 2Q 동원F&amp;B 외부감사</t>
    <phoneticPr fontId="20" type="noConversion"/>
  </si>
  <si>
    <t>FY2024 3Q 동원F&amp;B 외부감사</t>
    <phoneticPr fontId="20" type="noConversion"/>
  </si>
  <si>
    <t>2024-07-01 ~ 2024-10-31</t>
    <phoneticPr fontId="20" type="noConversion"/>
  </si>
  <si>
    <t>FY2024 4Q 동원F&amp;B 외부감사</t>
    <phoneticPr fontId="20" type="noConversion"/>
  </si>
  <si>
    <t>2024-11-01 ~ 2024-12-31</t>
    <phoneticPr fontId="20" type="noConversion"/>
  </si>
  <si>
    <t>에코프로비엠</t>
    <phoneticPr fontId="20" type="noConversion"/>
  </si>
  <si>
    <t>FY2024 2Q 에코프로비엠</t>
    <phoneticPr fontId="20" type="noConversion"/>
  </si>
  <si>
    <t>대부분 정상전표(매출채권/매출)이나, 매출 전표 숫자 자체가 적어, 위험전표로 식별</t>
    <phoneticPr fontId="20" type="noConversion"/>
  </si>
  <si>
    <t>성일하이텍 ㈜</t>
    <phoneticPr fontId="20" type="noConversion"/>
  </si>
  <si>
    <t>FY2024 2Q 성일하이텍</t>
    <phoneticPr fontId="20" type="noConversion"/>
  </si>
  <si>
    <t>STX</t>
    <phoneticPr fontId="20" type="noConversion"/>
  </si>
  <si>
    <t>FY2024 3Q STX</t>
    <phoneticPr fontId="20" type="noConversion"/>
  </si>
  <si>
    <t>FY2024 4Q STX</t>
    <phoneticPr fontId="20" type="noConversion"/>
  </si>
  <si>
    <t>삼표시멘트</t>
    <phoneticPr fontId="20" type="noConversion"/>
  </si>
  <si>
    <t>FY2024 2Q 삼표시멘트</t>
    <phoneticPr fontId="20" type="noConversion"/>
  </si>
  <si>
    <t>해성디에스㈜</t>
    <phoneticPr fontId="20" type="noConversion"/>
  </si>
  <si>
    <t>FY2024 2Q 해성디에스</t>
    <phoneticPr fontId="20" type="noConversion"/>
  </si>
  <si>
    <t>FY2024 해성디에스</t>
    <phoneticPr fontId="20" type="noConversion"/>
  </si>
  <si>
    <t>SK에너지</t>
    <phoneticPr fontId="20" type="noConversion"/>
  </si>
  <si>
    <t>FY2024 2Q SK에너지</t>
    <phoneticPr fontId="20" type="noConversion"/>
  </si>
  <si>
    <t>FY2024 4Q SK에너지</t>
    <phoneticPr fontId="20" type="noConversion"/>
  </si>
  <si>
    <t>FY24_삼성디스플레이_외부감사</t>
  </si>
  <si>
    <t>주식회사 키움예스저축은행</t>
    <phoneticPr fontId="20" type="noConversion"/>
  </si>
  <si>
    <t>FY2024 2Q 키움예스저축은행</t>
    <phoneticPr fontId="20" type="noConversion"/>
  </si>
  <si>
    <t>Interest Expense</t>
    <phoneticPr fontId="20" type="noConversion"/>
  </si>
  <si>
    <t>Interest Income</t>
    <phoneticPr fontId="20" type="noConversion"/>
  </si>
  <si>
    <t>㈜한화저축은행</t>
    <phoneticPr fontId="20" type="noConversion"/>
  </si>
  <si>
    <t>FY2024 2Q 한화저축은행 v2</t>
    <phoneticPr fontId="20" type="noConversion"/>
  </si>
  <si>
    <t>FY2024 한화저축은행</t>
    <phoneticPr fontId="20" type="noConversion"/>
  </si>
  <si>
    <t>㈜BYC</t>
    <phoneticPr fontId="20" type="noConversion"/>
  </si>
  <si>
    <t>FY2024 3Q BYC</t>
    <phoneticPr fontId="20" type="noConversion"/>
  </si>
  <si>
    <t>FY2024 BYC</t>
    <phoneticPr fontId="20" type="noConversion"/>
  </si>
  <si>
    <t>(주)케이씨</t>
    <phoneticPr fontId="20" type="noConversion"/>
  </si>
  <si>
    <t>FY2024 케이씨 YE</t>
    <phoneticPr fontId="20" type="noConversion"/>
  </si>
  <si>
    <t>FY2024 케이씨 YE</t>
  </si>
  <si>
    <t>주식회사 원일특강</t>
    <phoneticPr fontId="20" type="noConversion"/>
  </si>
  <si>
    <t>FY2024 2Q 원일특강</t>
    <phoneticPr fontId="20" type="noConversion"/>
  </si>
  <si>
    <t>씨제이올리브영주식회사</t>
    <phoneticPr fontId="20" type="noConversion"/>
  </si>
  <si>
    <t>FY2024 2Q 씨제이올리브영</t>
    <phoneticPr fontId="20" type="noConversion"/>
  </si>
  <si>
    <t>FY2024 2Q 씨제이올리브영 v7</t>
    <phoneticPr fontId="20" type="noConversion"/>
  </si>
  <si>
    <t>티케이지휴켐스</t>
    <phoneticPr fontId="20" type="noConversion"/>
  </si>
  <si>
    <t>FY2024 2Q 티케이지휴켐스</t>
    <phoneticPr fontId="20" type="noConversion"/>
  </si>
  <si>
    <t>FY2024 티케이지휴켐스</t>
    <phoneticPr fontId="20" type="noConversion"/>
  </si>
  <si>
    <t>KG스틸㈜</t>
    <phoneticPr fontId="20" type="noConversion"/>
  </si>
  <si>
    <t>FY2024 2Q KG스틸</t>
    <phoneticPr fontId="20" type="noConversion"/>
  </si>
  <si>
    <t>Interim</t>
    <phoneticPr fontId="20" type="noConversion"/>
  </si>
  <si>
    <t>FY2024 KG스틸</t>
    <phoneticPr fontId="20" type="noConversion"/>
  </si>
  <si>
    <t>FY2024 동원홈푸드</t>
    <phoneticPr fontId="20" type="noConversion"/>
  </si>
  <si>
    <t>니프코코리아 FY24 회계감사</t>
  </si>
  <si>
    <t>남해화학㈜</t>
  </si>
  <si>
    <t>남해화학 FY2025 외부감사</t>
  </si>
  <si>
    <t>[알파홀딩스] 2025년 지정감사</t>
  </si>
  <si>
    <t>2Q_알파홀딩스_FY2025_지정감사</t>
  </si>
  <si>
    <t>2Q_알파홀딩스_FY2025_지정감사</t>
    <phoneticPr fontId="7" type="noConversion"/>
  </si>
  <si>
    <t>2025-01-01 ~ 2025-06-30</t>
  </si>
  <si>
    <t>High Risk Journal Entry</t>
  </si>
  <si>
    <t>Operating Expense</t>
  </si>
  <si>
    <t>Revenue</t>
  </si>
  <si>
    <t>O</t>
  </si>
  <si>
    <t>2Q</t>
  </si>
  <si>
    <t>우리홈쇼핑_FY2025_법정감사</t>
  </si>
  <si>
    <t>2Q_우리홈쇼핑_FY2025_법정감사</t>
  </si>
  <si>
    <t>2Q_우리홈쇼핑_FY2025_법정감사</t>
    <phoneticPr fontId="7" type="noConversion"/>
  </si>
  <si>
    <t>팅크웨어㈜</t>
  </si>
  <si>
    <t>팅크웨어 FY25 주기적 지정감사</t>
  </si>
  <si>
    <t>2Q_팅크웨어 FY25 주기적 지정감사</t>
    <phoneticPr fontId="7" type="noConversion"/>
  </si>
  <si>
    <t>국도화학 주식회사</t>
  </si>
  <si>
    <t>FY25 국도화학 외부감사</t>
  </si>
  <si>
    <t>2Q_General Ledger_FY25 국도화학 외부감사</t>
    <phoneticPr fontId="7" type="noConversion"/>
  </si>
  <si>
    <t>국도화학 2Q</t>
    <phoneticPr fontId="7" type="noConversion"/>
  </si>
  <si>
    <t>GL/SL</t>
    <phoneticPr fontId="7" type="noConversion"/>
  </si>
  <si>
    <t>General Ledger</t>
    <phoneticPr fontId="7" type="noConversion"/>
  </si>
  <si>
    <t>Subledger</t>
    <phoneticPr fontId="7" type="noConversion"/>
  </si>
  <si>
    <t>FY2025_HD현대마린엔진 외부감사</t>
  </si>
  <si>
    <t>FY2025_HD현대마린엔진 외부감사_2Q</t>
    <phoneticPr fontId="7" type="noConversion"/>
  </si>
  <si>
    <t>2Q_BGF에코머티리얼즈_외부감사_FY25</t>
    <phoneticPr fontId="7" type="noConversion"/>
  </si>
  <si>
    <t>BGF에코머티리얼즈_외부감사_FY25</t>
  </si>
  <si>
    <t>파르나스호텔_FY2025_법정감사</t>
  </si>
  <si>
    <t>파르나스호텔_FY2025_법정감사_2Q</t>
    <phoneticPr fontId="7" type="noConversion"/>
  </si>
  <si>
    <t>더존</t>
    <phoneticPr fontId="7" type="noConversion"/>
  </si>
  <si>
    <t>Services
Media</t>
    <phoneticPr fontId="7" type="noConversion"/>
  </si>
  <si>
    <t>V</t>
    <phoneticPr fontId="7" type="noConversion"/>
  </si>
  <si>
    <t>KR_KPMG Dashboards - IFRS v3.1 - Media &amp; Telecoms Industry</t>
    <phoneticPr fontId="7" type="noConversion"/>
  </si>
  <si>
    <t>(주)제이와이피엔터테인먼트</t>
    <phoneticPr fontId="7" type="noConversion"/>
  </si>
  <si>
    <t>Industrial Products</t>
    <phoneticPr fontId="7" type="noConversion"/>
  </si>
  <si>
    <t>Oracle</t>
    <phoneticPr fontId="7" type="noConversion"/>
  </si>
  <si>
    <t>DPP - Partner</t>
    <phoneticPr fontId="7" type="noConversion"/>
  </si>
  <si>
    <t>미디어 산업, Technology</t>
    <phoneticPr fontId="7" type="noConversion"/>
  </si>
  <si>
    <t>더존</t>
    <phoneticPr fontId="7" type="noConversion"/>
  </si>
  <si>
    <t>Industrial Products, Healthcare</t>
    <phoneticPr fontId="7" type="noConversion"/>
  </si>
  <si>
    <t>SAP</t>
    <phoneticPr fontId="7" type="noConversion"/>
  </si>
  <si>
    <t>V</t>
    <phoneticPr fontId="7" type="noConversion"/>
  </si>
  <si>
    <t>매출 RMM Base 초과
매출원가 재고자산 원가 포함으로 적용 조건에 부합하지 않음</t>
    <phoneticPr fontId="7" type="noConversion"/>
  </si>
  <si>
    <t>2025 회계연도 법정감사_대한항공</t>
  </si>
  <si>
    <t>자료처리, 호스팅, 포털 및 기타 인터넷 정보매개 서비스업</t>
    <phoneticPr fontId="7" type="noConversion"/>
  </si>
  <si>
    <t>매출 4개 stream 중 2개는 Significant, 2개는 base. Base항목들은 Sample 숫자 20개 미만. 비용도 샘플 10개 미만</t>
    <phoneticPr fontId="7" type="noConversion"/>
  </si>
  <si>
    <t>권경진(kyungjinkwon@kr.kpmg.com)</t>
    <phoneticPr fontId="7" type="noConversion"/>
  </si>
  <si>
    <t>박선정(sunjeongpark@kr.kpmg.com)</t>
    <phoneticPr fontId="7" type="noConversion"/>
  </si>
  <si>
    <t>임혜정(hyejunglim@kr.kpmg.com)</t>
    <phoneticPr fontId="7" type="noConversion"/>
  </si>
  <si>
    <t>Oracle</t>
    <phoneticPr fontId="7" type="noConversion"/>
  </si>
  <si>
    <t>Aviation Services</t>
    <phoneticPr fontId="7" type="noConversion"/>
  </si>
  <si>
    <t>Services</t>
    <phoneticPr fontId="7" type="noConversion"/>
  </si>
  <si>
    <t>SAP S4 HANA</t>
    <phoneticPr fontId="7" type="noConversion"/>
  </si>
  <si>
    <t>제외요청</t>
    <phoneticPr fontId="7" type="noConversion"/>
  </si>
  <si>
    <t>매출 : CAR가 Base 초과
매출원가 및 영업비용 : 재고자산으로 자산화 되는 원가로 aits 사용조건에 부합하지 않음</t>
    <phoneticPr fontId="7" type="noConversion"/>
  </si>
  <si>
    <t>(주)씨티씨바이오</t>
    <phoneticPr fontId="7" type="noConversion"/>
  </si>
  <si>
    <t>(주)뉴프렉스</t>
    <phoneticPr fontId="7" type="noConversion"/>
  </si>
  <si>
    <t>Service, Technology</t>
    <phoneticPr fontId="7" type="noConversion"/>
  </si>
  <si>
    <t>NEON</t>
    <phoneticPr fontId="7" type="noConversion"/>
  </si>
  <si>
    <t>115.2.02
115.2.13
115.3.01
115.2.12b</t>
    <phoneticPr fontId="7" type="noConversion"/>
  </si>
  <si>
    <t>매출은 Significant, 비용은 월단위로 정산해서 샘플이 적게 나옴</t>
    <phoneticPr fontId="7" type="noConversion"/>
  </si>
  <si>
    <t>Energy and Natural Resources</t>
    <phoneticPr fontId="7" type="noConversion"/>
  </si>
  <si>
    <t>SAP</t>
    <phoneticPr fontId="7" type="noConversion"/>
  </si>
  <si>
    <t>Services</t>
    <phoneticPr fontId="7" type="noConversion"/>
  </si>
  <si>
    <t>SAP S/4 HANA</t>
    <phoneticPr fontId="7" type="noConversion"/>
  </si>
  <si>
    <t>Industrial Products</t>
    <phoneticPr fontId="7" type="noConversion"/>
  </si>
  <si>
    <t>115.3.01
115.2.02
115.2.13</t>
    <phoneticPr fontId="7" type="noConversion"/>
  </si>
  <si>
    <t>Services</t>
    <phoneticPr fontId="7" type="noConversion"/>
  </si>
  <si>
    <t>영림원</t>
    <phoneticPr fontId="7" type="noConversion"/>
  </si>
  <si>
    <t>Industrial Products</t>
    <phoneticPr fontId="7" type="noConversion"/>
  </si>
  <si>
    <t>uniERP</t>
    <phoneticPr fontId="7" type="noConversion"/>
  </si>
  <si>
    <t>삼성바이오에피스 주식회사</t>
    <phoneticPr fontId="7" type="noConversion"/>
  </si>
  <si>
    <t>(주)대한항공</t>
  </si>
  <si>
    <t>2Q_2025 회계연도 법정감사_대한항공</t>
    <phoneticPr fontId="7" type="noConversion"/>
  </si>
  <si>
    <t>Consumer Products</t>
    <phoneticPr fontId="7" type="noConversion"/>
  </si>
  <si>
    <t>SAP S/4 HANA</t>
    <phoneticPr fontId="7" type="noConversion"/>
  </si>
  <si>
    <t>115.2.12.b
115.2.13</t>
    <phoneticPr fontId="7" type="noConversion"/>
  </si>
  <si>
    <t>SCM/더존</t>
    <phoneticPr fontId="7" type="noConversion"/>
  </si>
  <si>
    <t>V</t>
    <phoneticPr fontId="7" type="noConversion"/>
  </si>
  <si>
    <t>(주) 에이디칩스</t>
    <phoneticPr fontId="7" type="noConversion"/>
  </si>
  <si>
    <t>V</t>
    <phoneticPr fontId="7" type="noConversion"/>
  </si>
  <si>
    <t>웹젠</t>
    <phoneticPr fontId="7" type="noConversion"/>
  </si>
  <si>
    <t>Industrial Products</t>
    <phoneticPr fontId="7" type="noConversion"/>
  </si>
  <si>
    <t>FLEX ERP</t>
    <phoneticPr fontId="7" type="noConversion"/>
  </si>
  <si>
    <t>Services</t>
    <phoneticPr fontId="7" type="noConversion"/>
  </si>
  <si>
    <t>더존ERP</t>
    <phoneticPr fontId="7" type="noConversion"/>
  </si>
  <si>
    <t>Industrial Products</t>
    <phoneticPr fontId="7" type="noConversion"/>
  </si>
  <si>
    <t>SAP HANA S/4</t>
    <phoneticPr fontId="7" type="noConversion"/>
  </si>
  <si>
    <t>Life Science</t>
    <phoneticPr fontId="7" type="noConversion"/>
  </si>
  <si>
    <t>(주)에치에프알</t>
    <phoneticPr fontId="7" type="noConversion"/>
  </si>
  <si>
    <t>에이치엘비바이오스텝(주)</t>
    <phoneticPr fontId="7" type="noConversion"/>
  </si>
  <si>
    <t>KPMG Dashboards - IFRS v3.1 - Healthcare Industry: UpdateMay2025</t>
    <phoneticPr fontId="7" type="noConversion"/>
  </si>
  <si>
    <t>Health Care and Social Assistance</t>
    <phoneticPr fontId="7" type="noConversion"/>
  </si>
  <si>
    <t>무림피앤피㈜</t>
    <phoneticPr fontId="7" type="noConversion"/>
  </si>
  <si>
    <t>한일화학공업(주)</t>
    <phoneticPr fontId="7" type="noConversion"/>
  </si>
  <si>
    <t>기초 화학물질 제조업</t>
    <phoneticPr fontId="7" type="noConversion"/>
  </si>
  <si>
    <t>Services</t>
    <phoneticPr fontId="7" type="noConversion"/>
  </si>
  <si>
    <t>더존</t>
    <phoneticPr fontId="7" type="noConversion"/>
  </si>
  <si>
    <t>제조업</t>
    <phoneticPr fontId="7" type="noConversion"/>
  </si>
  <si>
    <t>Industrial Products</t>
    <phoneticPr fontId="7" type="noConversion"/>
  </si>
  <si>
    <t>영림원</t>
    <phoneticPr fontId="7" type="noConversion"/>
  </si>
  <si>
    <t>Wholesale Trade</t>
    <phoneticPr fontId="7" type="noConversion"/>
  </si>
  <si>
    <t>115.2.13
115.3.01</t>
    <phoneticPr fontId="7" type="noConversion"/>
  </si>
  <si>
    <t>Consumer Products , Retail, Services, Telecommunications</t>
    <phoneticPr fontId="7" type="noConversion"/>
  </si>
  <si>
    <t>SAP</t>
    <phoneticPr fontId="7" type="noConversion"/>
  </si>
  <si>
    <t>V</t>
    <phoneticPr fontId="7" type="noConversion"/>
  </si>
  <si>
    <t>Services</t>
    <phoneticPr fontId="7" type="noConversion"/>
  </si>
  <si>
    <t>SAP</t>
    <phoneticPr fontId="7" type="noConversion"/>
  </si>
  <si>
    <t>더존 IU</t>
    <phoneticPr fontId="7" type="noConversion"/>
  </si>
  <si>
    <t>(주)동원홈푸드</t>
    <phoneticPr fontId="7" type="noConversion"/>
  </si>
  <si>
    <t xml:space="preserve">총계정원장 시산표 등 자료 수령불가 : 반기에도 DSD 외의 자료는 회사에서 제공하지 않아 입수가 어려운 상황입니다. 2024년부터 동일한 상황이 지속되고 있으며, 기말에도 DSD만 제공될 것으로 예상됩니다.
감사의견 거절 지속 : 2023년부터 감사의견 거절이 표명되었으며, 2025년 반기에도 검토의견 거절이 발생하였습니다. 현재 상황으로 볼 때, 기말에도 감사의견 거절이 예상됩니다.
감사의견 거절에 따른 RMM 영향: 감사의견 거절로 인해 RMM에 대한 CAR가 BASE를 초과하는 상황입니다. </t>
    <phoneticPr fontId="7" type="noConversion"/>
  </si>
  <si>
    <t>건설업. 진행기준 매출. 선급금으로 비용 배분 발생</t>
    <phoneticPr fontId="7" type="noConversion"/>
  </si>
  <si>
    <t>코나아이㈜</t>
    <phoneticPr fontId="7" type="noConversion"/>
  </si>
  <si>
    <t>하나의 계정으로 진행매출과 일반매출 같이 분개. 비용은 금액적으로 유의하지 않아 절차 필요하지 않음</t>
    <phoneticPr fontId="7" type="noConversion"/>
  </si>
  <si>
    <t>V</t>
    <phoneticPr fontId="7" type="noConversion"/>
  </si>
  <si>
    <t>SAP</t>
    <phoneticPr fontId="7" type="noConversion"/>
  </si>
  <si>
    <t>KR_KPMG Dashboards - IFRS v3.1 - Base Industry: UpdateMay2025</t>
    <phoneticPr fontId="7" type="noConversion"/>
  </si>
  <si>
    <t>영림원 ERP</t>
    <phoneticPr fontId="7" type="noConversion"/>
  </si>
  <si>
    <t>Consumer Products</t>
    <phoneticPr fontId="7" type="noConversion"/>
  </si>
  <si>
    <t>SAP S/4 HANA</t>
    <phoneticPr fontId="7" type="noConversion"/>
  </si>
  <si>
    <t>Industrial Products</t>
    <phoneticPr fontId="7" type="noConversion"/>
  </si>
  <si>
    <t>김세모</t>
  </si>
  <si>
    <t>이윤아</t>
  </si>
  <si>
    <t>남종수</t>
  </si>
  <si>
    <t>김재중</t>
  </si>
  <si>
    <t>김소라</t>
  </si>
  <si>
    <t>한준희</t>
  </si>
  <si>
    <t>박수민</t>
  </si>
  <si>
    <t>김상우</t>
  </si>
  <si>
    <t>강지헌</t>
  </si>
  <si>
    <t>윤광현</t>
  </si>
  <si>
    <t>이상민</t>
  </si>
  <si>
    <t>안창현</t>
  </si>
  <si>
    <t>양순재</t>
  </si>
  <si>
    <t>송민규</t>
  </si>
  <si>
    <t>서창원</t>
  </si>
  <si>
    <t>임재완</t>
  </si>
  <si>
    <t>이동규</t>
  </si>
  <si>
    <t>박율철</t>
  </si>
  <si>
    <t>김명환</t>
  </si>
  <si>
    <t>박선정</t>
  </si>
  <si>
    <t>임재연</t>
  </si>
  <si>
    <t>최유라</t>
  </si>
  <si>
    <t>임혜정</t>
  </si>
  <si>
    <t>이우현</t>
  </si>
  <si>
    <t>이태형</t>
  </si>
  <si>
    <t>장재혁</t>
  </si>
  <si>
    <t>이주화</t>
  </si>
  <si>
    <t>이정윤</t>
  </si>
  <si>
    <t>부준웅</t>
  </si>
  <si>
    <t>박재영</t>
  </si>
  <si>
    <t>도의연</t>
  </si>
  <si>
    <t>위형길</t>
  </si>
  <si>
    <t>남서영</t>
  </si>
  <si>
    <t>이다니엘</t>
  </si>
  <si>
    <t>이치백</t>
  </si>
  <si>
    <t>장문성</t>
  </si>
  <si>
    <t>김준형</t>
  </si>
  <si>
    <t>권경진</t>
  </si>
  <si>
    <t>semokim@kr.kpmg.com</t>
  </si>
  <si>
    <t>jinjang@kr.kpmg.com</t>
  </si>
  <si>
    <t>yoonahlee@kr.kpmg.com</t>
  </si>
  <si>
    <t>jongsunam@kr.kpmg.com</t>
  </si>
  <si>
    <t>yeasolju@kr.kpmg.com</t>
  </si>
  <si>
    <t>sehyunlee@kr.kpmg.com</t>
  </si>
  <si>
    <t>jaejoongkim@kr.kpmg.com</t>
  </si>
  <si>
    <t>hlee42@kr.kpmg.com</t>
  </si>
  <si>
    <t>sorakim@kr.kpmg.com</t>
  </si>
  <si>
    <t>junheehan@kr.kpmg.com</t>
  </si>
  <si>
    <t>suminpark@kr.kpmg.com</t>
  </si>
  <si>
    <t>eunseokkim@kr.kpmg.com</t>
  </si>
  <si>
    <t>skim56@kr.kpmg.com</t>
  </si>
  <si>
    <t>jiheonkang@kr.kpmg.com</t>
  </si>
  <si>
    <t>kwanghyunyun@kr.kpmg.com</t>
  </si>
  <si>
    <t>slee14@kr.kpmg.com</t>
  </si>
  <si>
    <t>changhyunan@kr.kpmg.com</t>
  </si>
  <si>
    <t>soonjaeyang@kr.kpmg.com</t>
  </si>
  <si>
    <t>mingyusong@kr.kpmg.com</t>
  </si>
  <si>
    <t>changwonseo@kr.kpmg.com</t>
  </si>
  <si>
    <t>jaewanlim@kr.kpmg.com</t>
  </si>
  <si>
    <t>pjeong@kr.kpmg.com</t>
  </si>
  <si>
    <t>donggyulee@kr.kpmg.com</t>
  </si>
  <si>
    <t>yulcheolpark@kr.kpmg.com</t>
  </si>
  <si>
    <t>mkim175@kr.kpmg.com</t>
  </si>
  <si>
    <t>sunjeongpark@kr.kpmg.com</t>
  </si>
  <si>
    <t>jaeyeonleem@kr.kpmg.com</t>
  </si>
  <si>
    <t>yoorachoi@kr.kpmg.com</t>
  </si>
  <si>
    <t>hyejunglim@kr.kpmg.com</t>
  </si>
  <si>
    <t>woohyunyi@kr.kpmg.com</t>
  </si>
  <si>
    <t>giwoongbae@kr.kpmg.com</t>
  </si>
  <si>
    <t>ykang4@kr.kpmg.com</t>
  </si>
  <si>
    <t>jchoi13@kr.kpmg.com</t>
  </si>
  <si>
    <t>taehyunglee@kr.kpmg.com</t>
  </si>
  <si>
    <t>jaehyukjang@kr.kpmg.com</t>
  </si>
  <si>
    <t>jlee92@kr.kpmg.com</t>
  </si>
  <si>
    <t>jlee123@kr.kpmg.com</t>
  </si>
  <si>
    <t>jboo@kr.kpmg.com</t>
  </si>
  <si>
    <t>jaeyoungpark@kr.kpmg.com</t>
  </si>
  <si>
    <t>edo@kr.kpmg.com</t>
  </si>
  <si>
    <t>mingyulee@kr.kpmg.com</t>
  </si>
  <si>
    <t>hyeonggilwi@kr.kpmg.com</t>
  </si>
  <si>
    <t>seoyoungnam@kr.kpmg.com</t>
  </si>
  <si>
    <t>dlee34@kr.kpmg.com</t>
  </si>
  <si>
    <t>clee60@kr.kpmg.com</t>
  </si>
  <si>
    <t>mjang3@kr.kpmg.com</t>
  </si>
  <si>
    <t>jkim143@kr.kpmg.com</t>
  </si>
  <si>
    <t>kyungjinkwon@kr.kpmg.com</t>
  </si>
  <si>
    <t>hkim31@kr.kpmg.com</t>
  </si>
  <si>
    <t>Professional, Scientific, and Technical Services</t>
    <phoneticPr fontId="7" type="noConversion"/>
  </si>
  <si>
    <t>정진우(Jjung9@kr.kpmg.com)</t>
    <phoneticPr fontId="7" type="noConversion"/>
  </si>
  <si>
    <t>ICA</t>
    <phoneticPr fontId="7" type="noConversion"/>
  </si>
  <si>
    <t>Jjung9@kr.kpmg.com</t>
  </si>
  <si>
    <t>ckim19@kr.kpmg.com</t>
    <phoneticPr fontId="7" type="noConversion"/>
  </si>
  <si>
    <t>개별송부</t>
    <phoneticPr fontId="7" type="noConversion"/>
  </si>
  <si>
    <t>팬오션 주식회사</t>
  </si>
  <si>
    <t>GS칼텍스㈜</t>
  </si>
  <si>
    <t>아이에스동서 ㈜</t>
  </si>
  <si>
    <t>한국남동발전 ㈜</t>
  </si>
  <si>
    <t>한국동서발전 ㈜</t>
  </si>
  <si>
    <t xml:space="preserve">STX </t>
  </si>
  <si>
    <t xml:space="preserve">(주)이엔플러스 </t>
  </si>
  <si>
    <t xml:space="preserve">(주)마크로젠 </t>
  </si>
  <si>
    <t xml:space="preserve">주식회사 씨젠 </t>
  </si>
  <si>
    <t xml:space="preserve">일진전기(주) </t>
  </si>
  <si>
    <t xml:space="preserve">(주) 드림텍 </t>
  </si>
  <si>
    <t xml:space="preserve">한국철강주식회사 </t>
  </si>
  <si>
    <t xml:space="preserve">이니텍 주식회사 </t>
  </si>
  <si>
    <t xml:space="preserve">깨끗한나라 주식회사 </t>
  </si>
  <si>
    <t xml:space="preserve">주식회사 케이이씨 </t>
  </si>
  <si>
    <t xml:space="preserve">이스트소프트 </t>
  </si>
  <si>
    <t xml:space="preserve">SNT다이내믹스(주) </t>
  </si>
  <si>
    <t xml:space="preserve">디와이덕양 </t>
  </si>
  <si>
    <t xml:space="preserve">에스케이플래닛 주식회사 </t>
  </si>
  <si>
    <t xml:space="preserve">갤럭시아머니트리 주식회사 </t>
  </si>
  <si>
    <t xml:space="preserve">아이에스지주 주식회사 </t>
  </si>
  <si>
    <t xml:space="preserve">환영철강공업(주) </t>
  </si>
  <si>
    <t>전진바이오팜</t>
  </si>
  <si>
    <t>v</t>
    <phoneticPr fontId="7" type="noConversion"/>
  </si>
  <si>
    <t>제외요청 회신(em)</t>
    <phoneticPr fontId="7" type="noConversion"/>
  </si>
  <si>
    <t>적용제외 기요청</t>
    <phoneticPr fontId="7" type="noConversion"/>
  </si>
  <si>
    <t>진행기준을 적용하는 건설 및 엔지니어링 등 수주산업에 해당하며, 수익 관련 RMM을 Base 보다 높게 평가하였습니다.</t>
    <phoneticPr fontId="7" type="noConversion"/>
  </si>
  <si>
    <t>지주회사인 점을 고려하여 AITS 적용이 어려운 것으로 판단하였습니다.</t>
    <phoneticPr fontId="7" type="noConversion"/>
  </si>
  <si>
    <t>jpark106@kr.kpmg.com</t>
    <phoneticPr fontId="7" type="noConversion"/>
  </si>
  <si>
    <t>개별회신</t>
    <phoneticPr fontId="7" type="noConversion"/>
  </si>
  <si>
    <t>제외신청</t>
    <phoneticPr fontId="7" type="noConversion"/>
  </si>
  <si>
    <t>제외요청</t>
    <phoneticPr fontId="7" type="noConversion"/>
  </si>
  <si>
    <t>작년에 SK플래닛의 경우 AITS 사용을 위해 고민해본 결과, 직접 테스트가 더 효율적이라 사용하지 않았었습니다.</t>
    <phoneticPr fontId="7" type="noConversion"/>
  </si>
  <si>
    <t>지주회사로 AITS 적용할만한 RMM 없음</t>
    <phoneticPr fontId="7" type="noConversion"/>
  </si>
  <si>
    <t>샘플이 10건 미만으로 효용없음</t>
    <phoneticPr fontId="7" type="noConversion"/>
  </si>
  <si>
    <t>구형 ERP로 필수 데이터가 추출되지 않음</t>
    <phoneticPr fontId="7" type="noConversion"/>
  </si>
  <si>
    <t>한 두건의 거래처에서 매출 및 비용 발생. 효익없음</t>
    <phoneticPr fontId="7" type="noConversion"/>
  </si>
  <si>
    <t>Sample 숫자가 적어 부적합</t>
    <phoneticPr fontId="7" type="noConversion"/>
  </si>
  <si>
    <t>매출은 Base에 해당하지 않고, 비용도 MUS말고 다른 방법으로 감사</t>
    <phoneticPr fontId="7" type="noConversion"/>
  </si>
  <si>
    <t>샘플수가 적음</t>
    <phoneticPr fontId="7" type="noConversion"/>
  </si>
  <si>
    <t>V</t>
    <phoneticPr fontId="7" type="noConversion"/>
  </si>
  <si>
    <t>Healthcare</t>
    <phoneticPr fontId="7" type="noConversion"/>
  </si>
  <si>
    <t>SAP</t>
    <phoneticPr fontId="7" type="noConversion"/>
  </si>
  <si>
    <t>115.2.02
115.3.01</t>
    <phoneticPr fontId="7" type="noConversion"/>
  </si>
  <si>
    <t>KR_KPMG Dashboards - IFRS v3.1 - Base Industry: UpdateMay2025</t>
    <phoneticPr fontId="7" type="noConversion"/>
  </si>
  <si>
    <t>홍민정</t>
  </si>
  <si>
    <t>이영롱</t>
  </si>
  <si>
    <t>엄정복</t>
  </si>
  <si>
    <t>유재준</t>
  </si>
  <si>
    <t>김문영</t>
  </si>
  <si>
    <t>hyunkyunglee@kr.kpmg.com</t>
  </si>
  <si>
    <t>이현강</t>
  </si>
  <si>
    <t>hyeonganglee@kr.kpmg.com</t>
  </si>
  <si>
    <t>seunghoonlee@kr.kpmg.com</t>
  </si>
  <si>
    <t>jbyun@kr.kpmg.com</t>
  </si>
  <si>
    <t>joohunyoon@kr.kpmg.com</t>
  </si>
  <si>
    <t>byungminkim@kr.kpmg.com</t>
  </si>
  <si>
    <t>sunghwasong@kr.kpmg.com</t>
  </si>
  <si>
    <t>김성훈</t>
  </si>
  <si>
    <t>skim130@kr.kpmg.com</t>
  </si>
  <si>
    <t>이하린</t>
  </si>
  <si>
    <t>harinlee@kr.kpmg.com</t>
  </si>
  <si>
    <t>sooyeonkim@kr.kpmg.com</t>
  </si>
  <si>
    <t>서은아</t>
  </si>
  <si>
    <t>eseo@kr.kpmg.com</t>
  </si>
  <si>
    <t>Cao, Leah</t>
  </si>
  <si>
    <t>leahcao@kr.kpmg.com</t>
  </si>
  <si>
    <t>황재남</t>
  </si>
  <si>
    <t>jaenamhwang@kr.kpmg.com</t>
  </si>
  <si>
    <t>jungsoolee@kr.kpmg.com</t>
  </si>
  <si>
    <t>taeungjeon@kr.kpmg.com</t>
  </si>
  <si>
    <t>김상훈</t>
  </si>
  <si>
    <t>skim191@kr.kpmg.com</t>
  </si>
  <si>
    <t>yeonjungkim@kr.kpmg.com</t>
  </si>
  <si>
    <t>sunguckkim@kr.kpmg.com</t>
  </si>
  <si>
    <t>이준학</t>
  </si>
  <si>
    <t>jlee214@kr.kpmg.com</t>
  </si>
  <si>
    <t>김상식</t>
  </si>
  <si>
    <t>sangseekkim@kr.kpmg.com</t>
  </si>
  <si>
    <t>hyesukim@kr.kpmg.com</t>
  </si>
  <si>
    <t>sungbaepark@kr.kpmg.com</t>
  </si>
  <si>
    <t>jinseokchoi@kr.kpmg.com</t>
  </si>
  <si>
    <t>이준혁</t>
  </si>
  <si>
    <t>junhyeoklee@kr.kpmg.com</t>
  </si>
  <si>
    <t>유용훈</t>
  </si>
  <si>
    <t>유인혁</t>
  </si>
  <si>
    <t>inhyugryu@kr.kpmg.com</t>
  </si>
  <si>
    <t>dongyounglee@kr.kpmg.com</t>
  </si>
  <si>
    <t>신재혁</t>
  </si>
  <si>
    <t>chaehyokshin@kr.kpmg.com</t>
  </si>
  <si>
    <t>chaeneunglee@kr.kpmg.com</t>
  </si>
  <si>
    <t>jkim142@kr.kpmg.com</t>
  </si>
  <si>
    <t>hyunjichoi@kr.kpmg.com</t>
  </si>
  <si>
    <t>신동민</t>
  </si>
  <si>
    <t>dshin6@kr.kpmg.com</t>
  </si>
  <si>
    <t>ykim188@kr.kpmg.com</t>
  </si>
  <si>
    <t>장상수</t>
  </si>
  <si>
    <t>sangsoojang@kr.kpmg.com</t>
  </si>
  <si>
    <t>한상훈</t>
  </si>
  <si>
    <t>minjunghong@kr.kpmg.com</t>
  </si>
  <si>
    <t>sungchaekang@kr.kpmg.com</t>
  </si>
  <si>
    <t>sanghyunbyun@kr.kpmg.com</t>
  </si>
  <si>
    <t>탁현우</t>
  </si>
  <si>
    <t>hyunwootak@kr.kpmg.com</t>
  </si>
  <si>
    <t>곽정화</t>
  </si>
  <si>
    <t>jeonghwagwak@kr.kpmg.com</t>
  </si>
  <si>
    <t>김정태</t>
  </si>
  <si>
    <t>jkim448@kr.kpmg.com</t>
  </si>
  <si>
    <t>유지호</t>
  </si>
  <si>
    <t>jryou@kr.kpmg.com</t>
  </si>
  <si>
    <t>황유진</t>
  </si>
  <si>
    <t>yhwang2@kr.kpmg.com</t>
  </si>
  <si>
    <t>김도형</t>
  </si>
  <si>
    <t>dkim213@kr.kpmg.com</t>
  </si>
  <si>
    <t>하창균</t>
  </si>
  <si>
    <t>changkyunha@kr.kpmg.com</t>
  </si>
  <si>
    <t>younglonglee@kr.kpmg.com</t>
  </si>
  <si>
    <t>skim40@kr.kpmg.com</t>
  </si>
  <si>
    <t>오헌창</t>
  </si>
  <si>
    <t>heonchangoh@kr.kpmg.com</t>
  </si>
  <si>
    <t>sangminnam@kr.kpmg.com</t>
  </si>
  <si>
    <t>sanghyunhan@kr.kpmg.com</t>
  </si>
  <si>
    <t>김영선</t>
  </si>
  <si>
    <t>ykim66@kr.kpmg.com</t>
  </si>
  <si>
    <t>최이현</t>
  </si>
  <si>
    <t>yeehyunchoi@kr.kpmg.com</t>
  </si>
  <si>
    <t>노정한</t>
  </si>
  <si>
    <t>jroh@kr.kpmg.com</t>
  </si>
  <si>
    <t>심진보</t>
  </si>
  <si>
    <t>jinboshim@kr.kpmg.com</t>
  </si>
  <si>
    <t>jkim139@kr.kpmg.com</t>
  </si>
  <si>
    <t>한송희</t>
  </si>
  <si>
    <t>shan9@kr.kpmg.com</t>
  </si>
  <si>
    <t>김대진</t>
  </si>
  <si>
    <t>dkim23@kr.kpmg.com</t>
  </si>
  <si>
    <t>juheejeong@kr.kpmg.com</t>
  </si>
  <si>
    <t>민대홍</t>
  </si>
  <si>
    <t>daehongmin@kr.kpmg.com</t>
  </si>
  <si>
    <t>정성규</t>
  </si>
  <si>
    <t>sungkyujung@kr.kpmg.com</t>
  </si>
  <si>
    <t>sehongchoi@kr.kpmg.com</t>
  </si>
  <si>
    <t>sangkeunlee@kr.kpmg.com</t>
  </si>
  <si>
    <t>정환욱</t>
  </si>
  <si>
    <t>hwanukjung@kr.kpmg.com</t>
  </si>
  <si>
    <t>이충기</t>
  </si>
  <si>
    <t>choongkilee@kr.kpmg.com</t>
  </si>
  <si>
    <t>안다영</t>
  </si>
  <si>
    <t>dayeongahn@kr.kpmg.com</t>
  </si>
  <si>
    <t>현승임</t>
  </si>
  <si>
    <t>shyun@kr.kpmg.com</t>
  </si>
  <si>
    <t>seungmikang@kr.kpmg.com</t>
  </si>
  <si>
    <t>이지원</t>
  </si>
  <si>
    <t>jeewonlee@kr.kpmg.com</t>
  </si>
  <si>
    <t>이재영</t>
  </si>
  <si>
    <t>jlee79@kr.kpmg.com</t>
  </si>
  <si>
    <t>jungkikim@kr.kpmg.com</t>
  </si>
  <si>
    <t>euijinkim@kr.kpmg.com</t>
  </si>
  <si>
    <t>mkim181@kr.kpmg.com</t>
  </si>
  <si>
    <t>yangkijung@kr.kpmg.com</t>
  </si>
  <si>
    <t>신준희</t>
  </si>
  <si>
    <t>juneheeshin@kr.kpmg.com</t>
  </si>
  <si>
    <t>clee46@kr.kpmg.com</t>
  </si>
  <si>
    <t>dongjunshin@kr.kpmg.com</t>
  </si>
  <si>
    <t>김민지</t>
  </si>
  <si>
    <t>mkim196@kr.kpmg.com</t>
  </si>
  <si>
    <t>minkyungro@kr.kpmg.com</t>
  </si>
  <si>
    <t>mbaek@kr.kpmg.com</t>
  </si>
  <si>
    <t>조윤기</t>
  </si>
  <si>
    <t>yungicho@kr.kpmg.com</t>
  </si>
  <si>
    <t>gleem@kr.kpmg.com</t>
  </si>
  <si>
    <t>jra@kr.kpmg.com</t>
  </si>
  <si>
    <t>suyeonkim@kr.kpmg.com</t>
  </si>
  <si>
    <t>백진주</t>
  </si>
  <si>
    <t>jinjubaek@kr.kpmg.com</t>
  </si>
  <si>
    <t>설하영</t>
  </si>
  <si>
    <t>hsul@kr.kpmg.com</t>
  </si>
  <si>
    <t>yseol@kr.kpmg.com</t>
  </si>
  <si>
    <t>ihwang7@kr.kpmg.com</t>
  </si>
  <si>
    <t>jungwookdo@kr.kpmg.com</t>
  </si>
  <si>
    <t>jooyounglee@kr.kpmg.com</t>
  </si>
  <si>
    <t>euiseongcheon@kr.kpmg.com</t>
  </si>
  <si>
    <t>손인수</t>
  </si>
  <si>
    <t>insooson@kr.kpmg.com</t>
  </si>
  <si>
    <t>이미현</t>
  </si>
  <si>
    <t>mihyeonlee@kr.kpmg.com</t>
  </si>
  <si>
    <t>이상원</t>
  </si>
  <si>
    <t>slee227@kr.kpmg.com</t>
  </si>
  <si>
    <t>안창범</t>
  </si>
  <si>
    <t>cahn@kr.kpmg.com</t>
  </si>
  <si>
    <t>yeontaekchoi@kr.kpmg.com</t>
  </si>
  <si>
    <t>신문철</t>
  </si>
  <si>
    <t>hkim108@kr.kpmg.com</t>
  </si>
  <si>
    <t>한민규</t>
  </si>
  <si>
    <t>mingyuhan@kr.kpmg.com</t>
  </si>
  <si>
    <t>yhyun@kr.kpmg.com</t>
  </si>
  <si>
    <t>siwookim@kr.kpmg.com</t>
  </si>
  <si>
    <t>오승재</t>
  </si>
  <si>
    <t>seungjaeoh@kr.kpmg.com</t>
  </si>
  <si>
    <t>ikchankim@kr.kpmg.com</t>
  </si>
  <si>
    <t>김신</t>
  </si>
  <si>
    <t>skim137@kr.kpmg.com</t>
  </si>
  <si>
    <t>sanghoroh@kr.kpmg.com</t>
  </si>
  <si>
    <t>전원표</t>
  </si>
  <si>
    <t>wjeon@kr.kpmg.com</t>
  </si>
  <si>
    <t>김성일</t>
  </si>
  <si>
    <t>seongilkim@kr.kpmg.com</t>
  </si>
  <si>
    <t>송기백</t>
  </si>
  <si>
    <t>gibaeksong@kr.kpmg.com</t>
  </si>
  <si>
    <t>hchung@kr.kpmg.com</t>
  </si>
  <si>
    <t>지가현</t>
  </si>
  <si>
    <t>gahyunji@kr.kpmg.com</t>
  </si>
  <si>
    <t>ychoi@kr.kpmg.com</t>
  </si>
  <si>
    <t>sungbaekim@kr.kpmg.com</t>
  </si>
  <si>
    <t>차용재</t>
  </si>
  <si>
    <t>ycha@kr.kpmg.com</t>
  </si>
  <si>
    <t>이종상</t>
  </si>
  <si>
    <t>jongsanglee@kr.kpmg.com</t>
  </si>
  <si>
    <t>정준영</t>
  </si>
  <si>
    <t>junyoungjung@kr.kpmg.com</t>
  </si>
  <si>
    <t>황서연</t>
  </si>
  <si>
    <t>seoyeonhwang@kr.kpmg.com</t>
  </si>
  <si>
    <t>이병관</t>
  </si>
  <si>
    <t>byeonggwalee@kr.kpmg.com</t>
  </si>
  <si>
    <t>joongkyukim@kr.kpmg.com</t>
  </si>
  <si>
    <t>yaehyeonkim@kr.kpmg.com</t>
  </si>
  <si>
    <t>jjoung@kr.kpmg.com</t>
  </si>
  <si>
    <t>jjung32@kr.kpmg.com</t>
  </si>
  <si>
    <t>ijo@kr.kpmg.com</t>
  </si>
  <si>
    <t>deokyeonglee@kr.kpmg.com</t>
  </si>
  <si>
    <t>jongkeunpark@kr.kpmg.com</t>
  </si>
  <si>
    <t>dchi@kr.kpmg.com</t>
  </si>
  <si>
    <t>hwasoocho@kr.kpmg.com</t>
  </si>
  <si>
    <t>이승윤</t>
  </si>
  <si>
    <t>slee309@kr.kpmg.com</t>
  </si>
  <si>
    <t>hyunminjang@kr.kpmg.com</t>
  </si>
  <si>
    <t>이상기</t>
  </si>
  <si>
    <t>sangkilee@kr.kpmg.com</t>
  </si>
  <si>
    <t>kyungsuklee@kr.kpmg.com</t>
  </si>
  <si>
    <t>jeongheehan@kr.kpmg.com</t>
  </si>
  <si>
    <t>juhm@kr.kpmg.com</t>
  </si>
  <si>
    <t>원영인</t>
  </si>
  <si>
    <t>younginwon@kr.kpmg.com</t>
  </si>
  <si>
    <t>차순석</t>
  </si>
  <si>
    <t>sunseokcha@kr.kpmg.com</t>
  </si>
  <si>
    <t>hjeon6@kr.kpmg.com</t>
  </si>
  <si>
    <t>ikang@kr.kpmg.com</t>
  </si>
  <si>
    <t>최민기</t>
  </si>
  <si>
    <t>minkichoi@kr.kpmg.com</t>
  </si>
  <si>
    <t>김다정</t>
  </si>
  <si>
    <t>dajungkim@kr.kpmg.com</t>
  </si>
  <si>
    <t>moonchulshin@kr.kpmg.com</t>
  </si>
  <si>
    <t>황기명</t>
  </si>
  <si>
    <t>gimyeonghwang@kr.kpmg.com</t>
  </si>
  <si>
    <t>jchung3@kr.kpmg.com</t>
  </si>
  <si>
    <t>안재영</t>
  </si>
  <si>
    <t>jahn6@kr.kpmg.com</t>
  </si>
  <si>
    <t>김현석</t>
  </si>
  <si>
    <t>hyunsukkim@kr.kpmg.com</t>
  </si>
  <si>
    <t>황현동</t>
  </si>
  <si>
    <t>hyundonghwang@kr.kpmg.com</t>
  </si>
  <si>
    <t>tkim@kr.kpmg.com</t>
  </si>
  <si>
    <t>dohyunkim@kr.kpmg.com</t>
  </si>
  <si>
    <t>황인찬</t>
  </si>
  <si>
    <t>inchanhwang@kr.kpmg.com</t>
  </si>
  <si>
    <t>윤호원</t>
  </si>
  <si>
    <t>howonyoon@kr.kpmg.com</t>
  </si>
  <si>
    <t>esong7@kr.kpmg.com</t>
  </si>
  <si>
    <t>kyunghopark@kr.kpmg.com</t>
  </si>
  <si>
    <t>이진호</t>
  </si>
  <si>
    <t>jinholee1@kr.kpmg.com</t>
  </si>
  <si>
    <t>신동명</t>
  </si>
  <si>
    <t>dongmyungshin@kr.kpmg.com</t>
  </si>
  <si>
    <t>구승회</t>
  </si>
  <si>
    <t>seunghoikoo@kr.kpmg.com</t>
  </si>
  <si>
    <t>junsikuhm@kr.kpmg.com</t>
  </si>
  <si>
    <t>박민용</t>
  </si>
  <si>
    <t>youngkigo@kr.kpmg.com</t>
  </si>
  <si>
    <t>sanghoonpark@kr.kpmg.com</t>
  </si>
  <si>
    <t>김소희</t>
  </si>
  <si>
    <t>skim106@kr.kpmg.com</t>
  </si>
  <si>
    <t>syeom@kr.kpmg.com</t>
  </si>
  <si>
    <t>이학범</t>
  </si>
  <si>
    <t>hakbeomlee@kr.kpmg.com</t>
  </si>
  <si>
    <t>차정웅</t>
  </si>
  <si>
    <t>jeongungcha@kr.kpmg.com</t>
  </si>
  <si>
    <t>정여지</t>
  </si>
  <si>
    <t>yeojijeong@kr.kpmg.com</t>
  </si>
  <si>
    <t>박철완</t>
  </si>
  <si>
    <t>chulwanpark@kr.kpmg.com</t>
  </si>
  <si>
    <t>이동윤</t>
  </si>
  <si>
    <t>dongyoonlee@kr.kpmg.com</t>
  </si>
  <si>
    <t>강대웅</t>
  </si>
  <si>
    <t>daewoongkang@kr.kpmg.com</t>
  </si>
  <si>
    <t>이주형</t>
  </si>
  <si>
    <t>juhyunglee@kr.kpmg.com</t>
  </si>
  <si>
    <t>김진목</t>
  </si>
  <si>
    <t>jinmokkim@kr.kpmg.com</t>
  </si>
  <si>
    <t>이규홍</t>
  </si>
  <si>
    <t>kyuhonglee1@kr.kpmg.com</t>
  </si>
  <si>
    <t>이종록</t>
  </si>
  <si>
    <t>jongroklee@kr.kpmg.com</t>
  </si>
  <si>
    <t>hochullee@kr.kpmg.com</t>
  </si>
  <si>
    <t>dongminkang@kr.kpmg.com</t>
  </si>
  <si>
    <t>이용호</t>
  </si>
  <si>
    <t>yongholee@kr.kpmg.com</t>
  </si>
  <si>
    <t>jyoo8@kr.kpmg.com</t>
  </si>
  <si>
    <t>jungsoopark@kr.kpmg.com</t>
  </si>
  <si>
    <t>jinyoungson@kr.kpmg.com</t>
  </si>
  <si>
    <t>유홍재</t>
  </si>
  <si>
    <t>hongjaeyoo@kr.kpmg.com</t>
  </si>
  <si>
    <t>이선화</t>
  </si>
  <si>
    <t>slee370@kr.kpmg.com</t>
  </si>
  <si>
    <t>김창민</t>
  </si>
  <si>
    <t>changminkim@kr.kpmg.com</t>
  </si>
  <si>
    <t>박홍민</t>
  </si>
  <si>
    <t>hongminpark@kr.kpmg.com</t>
  </si>
  <si>
    <t>김신영</t>
  </si>
  <si>
    <t>shinyoungkim@kr.kpmg.com</t>
  </si>
  <si>
    <t>kwanjongpark@kr.kpmg.com</t>
  </si>
  <si>
    <t>hjo@kr.kpmg.com</t>
  </si>
  <si>
    <t>changgiljung@kr.kpmg.com</t>
  </si>
  <si>
    <t>최성운</t>
  </si>
  <si>
    <t>sungwoonchoi@kr.kpmg.com</t>
  </si>
  <si>
    <t>한상일</t>
  </si>
  <si>
    <t>sangilhan@kr.kpmg.com</t>
  </si>
  <si>
    <t>박상화</t>
  </si>
  <si>
    <t>sanghwapark@kr.kpmg.com</t>
  </si>
  <si>
    <t>juhyungkim@kr.kpmg.com</t>
  </si>
  <si>
    <t>soh10@kr.kpmg.com</t>
  </si>
  <si>
    <t>smin@kr.kpmg.com</t>
  </si>
  <si>
    <t>주혜빈</t>
  </si>
  <si>
    <t>hyebinjoo@kr.kpmg.com</t>
  </si>
  <si>
    <t>박소영</t>
  </si>
  <si>
    <t>sangokpark@kr.kpmg.com</t>
  </si>
  <si>
    <t>김수광</t>
  </si>
  <si>
    <t>sukwangkim@kr.kpmg.com</t>
  </si>
  <si>
    <t>khwang@kr.kpmg.com</t>
  </si>
  <si>
    <t>jongwoolee@kr.kpmg.com</t>
  </si>
  <si>
    <t>kyuwonsong@kr.kpmg.com</t>
  </si>
  <si>
    <t>jpark75@kr.kpmg.com</t>
  </si>
  <si>
    <t>곽혜진</t>
  </si>
  <si>
    <t>hyejinkwak@kr.kpmg.com</t>
  </si>
  <si>
    <t>송지환</t>
  </si>
  <si>
    <t>강태훈</t>
  </si>
  <si>
    <t>taehoonkang@kr.kpmg.com</t>
  </si>
  <si>
    <t>skim197@kr.kpmg.com</t>
  </si>
  <si>
    <t>박정현</t>
  </si>
  <si>
    <t>jpark211@kr.kpmg.com</t>
  </si>
  <si>
    <t>hyunhojeon@kr.kpmg.com</t>
  </si>
  <si>
    <t>범승형</t>
  </si>
  <si>
    <t>sbeom@kr.kpmg.com</t>
  </si>
  <si>
    <t>허건웅</t>
  </si>
  <si>
    <t>khur@kr.kpmg.com</t>
  </si>
  <si>
    <t>허재훈</t>
  </si>
  <si>
    <t>jaehoonheo@kr.kpmg.com</t>
  </si>
  <si>
    <t>설원</t>
  </si>
  <si>
    <t>wonseol@kr.kpmg.com</t>
  </si>
  <si>
    <t>김지혜</t>
  </si>
  <si>
    <t>jkim520@kr.kpmg.com</t>
  </si>
  <si>
    <t>양진석</t>
  </si>
  <si>
    <t>jinseokyang@kr.kpmg.com</t>
  </si>
  <si>
    <t>sungwookkim@kr.kpmg.com</t>
  </si>
  <si>
    <t>신재성</t>
  </si>
  <si>
    <t>jaeseongshin@kr.kpmg.com</t>
  </si>
  <si>
    <t>장현옥</t>
  </si>
  <si>
    <t>hyeonokjang@kr.kpmg.com</t>
  </si>
  <si>
    <t>moonyoungkim@kr.kpmg.com</t>
  </si>
  <si>
    <t>skim125@kr.kpmg.com</t>
  </si>
  <si>
    <t>김영빈</t>
  </si>
  <si>
    <t>ykim184@kr.kpmg.com</t>
  </si>
  <si>
    <t>유준수</t>
  </si>
  <si>
    <t>junsuyoo@kr.kpmg.com</t>
  </si>
  <si>
    <t>jeonggukang@kr.kpmg.com</t>
  </si>
  <si>
    <t>유성희</t>
  </si>
  <si>
    <t>sungheeyoo@kr.kpmg.com</t>
  </si>
  <si>
    <t>신민경</t>
  </si>
  <si>
    <t>minkyungshin@kr.kpmg.com</t>
  </si>
  <si>
    <t>김재민</t>
  </si>
  <si>
    <t>jaeminkim@kr.kpmg.com</t>
  </si>
  <si>
    <t>정민주</t>
  </si>
  <si>
    <t>minjujeong@kr.kpmg.com</t>
  </si>
  <si>
    <t>강남현</t>
  </si>
  <si>
    <t>namhyunkang@kr.kpmg.com</t>
  </si>
  <si>
    <t>고세훈</t>
  </si>
  <si>
    <t>saehoonkoh@kr.kpmg.com</t>
  </si>
  <si>
    <t>yno@kr.kpmg.com</t>
  </si>
  <si>
    <t>mkim64@kr.kpmg.com</t>
  </si>
  <si>
    <t>서상석</t>
  </si>
  <si>
    <t>sangseokseo@kr.kpmg.com</t>
  </si>
  <si>
    <t>김혜진</t>
  </si>
  <si>
    <t>hkim23@kr.kpmg.com</t>
  </si>
  <si>
    <t>최지함</t>
  </si>
  <si>
    <t>jihamchoi@kr.kpmg.com</t>
  </si>
  <si>
    <t>부성호</t>
  </si>
  <si>
    <t>sunghobu@kr.kpmg.com</t>
  </si>
  <si>
    <t>박상진</t>
  </si>
  <si>
    <t>spark20@kr.kpmg.com</t>
  </si>
  <si>
    <t>박정훈</t>
  </si>
  <si>
    <t>jeonghoonpark@kr.kpmg.com</t>
  </si>
  <si>
    <t>seungheecho@kr.kpmg.com</t>
  </si>
  <si>
    <t>김보람</t>
  </si>
  <si>
    <t>bkim13@kr.kpmg.com</t>
  </si>
  <si>
    <t>이준엽</t>
  </si>
  <si>
    <t>junyeoblee@kr.kpmg.com</t>
  </si>
  <si>
    <t>이지은</t>
  </si>
  <si>
    <t>jlee532@kr.kpmg.com</t>
  </si>
  <si>
    <t>강희석</t>
  </si>
  <si>
    <t>heeseokkang@kr.kpmg.com</t>
  </si>
  <si>
    <t>이동훈</t>
  </si>
  <si>
    <t>dlee89@kr.kpmg.com</t>
  </si>
  <si>
    <t>지동준</t>
  </si>
  <si>
    <t>dongjoonchi@kr.kpmg.com</t>
  </si>
  <si>
    <t>김지은</t>
  </si>
  <si>
    <t>jkim258@kr.kpmg.com</t>
  </si>
  <si>
    <t>안재형</t>
  </si>
  <si>
    <t>jaehyoungan@kr.kpmg.com</t>
  </si>
  <si>
    <t>skim199@kr.kpmg.com</t>
  </si>
  <si>
    <t>최동선</t>
  </si>
  <si>
    <t>dongsunchoi@kr.kpmg.com</t>
  </si>
  <si>
    <t>최연</t>
  </si>
  <si>
    <t>yeounchoi@kr.kpmg.com</t>
  </si>
  <si>
    <t>김지윤</t>
  </si>
  <si>
    <t>jkim454@kr.kpmg.com</t>
  </si>
  <si>
    <t>최환희</t>
  </si>
  <si>
    <t>hwanhuichoi@kr.kpmg.com</t>
  </si>
  <si>
    <t>daejinkim@kr.kpmg.com</t>
  </si>
  <si>
    <t>김용관</t>
  </si>
  <si>
    <t>yongkwankim@kr.kpmg.com</t>
  </si>
  <si>
    <t>심지연</t>
  </si>
  <si>
    <t>jiyeonsim@kr.kpmg.com</t>
  </si>
  <si>
    <t>이석화</t>
  </si>
  <si>
    <t>seokhwalee@kr.kpmg.com</t>
  </si>
  <si>
    <t>김철영</t>
  </si>
  <si>
    <t>chulyoungkim@kr.kpmg.com</t>
  </si>
  <si>
    <t>유성재</t>
  </si>
  <si>
    <t>syoo7@kr.kpmg.com</t>
  </si>
  <si>
    <t>이규환</t>
  </si>
  <si>
    <t>gyuhwanlee@kr.kpmg.com</t>
  </si>
  <si>
    <t>김성환</t>
  </si>
  <si>
    <t>seonghwankim@kr.kpmg.com</t>
  </si>
  <si>
    <t>우승오</t>
  </si>
  <si>
    <t>seungohwoo@kr.kpmg.com</t>
  </si>
  <si>
    <t>sanghyunkang@kr.kpmg.com</t>
  </si>
  <si>
    <t>정용진</t>
  </si>
  <si>
    <t>yongjinjung@kr.kpmg.com</t>
  </si>
  <si>
    <t>문채영</t>
  </si>
  <si>
    <t>장영인</t>
  </si>
  <si>
    <t>younginchang@kr.kpmg.com</t>
  </si>
  <si>
    <t>안예은</t>
  </si>
  <si>
    <t>yeeunan@kr.kpmg.com</t>
  </si>
  <si>
    <t>이재현</t>
  </si>
  <si>
    <t>jlee567@kr.kpmg.com</t>
  </si>
  <si>
    <t>이정훈</t>
  </si>
  <si>
    <t>조한별</t>
  </si>
  <si>
    <t>hcho12@kr.kpmg.com</t>
  </si>
  <si>
    <t>조성은</t>
  </si>
  <si>
    <t>scho3@kr.kpmg.com</t>
  </si>
  <si>
    <t>전형숙</t>
  </si>
  <si>
    <t>hyoungsookjeon@kr.kpmg.com</t>
  </si>
  <si>
    <t>김건호</t>
  </si>
  <si>
    <t>gkim21@kr.kpmg.com</t>
  </si>
  <si>
    <t>고영민</t>
  </si>
  <si>
    <t>youngminko@kr.kpmg.com</t>
  </si>
  <si>
    <t>노성준</t>
  </si>
  <si>
    <t>sungjunroh@kr.kpmg.com</t>
  </si>
  <si>
    <t>박영훈</t>
  </si>
  <si>
    <t>ypark26@kr.kpmg.com</t>
  </si>
  <si>
    <t>김다희</t>
  </si>
  <si>
    <t>daheekim@kr.kpmg.com</t>
  </si>
  <si>
    <t>윤진현</t>
  </si>
  <si>
    <t>jyoon13@kr.kpmg.com</t>
  </si>
  <si>
    <t>한수림</t>
  </si>
  <si>
    <t>surimhan@kr.kpmg.com</t>
  </si>
  <si>
    <t>강다현</t>
  </si>
  <si>
    <t>dahyunkang@kr.kpmg.com</t>
  </si>
  <si>
    <t>장동민</t>
  </si>
  <si>
    <t>dongminjang@kr.kpmg.com</t>
  </si>
  <si>
    <t>배민주</t>
  </si>
  <si>
    <t>minjubae@kr.kpmg.com</t>
  </si>
  <si>
    <t>jaeyeonkim@kr.kpmg.com</t>
  </si>
  <si>
    <t>유은경</t>
  </si>
  <si>
    <t>차정환</t>
  </si>
  <si>
    <t>jeonghwancha@kr.kpmg.com</t>
  </si>
  <si>
    <t>차지영</t>
  </si>
  <si>
    <t>유동완</t>
  </si>
  <si>
    <t>dongwanyu@kr.kpmg.com</t>
  </si>
  <si>
    <t>이지환</t>
  </si>
  <si>
    <t>jlee322@kr.kpmg.com</t>
  </si>
  <si>
    <t>오경택</t>
  </si>
  <si>
    <t>koh1@kr.kpmg.com</t>
  </si>
  <si>
    <t>한형탁</t>
  </si>
  <si>
    <t>hyoungtakhan@kr.kpmg.com</t>
  </si>
  <si>
    <t>민상</t>
  </si>
  <si>
    <t>sangcheolmin@kr.kpmg.com</t>
  </si>
  <si>
    <t>이승섭</t>
  </si>
  <si>
    <t>seungseoplee@kr.kpmg.com</t>
  </si>
  <si>
    <t>최병열</t>
  </si>
  <si>
    <t>byungyulchoi@kr.kpmg.com</t>
  </si>
  <si>
    <t>노정탁</t>
  </si>
  <si>
    <t>jeongtaknoh@kr.kpmg.com</t>
  </si>
  <si>
    <t>권경선</t>
  </si>
  <si>
    <t>kyungsunkwon@kr.kpmg.com</t>
  </si>
  <si>
    <t>서이정</t>
  </si>
  <si>
    <t>leejeongseo@kr.kpmg.com</t>
  </si>
  <si>
    <t>이형석</t>
  </si>
  <si>
    <t>hlee118@kr.kpmg.com</t>
  </si>
  <si>
    <t>정의진</t>
  </si>
  <si>
    <t>euijinjeong@kr.kpmg.com</t>
  </si>
  <si>
    <t>sseo@kr.kpmg.com</t>
  </si>
  <si>
    <t>김찬주</t>
  </si>
  <si>
    <t>chanjukim@kr.kpmg.com</t>
  </si>
  <si>
    <t>조혜정</t>
  </si>
  <si>
    <t>hcho18@kr.kpmg.com</t>
  </si>
  <si>
    <t>한정우</t>
  </si>
  <si>
    <t>jungwoohan@kr.kpmg.com</t>
  </si>
  <si>
    <t>김윤아</t>
  </si>
  <si>
    <t>younakim@kr.kpmg.com</t>
  </si>
  <si>
    <t>권희경</t>
  </si>
  <si>
    <t>heekyoungkwon@kr.kpmg.com</t>
  </si>
  <si>
    <t>성소은</t>
  </si>
  <si>
    <t>soeunsung@kr.kpmg.com</t>
  </si>
  <si>
    <t>이건희</t>
  </si>
  <si>
    <t>glee36@kr.kpmg.com</t>
  </si>
  <si>
    <t>heejeonglee@kr.kpmg.com</t>
  </si>
  <si>
    <t>박이지</t>
  </si>
  <si>
    <t>yijipark@kr.kpmg.com</t>
  </si>
  <si>
    <t>장혜주</t>
  </si>
  <si>
    <t>hyejujang@kr.kpmg.com</t>
  </si>
  <si>
    <t>박동윤</t>
  </si>
  <si>
    <t>dongyoonpark@kr.kpmg.com</t>
  </si>
  <si>
    <t>박승현</t>
  </si>
  <si>
    <t>seunghyeonpark@kr.kpmg.com</t>
  </si>
  <si>
    <t>박범석</t>
  </si>
  <si>
    <t>bumseokpark@kr.kpmg.com</t>
  </si>
  <si>
    <t>dlee138@kr.kpmg.com</t>
  </si>
  <si>
    <t>조하람</t>
  </si>
  <si>
    <t>haramcho@kr.kpmg.com</t>
  </si>
  <si>
    <t>김동욱</t>
  </si>
  <si>
    <t>dkim77@kr.kpmg.com</t>
  </si>
  <si>
    <t>김봉한</t>
  </si>
  <si>
    <t>bonghankim@kr.kpmg.com</t>
  </si>
  <si>
    <t>youngbeomlim@kr.kpmg.com</t>
  </si>
  <si>
    <t>jjung28@kr.kpmg.com</t>
  </si>
  <si>
    <t>dlee136@kr.kpmg.com</t>
  </si>
  <si>
    <t>skim66@kr.kpmg.com</t>
  </si>
  <si>
    <t>김태연</t>
  </si>
  <si>
    <t>tkim140@kr.kpmg.com</t>
  </si>
  <si>
    <t>오윤근</t>
  </si>
  <si>
    <t>yoongeunoh@kr.kpmg.com</t>
  </si>
  <si>
    <t>한유정</t>
  </si>
  <si>
    <t>yoojunghan@kr.kpmg.com</t>
  </si>
  <si>
    <t>이병웅</t>
  </si>
  <si>
    <t>byeongunglee@kr.kpmg.com</t>
  </si>
  <si>
    <t>김민철</t>
  </si>
  <si>
    <t>mkim120@kr.kpmg.com</t>
  </si>
  <si>
    <t>이병욱</t>
  </si>
  <si>
    <t>byunguklee@kr.kpmg.com</t>
  </si>
  <si>
    <t>DPP - IT</t>
    <phoneticPr fontId="7" type="noConversion"/>
  </si>
  <si>
    <t>연락처</t>
    <phoneticPr fontId="7" type="noConversion"/>
  </si>
  <si>
    <t>moonchulshin@kr.kpmg.com</t>
    <phoneticPr fontId="7" type="noConversion"/>
  </si>
  <si>
    <t>매출은 SR이며, 비용도 샘플이 적어 효용없음</t>
    <phoneticPr fontId="7" type="noConversion"/>
  </si>
  <si>
    <t>seojungjung@kr.kpmg.com</t>
    <phoneticPr fontId="7" type="noConversion"/>
  </si>
  <si>
    <t>정서정</t>
    <phoneticPr fontId="7" type="noConversion"/>
  </si>
  <si>
    <t>이진호</t>
    <phoneticPr fontId="7" type="noConversion"/>
  </si>
  <si>
    <t>jinholee1@kr.kpmg.com</t>
    <phoneticPr fontId="7" type="noConversion"/>
  </si>
  <si>
    <t>어재용</t>
    <phoneticPr fontId="7" type="noConversion"/>
  </si>
  <si>
    <t>jeo@kr.kpmg.com</t>
    <phoneticPr fontId="7" type="noConversion"/>
  </si>
  <si>
    <t>박선정</t>
    <phoneticPr fontId="7" type="noConversion"/>
  </si>
  <si>
    <t>sunjeongpark@kr.kpmg.com</t>
    <phoneticPr fontId="7" type="noConversion"/>
  </si>
  <si>
    <t>박준현</t>
    <phoneticPr fontId="7" type="noConversion"/>
  </si>
  <si>
    <t>jpark77@kr.kpmg.com</t>
    <phoneticPr fontId="7" type="noConversion"/>
  </si>
  <si>
    <t>김익찬</t>
    <phoneticPr fontId="7" type="noConversion"/>
  </si>
  <si>
    <t>ikchankim@kr.kpmg.com</t>
    <phoneticPr fontId="7" type="noConversion"/>
  </si>
  <si>
    <t>위형길</t>
    <phoneticPr fontId="7" type="noConversion"/>
  </si>
  <si>
    <t>hyeonggilwi@kr.kpmg.com</t>
    <phoneticPr fontId="7" type="noConversion"/>
  </si>
  <si>
    <t>hyeokjunyang@kr.kpmg.com</t>
  </si>
  <si>
    <t>김유련</t>
    <phoneticPr fontId="7" type="noConversion"/>
  </si>
  <si>
    <t>yuryeonkim@kr.kpmg.com</t>
    <phoneticPr fontId="7" type="noConversion"/>
  </si>
  <si>
    <t>jegukseo@kr.kpmg.com</t>
    <phoneticPr fontId="7" type="noConversion"/>
  </si>
  <si>
    <t>서제국</t>
    <phoneticPr fontId="7" type="noConversion"/>
  </si>
  <si>
    <t>eyoo2@kr.kpmg.com</t>
    <phoneticPr fontId="7" type="noConversion"/>
  </si>
  <si>
    <t xml:space="preserve"> Industrial Products</t>
    <phoneticPr fontId="7" type="noConversion"/>
  </si>
  <si>
    <t xml:space="preserve">더존ERP10 </t>
    <phoneticPr fontId="7" type="noConversion"/>
  </si>
  <si>
    <t>이수정</t>
    <phoneticPr fontId="7" type="noConversion"/>
  </si>
  <si>
    <t>slee253@kr.kpmg.com</t>
    <phoneticPr fontId="7" type="noConversion"/>
  </si>
  <si>
    <t>현택근</t>
    <phoneticPr fontId="7" type="noConversion"/>
  </si>
  <si>
    <t>taekgeunhyun@kr.kpmg.com</t>
    <phoneticPr fontId="7" type="noConversion"/>
  </si>
  <si>
    <t>SAP</t>
    <phoneticPr fontId="7" type="noConversion"/>
  </si>
  <si>
    <t>Media</t>
    <phoneticPr fontId="7" type="noConversion"/>
  </si>
  <si>
    <t>최대 JE Line</t>
    <phoneticPr fontId="7" type="noConversion"/>
  </si>
  <si>
    <t>115.2.02
115.2.12b
115.2.13
115.3.01</t>
    <phoneticPr fontId="7" type="noConversion"/>
  </si>
  <si>
    <t>정진우</t>
    <phoneticPr fontId="7" type="noConversion"/>
  </si>
  <si>
    <t>jjung28@kr.kpmg.com</t>
    <phoneticPr fontId="7" type="noConversion"/>
  </si>
  <si>
    <t>jinhwanchoi@kr.kpmg.com</t>
    <phoneticPr fontId="7" type="noConversion"/>
  </si>
  <si>
    <t>최진환</t>
    <phoneticPr fontId="7" type="noConversion"/>
  </si>
  <si>
    <t>taesunpark@kr.kpmg.com</t>
    <phoneticPr fontId="7" type="noConversion"/>
  </si>
  <si>
    <t>junhyeoklee@kr.kpmg.com</t>
    <phoneticPr fontId="7" type="noConversion"/>
  </si>
  <si>
    <t>chaeyeongmoon@kr.kpmg.com</t>
    <phoneticPr fontId="7" type="noConversion"/>
  </si>
  <si>
    <t>위험하지 않은 전표들이 위험전표로 식별된 경우가 많음</t>
    <phoneticPr fontId="7" type="noConversion"/>
  </si>
  <si>
    <t>seoyoungchoi@kr.kpmg.com</t>
    <phoneticPr fontId="7" type="noConversion"/>
  </si>
  <si>
    <t>최서영</t>
    <phoneticPr fontId="7" type="noConversion"/>
  </si>
  <si>
    <t>정준영</t>
    <phoneticPr fontId="7" type="noConversion"/>
  </si>
  <si>
    <t>박승현</t>
    <phoneticPr fontId="7" type="noConversion"/>
  </si>
  <si>
    <t>junyoungjung@kr.kpmg.com</t>
    <phoneticPr fontId="7" type="noConversion"/>
  </si>
  <si>
    <t>seunghyunpark@kr.kpmg.com</t>
    <phoneticPr fontId="7" type="noConversion"/>
  </si>
  <si>
    <t>Automotive</t>
    <phoneticPr fontId="7" type="noConversion"/>
  </si>
  <si>
    <t>hweejaekim@kr.kpmg.com</t>
    <phoneticPr fontId="7" type="noConversion"/>
  </si>
  <si>
    <t>김휘재</t>
    <phoneticPr fontId="7" type="noConversion"/>
  </si>
  <si>
    <t>V</t>
    <phoneticPr fontId="7" type="noConversion"/>
  </si>
  <si>
    <t>jaejeongjeong@kr.kpmg.com</t>
    <phoneticPr fontId="7" type="noConversion"/>
  </si>
  <si>
    <t>정재정</t>
    <phoneticPr fontId="7" type="noConversion"/>
  </si>
  <si>
    <t>서비스(관리 용역) 산업
, 기술 지원 산업</t>
    <phoneticPr fontId="7" type="noConversion"/>
  </si>
  <si>
    <t>NEON</t>
    <phoneticPr fontId="7" type="noConversion"/>
  </si>
  <si>
    <t>김부성</t>
    <phoneticPr fontId="7" type="noConversion"/>
  </si>
  <si>
    <t>김승기</t>
    <phoneticPr fontId="7" type="noConversion"/>
  </si>
  <si>
    <t>boosungkim@kr.kpmg.com</t>
    <phoneticPr fontId="7" type="noConversion"/>
  </si>
  <si>
    <t>seungkikim@kr.kpmg.com</t>
    <phoneticPr fontId="7" type="noConversion"/>
  </si>
  <si>
    <t>tkim@kr.kpmg.com</t>
    <phoneticPr fontId="7" type="noConversion"/>
  </si>
  <si>
    <t>yulcheolpark@kr.kpmg.com</t>
    <phoneticPr fontId="7" type="noConversion"/>
  </si>
  <si>
    <t>임이랑</t>
    <phoneticPr fontId="7" type="noConversion"/>
  </si>
  <si>
    <t>Media</t>
    <phoneticPr fontId="7" type="noConversion"/>
  </si>
  <si>
    <t>SAP</t>
    <phoneticPr fontId="7" type="noConversion"/>
  </si>
  <si>
    <t>남태은</t>
    <phoneticPr fontId="7" type="noConversion"/>
  </si>
  <si>
    <t>석민재</t>
    <phoneticPr fontId="7" type="noConversion"/>
  </si>
  <si>
    <t>tnam1@kr.kpmg.com</t>
    <phoneticPr fontId="7" type="noConversion"/>
  </si>
  <si>
    <t>minjaeseok@kr.kpmg.com</t>
    <phoneticPr fontId="7" type="noConversion"/>
  </si>
  <si>
    <t>정병열</t>
    <phoneticPr fontId="7" type="noConversion"/>
  </si>
  <si>
    <t>네이버클라우드 주식회사</t>
    <phoneticPr fontId="7" type="noConversion"/>
  </si>
  <si>
    <t>분석 완료</t>
    <phoneticPr fontId="7" type="noConversion"/>
  </si>
  <si>
    <t>dlee87@kr.kpmg.com</t>
    <phoneticPr fontId="7" type="noConversion"/>
  </si>
  <si>
    <t>이동현</t>
    <phoneticPr fontId="7" type="noConversion"/>
  </si>
  <si>
    <t>이승훈</t>
    <phoneticPr fontId="7" type="noConversion"/>
  </si>
  <si>
    <t>slee336@kr.kpmg.com</t>
    <phoneticPr fontId="7" type="noConversion"/>
  </si>
  <si>
    <t>AITS사용이 비효율적이라고 판단</t>
    <phoneticPr fontId="7" type="noConversion"/>
  </si>
  <si>
    <t>이다은</t>
    <phoneticPr fontId="7" type="noConversion"/>
  </si>
  <si>
    <t>dlee134@kr.kpmg.com</t>
    <phoneticPr fontId="7" type="noConversion"/>
  </si>
  <si>
    <t>Services</t>
    <phoneticPr fontId="7" type="noConversion"/>
  </si>
  <si>
    <t>SAP</t>
    <phoneticPr fontId="7" type="noConversion"/>
  </si>
  <si>
    <t>jeonghoonpark@kr.kpmg.com</t>
    <phoneticPr fontId="7" type="noConversion"/>
  </si>
  <si>
    <t>최혁순</t>
    <phoneticPr fontId="7" type="noConversion"/>
  </si>
  <si>
    <t>헤일리온 코리아</t>
    <phoneticPr fontId="7" type="noConversion"/>
  </si>
  <si>
    <t>헤일리온코리아 FY25 외부감사</t>
    <phoneticPr fontId="7" type="noConversion"/>
  </si>
  <si>
    <t>이재영</t>
    <phoneticPr fontId="7" type="noConversion"/>
  </si>
  <si>
    <t>jlee79@kr.kpmg.com</t>
    <phoneticPr fontId="7" type="noConversion"/>
  </si>
  <si>
    <t>이종하</t>
    <phoneticPr fontId="7" type="noConversion"/>
  </si>
  <si>
    <t>jlee74@kr.kpmg.com</t>
    <phoneticPr fontId="7" type="noConversion"/>
  </si>
  <si>
    <t>강원재</t>
    <phoneticPr fontId="7" type="noConversion"/>
  </si>
  <si>
    <t>wonjaekang@kr.kpmg.com</t>
    <phoneticPr fontId="7" type="noConversion"/>
  </si>
  <si>
    <t>s</t>
    <phoneticPr fontId="7" type="noConversion"/>
  </si>
  <si>
    <t>V</t>
    <phoneticPr fontId="7" type="noConversion"/>
  </si>
  <si>
    <t>최준성</t>
    <phoneticPr fontId="7" type="noConversion"/>
  </si>
  <si>
    <t>jchoi13@kr.kpmg.com</t>
    <phoneticPr fontId="7" type="noConversion"/>
  </si>
  <si>
    <t>케이지스틸 주식회사</t>
    <phoneticPr fontId="7" type="noConversion"/>
  </si>
  <si>
    <t>2025년 KG스틸 회계감사</t>
    <phoneticPr fontId="7" type="noConversion"/>
  </si>
  <si>
    <t>Y</t>
    <phoneticPr fontId="7" type="noConversion"/>
  </si>
  <si>
    <t>노상호</t>
    <phoneticPr fontId="7" type="noConversion"/>
  </si>
  <si>
    <t>sanghoroh@kr.kpmg.com</t>
    <phoneticPr fontId="7" type="noConversion"/>
  </si>
  <si>
    <t>한정희</t>
    <phoneticPr fontId="7" type="noConversion"/>
  </si>
  <si>
    <t>jeongheehan@kr.kpmg.com</t>
    <phoneticPr fontId="7" type="noConversion"/>
  </si>
  <si>
    <t>이경석</t>
    <phoneticPr fontId="7" type="noConversion"/>
  </si>
  <si>
    <t>kyungsuklee@kr.kpmg.com</t>
    <phoneticPr fontId="7" type="noConversion"/>
  </si>
  <si>
    <t>Industrial products / Services</t>
    <phoneticPr fontId="7" type="noConversion"/>
  </si>
  <si>
    <t>영림원</t>
    <phoneticPr fontId="7" type="noConversion"/>
  </si>
  <si>
    <t>신주연</t>
    <phoneticPr fontId="7" type="noConversion"/>
  </si>
  <si>
    <t>juyeonshin@kr.kpmg.com</t>
    <phoneticPr fontId="7" type="noConversion"/>
  </si>
  <si>
    <t>채권상장</t>
    <phoneticPr fontId="7" type="noConversion"/>
  </si>
  <si>
    <t>기타 발전업</t>
    <phoneticPr fontId="7" type="noConversion"/>
  </si>
  <si>
    <t>Energy and Natural Resources</t>
    <phoneticPr fontId="7" type="noConversion"/>
  </si>
  <si>
    <t>SAP S/4 HANA</t>
    <phoneticPr fontId="7" type="noConversion"/>
  </si>
  <si>
    <t>sanghyunlee@kr.kpmg.com</t>
    <phoneticPr fontId="7" type="noConversion"/>
  </si>
  <si>
    <t>minyongpark@kr.kpmg.com</t>
    <phoneticPr fontId="7" type="noConversion"/>
  </si>
  <si>
    <t>의약품 도매업</t>
    <phoneticPr fontId="7" type="noConversion"/>
  </si>
  <si>
    <t>Consumer Products</t>
    <phoneticPr fontId="7" type="noConversion"/>
  </si>
  <si>
    <t>SAP</t>
    <phoneticPr fontId="7" type="noConversion"/>
  </si>
  <si>
    <t>김소희</t>
    <phoneticPr fontId="7" type="noConversion"/>
  </si>
  <si>
    <t>skim199@kr.kpmg.com</t>
    <phoneticPr fontId="7" type="noConversion"/>
  </si>
  <si>
    <t>조영진</t>
    <phoneticPr fontId="7" type="noConversion"/>
  </si>
  <si>
    <t>ycho14@kr.kpmg.com</t>
    <phoneticPr fontId="7" type="noConversion"/>
  </si>
  <si>
    <t>오재욱</t>
    <phoneticPr fontId="7" type="noConversion"/>
  </si>
  <si>
    <t>jaeukoh@kr.kpmg.com</t>
    <phoneticPr fontId="7" type="noConversion"/>
  </si>
  <si>
    <t>Life Sciences</t>
    <phoneticPr fontId="7" type="noConversion"/>
  </si>
  <si>
    <t>더존i-cube</t>
    <phoneticPr fontId="7" type="noConversion"/>
  </si>
  <si>
    <t>임도성</t>
    <phoneticPr fontId="7" type="noConversion"/>
  </si>
  <si>
    <t>박성범</t>
    <phoneticPr fontId="7" type="noConversion"/>
  </si>
  <si>
    <t>dosunglim@kr.kpmg.com</t>
    <phoneticPr fontId="7" type="noConversion"/>
  </si>
  <si>
    <t>seongbeompark@kr.kpmg.com</t>
    <phoneticPr fontId="7" type="noConversion"/>
  </si>
  <si>
    <t>SAP S/4 HANA</t>
    <phoneticPr fontId="7" type="noConversion"/>
  </si>
  <si>
    <t>Aviation / Services</t>
    <phoneticPr fontId="7" type="noConversion"/>
  </si>
  <si>
    <t>최병열</t>
    <phoneticPr fontId="7" type="noConversion"/>
  </si>
  <si>
    <t>byungyulchoi@kr.kpmg.com</t>
    <phoneticPr fontId="7" type="noConversion"/>
  </si>
  <si>
    <t>seulgibae@kr.kpmg.com</t>
    <phoneticPr fontId="7" type="noConversion"/>
  </si>
  <si>
    <t>배슬기</t>
    <phoneticPr fontId="7" type="noConversion"/>
  </si>
  <si>
    <t>ksong2@kr.kpmg.com</t>
    <phoneticPr fontId="7" type="noConversion"/>
  </si>
  <si>
    <t>송경현</t>
    <phoneticPr fontId="7" type="noConversion"/>
  </si>
  <si>
    <t>김범수</t>
    <phoneticPr fontId="7" type="noConversion"/>
  </si>
  <si>
    <t>beomsookim@kr.kpmg.com</t>
    <phoneticPr fontId="7" type="noConversion"/>
  </si>
  <si>
    <t>서지원</t>
    <phoneticPr fontId="7" type="noConversion"/>
  </si>
  <si>
    <t>jseo6@kr.kpmg.com</t>
    <phoneticPr fontId="7" type="noConversion"/>
  </si>
  <si>
    <t>성현식</t>
    <phoneticPr fontId="7" type="noConversion"/>
  </si>
  <si>
    <t>hyunsikseong@kr.kpmg.com</t>
    <phoneticPr fontId="7" type="noConversion"/>
  </si>
  <si>
    <t>soyoungpark@kr.kpmg.com</t>
    <phoneticPr fontId="7" type="noConversion"/>
  </si>
  <si>
    <t>유가증권</t>
    <phoneticPr fontId="7" type="noConversion"/>
  </si>
  <si>
    <t>냉간 압연 및 압출 제품 제조업</t>
    <phoneticPr fontId="7" type="noConversion"/>
  </si>
  <si>
    <t>Industrial Products</t>
    <phoneticPr fontId="7" type="noConversion"/>
  </si>
  <si>
    <t>SAP S/4 HANA</t>
    <phoneticPr fontId="7" type="noConversion"/>
  </si>
  <si>
    <t>SAP</t>
    <phoneticPr fontId="7" type="noConversion"/>
  </si>
  <si>
    <t>Services</t>
    <phoneticPr fontId="7" type="noConversion"/>
  </si>
  <si>
    <t>한효민</t>
    <phoneticPr fontId="7" type="noConversion"/>
  </si>
  <si>
    <t>hyominhan@kr.kpmg.com</t>
    <phoneticPr fontId="7" type="noConversion"/>
  </si>
  <si>
    <t>이재경</t>
    <phoneticPr fontId="7" type="noConversion"/>
  </si>
  <si>
    <t>jlee565@kr.kpmg.com</t>
    <phoneticPr fontId="7" type="noConversion"/>
  </si>
  <si>
    <t>박도훈</t>
    <phoneticPr fontId="7" type="noConversion"/>
  </si>
  <si>
    <t>조용경</t>
    <phoneticPr fontId="7" type="noConversion"/>
  </si>
  <si>
    <t>최현경</t>
    <phoneticPr fontId="7" type="noConversion"/>
  </si>
  <si>
    <t>백세인</t>
    <phoneticPr fontId="7" type="noConversion"/>
  </si>
  <si>
    <t>dohunpark@kr.kpmg.com</t>
    <phoneticPr fontId="7" type="noConversion"/>
  </si>
  <si>
    <t>yongkyungjo@kr.kpmg.com</t>
    <phoneticPr fontId="7" type="noConversion"/>
  </si>
  <si>
    <t>hyunkyungchoi@kr.kpmg.com</t>
    <phoneticPr fontId="7" type="noConversion"/>
  </si>
  <si>
    <t>sbaek7@kr.kpmg.com</t>
    <phoneticPr fontId="7" type="noConversion"/>
  </si>
  <si>
    <t>minkyungro@kr.kpmg.com</t>
    <phoneticPr fontId="7" type="noConversion"/>
  </si>
  <si>
    <t>V</t>
    <phoneticPr fontId="7" type="noConversion"/>
  </si>
  <si>
    <t>Retail</t>
    <phoneticPr fontId="7" type="noConversion"/>
  </si>
  <si>
    <t>SAP</t>
    <phoneticPr fontId="7" type="noConversion"/>
  </si>
  <si>
    <t>115.2.02
115.2.12b</t>
    <phoneticPr fontId="7" type="noConversion"/>
  </si>
  <si>
    <t>추상민</t>
    <phoneticPr fontId="7" type="noConversion"/>
  </si>
  <si>
    <t>sangminchoo@kr.kpmg.com</t>
    <phoneticPr fontId="7" type="noConversion"/>
  </si>
  <si>
    <t>저희 이니텍이 매출의 대부분이 진행매출로 이루어져 있으며, 매출이 SR로 식별되어 있어 AITS를 사용하지 않아도 될 것 같아 제외요청 드립니다.
또한, 매입의 경우에도 공급자가 청구한 금액에서 매월 기간 안분하여 매출원가를 인식하고 제외요청드립니다.</t>
    <phoneticPr fontId="7" type="noConversion"/>
  </si>
  <si>
    <t>김찬우</t>
    <phoneticPr fontId="7" type="noConversion"/>
  </si>
  <si>
    <t>허영환</t>
    <phoneticPr fontId="7" type="noConversion"/>
  </si>
  <si>
    <t>younghwanheo@kr.kpmg.com</t>
    <phoneticPr fontId="7" type="noConversion"/>
  </si>
  <si>
    <t>ckim21@kr.kpmg.com</t>
    <phoneticPr fontId="7" type="noConversion"/>
  </si>
  <si>
    <t>Industrial Products</t>
    <phoneticPr fontId="7" type="noConversion"/>
  </si>
  <si>
    <t>UniERP</t>
    <phoneticPr fontId="7" type="noConversion"/>
  </si>
  <si>
    <t>PCAOB에 해당하나 통제 의존하지 않음</t>
    <phoneticPr fontId="7" type="noConversion"/>
  </si>
  <si>
    <t>일반(FPI)</t>
    <phoneticPr fontId="7" type="noConversion"/>
  </si>
  <si>
    <t>Consumer Products</t>
    <phoneticPr fontId="7" type="noConversion"/>
  </si>
  <si>
    <t>더존 WEHAGO</t>
    <phoneticPr fontId="7" type="noConversion"/>
  </si>
  <si>
    <t>이진택</t>
    <phoneticPr fontId="7" type="noConversion"/>
  </si>
  <si>
    <t>jintaeklee@kr.kpmg.com</t>
    <phoneticPr fontId="7" type="noConversion"/>
  </si>
  <si>
    <t>[풍산시스템] 2025년 외부감사</t>
    <phoneticPr fontId="7" type="noConversion"/>
  </si>
  <si>
    <t>김주명</t>
    <phoneticPr fontId="7" type="noConversion"/>
  </si>
  <si>
    <t>jumyoungkim@kr.kpmg.com</t>
    <phoneticPr fontId="7" type="noConversion"/>
  </si>
  <si>
    <t>shan24@kr.kpmg.com</t>
    <phoneticPr fontId="7" type="noConversion"/>
  </si>
  <si>
    <t>최병열</t>
    <phoneticPr fontId="7" type="noConversion"/>
  </si>
  <si>
    <t>전민구</t>
    <phoneticPr fontId="7" type="noConversion"/>
  </si>
  <si>
    <t>손우진</t>
    <phoneticPr fontId="7" type="noConversion"/>
  </si>
  <si>
    <t>mjeon1@kr.kpmg.com</t>
    <phoneticPr fontId="7" type="noConversion"/>
  </si>
  <si>
    <t>wson2@kr.kpmg.com</t>
    <phoneticPr fontId="7" type="noConversion"/>
  </si>
  <si>
    <t>노영일</t>
    <phoneticPr fontId="7" type="noConversion"/>
  </si>
  <si>
    <t>yno@kr.kpmg.com</t>
    <phoneticPr fontId="7" type="noConversion"/>
  </si>
  <si>
    <t>한민우</t>
    <phoneticPr fontId="7" type="noConversion"/>
  </si>
  <si>
    <t>minwoohan@kr.kpmg.com</t>
    <phoneticPr fontId="7" type="noConversion"/>
  </si>
  <si>
    <t>김동역</t>
    <phoneticPr fontId="7" type="noConversion"/>
  </si>
  <si>
    <t>dongyeokkim@kr.kpmg.com</t>
    <phoneticPr fontId="7" type="noConversion"/>
  </si>
  <si>
    <t>백인호</t>
    <phoneticPr fontId="7" type="noConversion"/>
  </si>
  <si>
    <t>ibaek1@kr.kpmg.com</t>
    <phoneticPr fontId="7" type="noConversion"/>
  </si>
  <si>
    <t>Industrial Products / Construction</t>
    <phoneticPr fontId="7" type="noConversion"/>
  </si>
  <si>
    <t>SAP</t>
    <phoneticPr fontId="7" type="noConversion"/>
  </si>
  <si>
    <t>X</t>
    <phoneticPr fontId="7" type="noConversion"/>
  </si>
  <si>
    <t>Industrial Products</t>
    <phoneticPr fontId="7" type="noConversion"/>
  </si>
  <si>
    <t>Uni ERP</t>
    <phoneticPr fontId="7" type="noConversion"/>
  </si>
  <si>
    <t>Technology, Industrial Products</t>
    <phoneticPr fontId="7" type="noConversion"/>
  </si>
  <si>
    <t>ERP PLUS(자체개발)</t>
    <phoneticPr fontId="7" type="noConversion"/>
  </si>
  <si>
    <t>Services</t>
    <phoneticPr fontId="7" type="noConversion"/>
  </si>
  <si>
    <t>시노코시스템(자체개발ERP)</t>
    <phoneticPr fontId="7" type="noConversion"/>
  </si>
  <si>
    <t>이다연</t>
    <phoneticPr fontId="7" type="noConversion"/>
  </si>
  <si>
    <t>dlee132@kr.kpmg.com</t>
    <phoneticPr fontId="7" type="noConversion"/>
  </si>
  <si>
    <t>V</t>
    <phoneticPr fontId="7" type="noConversion"/>
  </si>
  <si>
    <t>정희주</t>
    <phoneticPr fontId="7" type="noConversion"/>
  </si>
  <si>
    <t>heejujung@kr.kpmg.com</t>
    <phoneticPr fontId="7" type="noConversion"/>
  </si>
  <si>
    <t>hyunjeongsong@kr.kpmg.com</t>
  </si>
  <si>
    <t>송현정</t>
  </si>
  <si>
    <t>115.2.02</t>
    <phoneticPr fontId="7" type="noConversion"/>
  </si>
  <si>
    <t>Technology</t>
    <phoneticPr fontId="7" type="noConversion"/>
  </si>
  <si>
    <t>SAP</t>
    <phoneticPr fontId="7" type="noConversion"/>
  </si>
  <si>
    <t>김경우</t>
    <phoneticPr fontId="7" type="noConversion"/>
  </si>
  <si>
    <t>kkim94@kr.kpmg.com</t>
    <phoneticPr fontId="7" type="noConversion"/>
  </si>
  <si>
    <t>FY25 네이버 클라우드 외부감사업무</t>
  </si>
  <si>
    <t>SK텔레콤㈜</t>
    <phoneticPr fontId="7" type="noConversion"/>
  </si>
  <si>
    <t>SK Telecom FY25 integrated audit</t>
    <phoneticPr fontId="7" type="noConversion"/>
  </si>
  <si>
    <t>강인혜</t>
    <phoneticPr fontId="7" type="noConversion"/>
  </si>
  <si>
    <t>ikang@kr.kpmg.com</t>
    <phoneticPr fontId="7" type="noConversion"/>
  </si>
  <si>
    <t>강진제</t>
    <phoneticPr fontId="7" type="noConversion"/>
  </si>
  <si>
    <t>jinjaekang@kr.kpmg.com</t>
    <phoneticPr fontId="7" type="noConversion"/>
  </si>
  <si>
    <t>박성배</t>
    <phoneticPr fontId="7" type="noConversion"/>
  </si>
  <si>
    <t>이태형</t>
    <phoneticPr fontId="7" type="noConversion"/>
  </si>
  <si>
    <t>taehyunglee@kr.kpmg.com</t>
    <phoneticPr fontId="7" type="noConversion"/>
  </si>
  <si>
    <t>박광우</t>
    <phoneticPr fontId="7" type="noConversion"/>
  </si>
  <si>
    <t>kwangwoopark@kr.kpmg.com</t>
    <phoneticPr fontId="7" type="noConversion"/>
  </si>
  <si>
    <t>고동우</t>
    <phoneticPr fontId="7" type="noConversion"/>
  </si>
  <si>
    <t>dongwooko@kr.kpmg.com</t>
    <phoneticPr fontId="7" type="noConversion"/>
  </si>
  <si>
    <t>임헌상</t>
    <phoneticPr fontId="7" type="noConversion"/>
  </si>
  <si>
    <t>heonsanglim@kr.kpmg.com</t>
    <phoneticPr fontId="7" type="noConversion"/>
  </si>
  <si>
    <t>에스엠엔터테인먼트_FY2025_외부감사</t>
  </si>
  <si>
    <t>성치훈</t>
    <phoneticPr fontId="7" type="noConversion"/>
  </si>
  <si>
    <t>chihoonsung@kr.kpmg.com</t>
    <phoneticPr fontId="7" type="noConversion"/>
  </si>
  <si>
    <t>박소윤</t>
    <phoneticPr fontId="7" type="noConversion"/>
  </si>
  <si>
    <t>soyunpark@kr.kpmg.com</t>
    <phoneticPr fontId="7" type="noConversion"/>
  </si>
  <si>
    <t>제품산업</t>
    <phoneticPr fontId="7" type="noConversion"/>
  </si>
  <si>
    <t>D365</t>
    <phoneticPr fontId="7" type="noConversion"/>
  </si>
  <si>
    <t>정선우</t>
    <phoneticPr fontId="7" type="noConversion"/>
  </si>
  <si>
    <t>이정우</t>
    <phoneticPr fontId="7" type="noConversion"/>
  </si>
  <si>
    <t>sunwoojung@kr.kpmg.com</t>
    <phoneticPr fontId="7" type="noConversion"/>
  </si>
  <si>
    <t>jlee445@kr.kpmg.com</t>
    <phoneticPr fontId="7" type="noConversion"/>
  </si>
  <si>
    <t>25년 송원산업 지정감사</t>
  </si>
  <si>
    <t>115.2.02
115.2.13
115.2.12b
115.3.01</t>
    <phoneticPr fontId="7" type="noConversion"/>
  </si>
  <si>
    <t>문형준</t>
    <phoneticPr fontId="7" type="noConversion"/>
  </si>
  <si>
    <t>hmoon2@kr.kpmg.com</t>
    <phoneticPr fontId="7" type="noConversion"/>
  </si>
  <si>
    <t>FY25 네이버 외부감사</t>
  </si>
  <si>
    <t>FY2025_SK네트웍스_법정감사</t>
  </si>
  <si>
    <t>[팬오션] FY25 외부감사 (주기적 지정)</t>
  </si>
  <si>
    <t>FY2025 하이트진로 주식회사 외부감사</t>
  </si>
  <si>
    <t>GSC FY25 회계감사</t>
  </si>
  <si>
    <t>크래프톤 FY25 외부감사</t>
  </si>
  <si>
    <t>엔씨소프트_FY25_외부감사</t>
  </si>
  <si>
    <t>FY2025 엘지헬로비전 외부감사</t>
  </si>
  <si>
    <t>FY25 이노션 외부감사(주기적지정)</t>
  </si>
  <si>
    <t>[대한전선] FY2025 지정감사</t>
  </si>
  <si>
    <t>FY25 펄어비스 외부감사</t>
  </si>
  <si>
    <t>에스에스지닷컴_FY2025_지정감사</t>
  </si>
  <si>
    <t>FY25_한국남부발전_외부감사</t>
  </si>
  <si>
    <t>동원F&amp;B_외부감사_FY25</t>
  </si>
  <si>
    <t>FY25_산타클로스ENT_지정감사</t>
  </si>
  <si>
    <t>SK쉴더스_외부감사_FY2025</t>
  </si>
  <si>
    <t>SK케미칼 2025년 지정감사</t>
  </si>
  <si>
    <t>웹젠 FY2025 외부감사</t>
  </si>
  <si>
    <t>2025년 무림페이퍼 법정감사</t>
  </si>
  <si>
    <t>2025년 무림피앤피 법정감사</t>
  </si>
  <si>
    <t>[한화갤러리아] FY2025 외부감사</t>
  </si>
  <si>
    <t>[HDC현대EP] FY2025 지정감사</t>
  </si>
  <si>
    <t>삼성바이오에피스 25년 외부감사</t>
  </si>
  <si>
    <t>2025년 대한화섬 회계감사</t>
  </si>
  <si>
    <t>다우기술 2025년 외부감사</t>
  </si>
  <si>
    <t>에스티팜 외부감사_FY25</t>
  </si>
  <si>
    <t>FY2025 코맥스 지정감사(2/3)</t>
  </si>
  <si>
    <t>FY25 켐트로닉스 외부감사</t>
  </si>
  <si>
    <t>티케이지휴켐스 외부감사 FY25</t>
  </si>
  <si>
    <t>[동국제약] FY2025 외부감사</t>
  </si>
  <si>
    <t>빛과전자 FY25 지정감사</t>
  </si>
  <si>
    <t>2025 에스텍 외부감사</t>
  </si>
  <si>
    <t>FY2025 네이버파이낸셜 외부감사</t>
  </si>
  <si>
    <t>FY2025 제이와이피엔터테인먼트(2/3)</t>
  </si>
  <si>
    <t>제이앤티씨_외부감사_FY25</t>
  </si>
  <si>
    <t>다우데이타 FY2025 외부감사</t>
  </si>
  <si>
    <t>FY25 코오롱모빌리티그룹 외부감사</t>
  </si>
  <si>
    <t>FY2025 코나아이 외부감사</t>
  </si>
  <si>
    <t>FY25 삼성메디슨 외부감사</t>
  </si>
  <si>
    <t>[흥아해운] FY2025 외부감사</t>
  </si>
  <si>
    <t>FY25 세코닉스 외부감사</t>
  </si>
  <si>
    <t>FY2025 뉴프렉스 외부감사(지정)</t>
  </si>
  <si>
    <t>FY25 한일화학공업 회계감사</t>
  </si>
  <si>
    <t>에치에프알_25년 회계감사(지정)</t>
  </si>
  <si>
    <t>위메이드플레이 FY25 외부감사</t>
  </si>
  <si>
    <t>하이즈항공_FY2025_외부(지정)감사</t>
  </si>
  <si>
    <t>드림어스컴퍼니_FY2025_외부감사</t>
  </si>
  <si>
    <t>FY25 삼성전자서비스 외부감사</t>
  </si>
  <si>
    <t>현우산업 FY2025 외부감사</t>
  </si>
  <si>
    <t>[세라젬] FY2025 외부감사</t>
  </si>
  <si>
    <t>(주)동원홈푸드 외부감사_FY25</t>
  </si>
  <si>
    <t>우주일렉트로닉스 2025년 외부감사</t>
  </si>
  <si>
    <t>에이치엘비바이오스텝_외부감사_FY25</t>
  </si>
  <si>
    <t>FY2025 전진바이오팜 외부감사</t>
  </si>
  <si>
    <t>헤일리온코리아 FY25 외부감사</t>
  </si>
  <si>
    <t>2025년 KG스틸 회계감사</t>
  </si>
  <si>
    <t>이동준</t>
    <phoneticPr fontId="7" type="noConversion"/>
  </si>
  <si>
    <t>dlee138@kr.kpmg.com</t>
    <phoneticPr fontId="7" type="noConversion"/>
  </si>
  <si>
    <t>구분</t>
    <phoneticPr fontId="7" type="noConversion"/>
  </si>
  <si>
    <t>Eng Name</t>
    <phoneticPr fontId="7" type="noConversion"/>
  </si>
  <si>
    <t>Name</t>
    <phoneticPr fontId="7" type="noConversion"/>
  </si>
  <si>
    <t>Email</t>
    <phoneticPr fontId="7" type="noConversion"/>
  </si>
  <si>
    <t>진현욱</t>
    <phoneticPr fontId="7" type="noConversion"/>
  </si>
  <si>
    <t>임상진</t>
    <phoneticPr fontId="7" type="noConversion"/>
  </si>
  <si>
    <t>sangjinim@kr.kpmg.com</t>
    <phoneticPr fontId="7" type="noConversion"/>
  </si>
  <si>
    <t>hyunwookjin@kr.kpmg.com</t>
    <phoneticPr fontId="7" type="noConversion"/>
  </si>
  <si>
    <t>jongsunam@kr.kpmg.com</t>
    <phoneticPr fontId="7" type="noConversion"/>
  </si>
  <si>
    <t>Oracle</t>
    <phoneticPr fontId="7" type="noConversion"/>
  </si>
  <si>
    <t>Services</t>
    <phoneticPr fontId="7" type="noConversion"/>
  </si>
  <si>
    <t>이정훈</t>
    <phoneticPr fontId="7" type="noConversion"/>
  </si>
  <si>
    <t>jlee520@kr.kpmg.com</t>
    <phoneticPr fontId="7" type="noConversion"/>
  </si>
  <si>
    <t>네이버 주식회사</t>
  </si>
  <si>
    <t>2Q_FY25 네이버 외부감사</t>
    <phoneticPr fontId="7" type="noConversion"/>
  </si>
  <si>
    <t>3Q_[아시아나항공] 2025년 지정 감사</t>
    <phoneticPr fontId="7" type="noConversion"/>
  </si>
  <si>
    <t>3Q</t>
    <phoneticPr fontId="7" type="noConversion"/>
  </si>
  <si>
    <t>2025-01-01 ~ 2025-09-30</t>
    <phoneticPr fontId="20" type="noConversion"/>
  </si>
  <si>
    <t>2Q</t>
    <phoneticPr fontId="7" type="noConversion"/>
  </si>
  <si>
    <t>2Q_삼성바이오로직스 외부감사_FY25</t>
    <phoneticPr fontId="20" type="noConversion"/>
  </si>
  <si>
    <t>Gross activity(ABS)</t>
    <phoneticPr fontId="20" type="noConversion"/>
  </si>
  <si>
    <t>SK 네트웍스 ㈜</t>
  </si>
  <si>
    <t>2Q_FY2025_SK네트웍스_법정감사</t>
    <phoneticPr fontId="20" type="noConversion"/>
  </si>
  <si>
    <t>하이트진로 ㈜</t>
  </si>
  <si>
    <t>크래프톤</t>
  </si>
  <si>
    <t>2Q_크래프톤 FY25 외부감사</t>
    <phoneticPr fontId="20" type="noConversion"/>
  </si>
  <si>
    <t xml:space="preserve"> FY25_제일기획_Y1B0(KRW)</t>
    <phoneticPr fontId="20" type="noConversion"/>
  </si>
  <si>
    <t>FY25.2Q_제일기획_Y1B0(KRW)</t>
    <phoneticPr fontId="20" type="noConversion"/>
  </si>
  <si>
    <t>FY25_제일기획_Y2Z1(JPY)</t>
    <phoneticPr fontId="20" type="noConversion"/>
  </si>
  <si>
    <t>FY25.2Q_제일기획_Y2Z1(JPY)</t>
    <phoneticPr fontId="20" type="noConversion"/>
  </si>
  <si>
    <t>FY25.2Q_제일기획_Y7Z2(SAR)</t>
    <phoneticPr fontId="20" type="noConversion"/>
  </si>
  <si>
    <t>FY2025 2Q 현대백화점</t>
    <phoneticPr fontId="20" type="noConversion"/>
  </si>
  <si>
    <t>케이지모빌리티㈜</t>
  </si>
  <si>
    <t>2Q_FY25 KG 모빌리티_지정감사</t>
    <phoneticPr fontId="20" type="noConversion"/>
  </si>
  <si>
    <t>엘앤에프 FY25 지정감사</t>
    <phoneticPr fontId="20" type="noConversion"/>
  </si>
  <si>
    <t>2Q_엘앤에프 FY25 지정감사</t>
    <phoneticPr fontId="20" type="noConversion"/>
  </si>
  <si>
    <t>(주)엔씨소프트</t>
  </si>
  <si>
    <t>2Q_엔씨소프트_FY25_외부감사</t>
    <phoneticPr fontId="20" type="noConversion"/>
  </si>
  <si>
    <t>송원산업㈜</t>
  </si>
  <si>
    <t>2Q_25년 송원산업 지정감사</t>
    <phoneticPr fontId="20" type="noConversion"/>
  </si>
  <si>
    <t>(주)엘지헬로비전</t>
  </si>
  <si>
    <t>3Q_FY2025 엘지헬로비전 외부감사</t>
    <phoneticPr fontId="20" type="noConversion"/>
  </si>
  <si>
    <t>주식회사 이노션</t>
  </si>
  <si>
    <t>2Q_FY25 이노션 외부감사(주기적지정)</t>
    <phoneticPr fontId="20" type="noConversion"/>
  </si>
  <si>
    <t>대한전선 ㈜</t>
  </si>
  <si>
    <t>2Q_[대한전선] FY2025 지정감사</t>
    <phoneticPr fontId="20" type="noConversion"/>
  </si>
  <si>
    <t>주식회사펄어비스</t>
  </si>
  <si>
    <t>2Q_FY25 펄어비스 외부감사</t>
    <phoneticPr fontId="20" type="noConversion"/>
  </si>
  <si>
    <t>㈜에스엠엔터테인먼트</t>
  </si>
  <si>
    <t>2Q_에스엠엔터테인먼트_FY2025_외부감사</t>
    <phoneticPr fontId="20" type="noConversion"/>
  </si>
  <si>
    <t>주식회사 에스에스지닷컴</t>
  </si>
  <si>
    <t>2Q_에스에스지닷컴_FY2025_지정감사</t>
    <phoneticPr fontId="20" type="noConversion"/>
  </si>
  <si>
    <t>한국남부발전주식회사</t>
  </si>
  <si>
    <t>2Q_FY25_한국남부발전_외부감사</t>
    <phoneticPr fontId="20" type="noConversion"/>
  </si>
  <si>
    <t>(주)동원에프앤비</t>
  </si>
  <si>
    <t>2Q_동원F&amp;B_외부감사_FY25</t>
    <phoneticPr fontId="20" type="noConversion"/>
  </si>
  <si>
    <t>(주)스튜디오 산타클로스 엔터테인먼트</t>
  </si>
  <si>
    <t>2Q_FY25_산타클로스ENT_지정감사</t>
    <phoneticPr fontId="20" type="noConversion"/>
  </si>
  <si>
    <t xml:space="preserve">에스케이쉴더스(주) </t>
  </si>
  <si>
    <t>2Q_남해화학 FY2025 외부감사</t>
    <phoneticPr fontId="20" type="noConversion"/>
  </si>
  <si>
    <t>2Q_SK쉴더스_외부감사_FY2025</t>
    <phoneticPr fontId="20" type="noConversion"/>
  </si>
  <si>
    <t>웹젠</t>
  </si>
  <si>
    <t>2Q_웹젠 FY2025 외부감사</t>
    <phoneticPr fontId="20" type="noConversion"/>
  </si>
  <si>
    <t xml:space="preserve">무림페이퍼(주) </t>
  </si>
  <si>
    <t>2Q_2025년 무림페이퍼 법정감사</t>
    <phoneticPr fontId="20" type="noConversion"/>
  </si>
  <si>
    <t>무림피앤피㈜</t>
  </si>
  <si>
    <t>2Q_2025년 무림피앤피 법정감사</t>
    <phoneticPr fontId="20" type="noConversion"/>
  </si>
  <si>
    <t xml:space="preserve">한화갤러리아 (주) </t>
  </si>
  <si>
    <t xml:space="preserve">에이치디씨현대이피 주식회사 </t>
  </si>
  <si>
    <t>2Q_[HDC현대EP] FY2025 지정감사</t>
    <phoneticPr fontId="20" type="noConversion"/>
  </si>
  <si>
    <t>삼성바이오에피스 주식회사</t>
  </si>
  <si>
    <t>2Q_삼성바이오에피스 25년 외부감사</t>
    <phoneticPr fontId="20" type="noConversion"/>
  </si>
  <si>
    <t xml:space="preserve">대한화섬(주) </t>
  </si>
  <si>
    <t xml:space="preserve">(주)다우기술 </t>
  </si>
  <si>
    <t>다우기술 2025년 외부감사_2Q</t>
    <phoneticPr fontId="20" type="noConversion"/>
  </si>
  <si>
    <t xml:space="preserve">에스티팜 주식회사 </t>
  </si>
  <si>
    <t>2Q_에스티팜 외부감사_FY25</t>
    <phoneticPr fontId="20" type="noConversion"/>
  </si>
  <si>
    <t xml:space="preserve">주식회사 코맥스 </t>
  </si>
  <si>
    <t xml:space="preserve">주식회사켐트로닉스 </t>
  </si>
  <si>
    <t>2Q_FY25 켐트로닉스 외부감사</t>
    <phoneticPr fontId="20" type="noConversion"/>
  </si>
  <si>
    <t xml:space="preserve">티케이지휴켐스(주) </t>
  </si>
  <si>
    <t>2Q_티케이지휴켐스 외부감사 FY25</t>
    <phoneticPr fontId="20" type="noConversion"/>
  </si>
  <si>
    <t xml:space="preserve">동국제약 (주) </t>
  </si>
  <si>
    <t xml:space="preserve">(주)빛과전자 </t>
  </si>
  <si>
    <t>2Q_빛과전자 FY25 지정감사</t>
    <phoneticPr fontId="20" type="noConversion"/>
  </si>
  <si>
    <t xml:space="preserve">에스텍 주식회사 </t>
  </si>
  <si>
    <t>2025 에스텍 외부감사_2Q</t>
    <phoneticPr fontId="20" type="noConversion"/>
  </si>
  <si>
    <t xml:space="preserve">네이버파이낸셜 주식회사 </t>
  </si>
  <si>
    <t>FY2025 네이버파이낸셜 외부감사_2Q</t>
    <phoneticPr fontId="20" type="noConversion"/>
  </si>
  <si>
    <t>(주)제이와이피엔터테인먼트</t>
  </si>
  <si>
    <t>2Q_FY2025 제이와이피엔터테인먼트</t>
    <phoneticPr fontId="20" type="noConversion"/>
  </si>
  <si>
    <t xml:space="preserve">제이앤티씨 </t>
  </si>
  <si>
    <t>제이앤티씨_외부감사_FY25_2Q</t>
    <phoneticPr fontId="20" type="noConversion"/>
  </si>
  <si>
    <t>네이버클라우드 주식회사</t>
  </si>
  <si>
    <t>2Q_FY25 네이버 클라우드 외부감사업무</t>
    <phoneticPr fontId="20" type="noConversion"/>
  </si>
  <si>
    <t xml:space="preserve">(주)다우데이타 </t>
  </si>
  <si>
    <t>다우데이타 FY2025 외부감사_2Q</t>
    <phoneticPr fontId="20" type="noConversion"/>
  </si>
  <si>
    <t xml:space="preserve">코오롱모빌리티그룹 주식회사 </t>
  </si>
  <si>
    <t>2Q_FY25 코오롱모빌리티그룹 외부감사</t>
    <phoneticPr fontId="20" type="noConversion"/>
  </si>
  <si>
    <t>코나아이㈜</t>
  </si>
  <si>
    <t>2Q_FY2025 코나아이 외부감사</t>
    <phoneticPr fontId="20" type="noConversion"/>
  </si>
  <si>
    <t xml:space="preserve">삼성메디슨 주식회사 </t>
  </si>
  <si>
    <t>2Q_FY25 삼성메디슨 외부감사</t>
    <phoneticPr fontId="20" type="noConversion"/>
  </si>
  <si>
    <t xml:space="preserve">흥아해운 (주) </t>
  </si>
  <si>
    <t>3Q_[흥아해운] FY2025 외부감사</t>
    <phoneticPr fontId="20" type="noConversion"/>
  </si>
  <si>
    <t>3Q</t>
    <phoneticPr fontId="20" type="noConversion"/>
  </si>
  <si>
    <t xml:space="preserve">(주)세코닉스 </t>
  </si>
  <si>
    <t>2Q_FY25 세코닉스 외부감사</t>
    <phoneticPr fontId="20" type="noConversion"/>
  </si>
  <si>
    <t>(주)뉴프렉스</t>
  </si>
  <si>
    <t>2Q_FY2025 뉴프렉스 외부감사(지정)</t>
    <phoneticPr fontId="20" type="noConversion"/>
  </si>
  <si>
    <t>한일화학공업(주)</t>
  </si>
  <si>
    <t>2Q_FY25 한일화학공업 회계감사</t>
    <phoneticPr fontId="20" type="noConversion"/>
  </si>
  <si>
    <t>(주)에치에프알</t>
  </si>
  <si>
    <t>2Q_에치에프알_25년 회계감사(지정)</t>
    <phoneticPr fontId="20" type="noConversion"/>
  </si>
  <si>
    <t xml:space="preserve">하이즈항공 주식회사 </t>
  </si>
  <si>
    <t>2Q_하이즈항공_FY2025_외부(지정)감사</t>
    <phoneticPr fontId="20" type="noConversion"/>
  </si>
  <si>
    <t xml:space="preserve">(주)드림어스컴퍼니 </t>
  </si>
  <si>
    <t>2Q_드림어스컴퍼니_FY2025_외부감사</t>
    <phoneticPr fontId="20" type="noConversion"/>
  </si>
  <si>
    <t xml:space="preserve">삼성전자서비스주식회사 </t>
  </si>
  <si>
    <t>FY25 삼성전자서비스 외부감사_2Q</t>
    <phoneticPr fontId="20" type="noConversion"/>
  </si>
  <si>
    <t xml:space="preserve">현우산업 주식회사 </t>
  </si>
  <si>
    <t>2Q_현우산업 FY2025 외부감사</t>
    <phoneticPr fontId="20" type="noConversion"/>
  </si>
  <si>
    <t xml:space="preserve">(주) 세라젬 </t>
  </si>
  <si>
    <t>2Q_[세라젬] FY2025 외부감사</t>
    <phoneticPr fontId="20" type="noConversion"/>
  </si>
  <si>
    <t>(주)동원홈푸드</t>
  </si>
  <si>
    <t>2Q_(주)동원홈푸드 외부감사_FY25</t>
    <phoneticPr fontId="20" type="noConversion"/>
  </si>
  <si>
    <t xml:space="preserve">(주) 우주일렉트로닉스 </t>
  </si>
  <si>
    <t>3Q_우주일렉트로닉스 2025년 외부감사</t>
    <phoneticPr fontId="20" type="noConversion"/>
  </si>
  <si>
    <t>에이치엘비바이오스텝(주)</t>
  </si>
  <si>
    <t>에이치엘비바이오스텝_외부감사_FY25</t>
    <phoneticPr fontId="20" type="noConversion"/>
  </si>
  <si>
    <t>3Q_FY2025 전진바이오팜 외부감사</t>
    <phoneticPr fontId="7" type="noConversion"/>
  </si>
  <si>
    <t>엘오티베큠</t>
  </si>
  <si>
    <t>(주)엘오티베큠</t>
  </si>
  <si>
    <t>2Q_(주)엘오티베큠</t>
    <phoneticPr fontId="7" type="noConversion"/>
  </si>
  <si>
    <t>헤일리온 코리아</t>
  </si>
  <si>
    <t>3Q_헤일리온코리아 FY25 외부감사</t>
    <phoneticPr fontId="7" type="noConversion"/>
  </si>
  <si>
    <t>케이지스틸 주식회사</t>
  </si>
  <si>
    <t>3Q_2025년 KG스틸 회계감사</t>
    <phoneticPr fontId="7" type="noConversion"/>
  </si>
  <si>
    <t>V</t>
    <phoneticPr fontId="7" type="noConversion"/>
  </si>
  <si>
    <t>glee34@kr.kpmg.com</t>
    <phoneticPr fontId="7" type="noConversion"/>
  </si>
  <si>
    <t>이가은</t>
    <phoneticPr fontId="7" type="noConversion"/>
  </si>
  <si>
    <t>heeseokkang@kr.kpmg.com</t>
    <phoneticPr fontId="7" type="noConversion"/>
  </si>
  <si>
    <t>나수정</t>
    <phoneticPr fontId="7" type="noConversion"/>
  </si>
  <si>
    <t>무선 및 위성통신업</t>
    <phoneticPr fontId="7" type="noConversion"/>
  </si>
  <si>
    <t>Telecommunication</t>
    <phoneticPr fontId="7" type="noConversion"/>
  </si>
  <si>
    <t>SAP HANA</t>
    <phoneticPr fontId="7" type="noConversion"/>
  </si>
  <si>
    <t>115.2.02
115.2.12b</t>
    <phoneticPr fontId="7" type="noConversion"/>
  </si>
  <si>
    <t>김다빈</t>
    <phoneticPr fontId="7" type="noConversion"/>
  </si>
  <si>
    <t>dabinkim@kr.kpmg.com</t>
    <phoneticPr fontId="7" type="noConversion"/>
  </si>
  <si>
    <t>jaehalee@kr.kpmg.com</t>
    <phoneticPr fontId="7" type="noConversion"/>
  </si>
  <si>
    <t>이재하</t>
    <phoneticPr fontId="7" type="noConversion"/>
  </si>
  <si>
    <t>AI</t>
    <phoneticPr fontId="7" type="noConversion"/>
  </si>
  <si>
    <t>Services</t>
    <phoneticPr fontId="7" type="noConversion"/>
  </si>
  <si>
    <t>SAP ECC</t>
    <phoneticPr fontId="7" type="noConversion"/>
  </si>
  <si>
    <t>김영한</t>
    <phoneticPr fontId="7" type="noConversion"/>
  </si>
  <si>
    <t>서민지</t>
    <phoneticPr fontId="7" type="noConversion"/>
  </si>
  <si>
    <t>yeonghankim@kr.kpmg.com</t>
    <phoneticPr fontId="7" type="noConversion"/>
  </si>
  <si>
    <t>mseo6@kr.kpmg.com</t>
    <phoneticPr fontId="7" type="noConversion"/>
  </si>
  <si>
    <t>이형철</t>
    <phoneticPr fontId="7" type="noConversion"/>
  </si>
  <si>
    <t>한석희</t>
    <phoneticPr fontId="7" type="noConversion"/>
  </si>
  <si>
    <t>shan44@kr.kpmg.com</t>
    <phoneticPr fontId="7" type="noConversion"/>
  </si>
  <si>
    <t>한석화</t>
    <phoneticPr fontId="7" type="noConversion"/>
  </si>
  <si>
    <t>eunsanglee@kr.kpmg.com</t>
    <phoneticPr fontId="7" type="noConversion"/>
  </si>
  <si>
    <t>이은상</t>
    <phoneticPr fontId="7" type="noConversion"/>
  </si>
  <si>
    <t>김도희</t>
    <phoneticPr fontId="7" type="noConversion"/>
  </si>
  <si>
    <t>dkim240@kr.kpmg.com</t>
    <phoneticPr fontId="7" type="noConversion"/>
  </si>
  <si>
    <t>junseokhwang@kr.kpmg.com</t>
    <phoneticPr fontId="7" type="noConversion"/>
  </si>
  <si>
    <t>황준석</t>
    <phoneticPr fontId="7" type="noConversion"/>
  </si>
  <si>
    <t>jpark106@kr.kpmg.com</t>
    <phoneticPr fontId="7" type="noConversion"/>
  </si>
  <si>
    <t>jinwooahn@kr.kpmg.com</t>
    <phoneticPr fontId="7" type="noConversion"/>
  </si>
  <si>
    <t>안진우</t>
    <phoneticPr fontId="7" type="noConversion"/>
  </si>
  <si>
    <t>elee44@kr.kpmg.com</t>
    <phoneticPr fontId="7" type="noConversion"/>
  </si>
  <si>
    <t>이은영</t>
    <phoneticPr fontId="7" type="noConversion"/>
  </si>
  <si>
    <t>jiyoungcha@kr.kpmg.com</t>
    <phoneticPr fontId="7" type="noConversion"/>
  </si>
  <si>
    <t>jkim252@kr.kpmg.com</t>
    <phoneticPr fontId="7" type="noConversion"/>
  </si>
  <si>
    <t>김준호</t>
    <phoneticPr fontId="7" type="noConversion"/>
  </si>
  <si>
    <t>김혜수</t>
    <phoneticPr fontId="7" type="noConversion"/>
  </si>
  <si>
    <t>미사용</t>
    <phoneticPr fontId="7" type="noConversion"/>
  </si>
  <si>
    <t>박소정</t>
    <phoneticPr fontId="7" type="noConversion"/>
  </si>
  <si>
    <t>spark86@kr.kpmg.com</t>
    <phoneticPr fontId="7" type="noConversion"/>
  </si>
  <si>
    <t>전수검토 수행</t>
    <phoneticPr fontId="7" type="noConversion"/>
  </si>
  <si>
    <t>더존 ERP-iU</t>
    <phoneticPr fontId="7" type="noConversion"/>
  </si>
  <si>
    <t>최동진</t>
    <phoneticPr fontId="7" type="noConversion"/>
  </si>
  <si>
    <t>dchoi5@kr.kpmg.com</t>
    <phoneticPr fontId="7" type="noConversion"/>
  </si>
  <si>
    <t>115.2.02
115.2.13</t>
    <phoneticPr fontId="7" type="noConversion"/>
  </si>
  <si>
    <t>서비스(관리 용역) 산업, 
통신 산업</t>
    <phoneticPr fontId="7" type="noConversion"/>
  </si>
  <si>
    <t>SAP</t>
    <phoneticPr fontId="7" type="noConversion"/>
  </si>
  <si>
    <t>115.2.02</t>
    <phoneticPr fontId="7" type="noConversion"/>
  </si>
  <si>
    <t>김상현</t>
    <phoneticPr fontId="7" type="noConversion"/>
  </si>
  <si>
    <t>이민석</t>
    <phoneticPr fontId="7" type="noConversion"/>
  </si>
  <si>
    <t>skim257@kr.kpmg.com</t>
    <phoneticPr fontId="7" type="noConversion"/>
  </si>
  <si>
    <t>mlee96@kr.kpmg.com</t>
    <phoneticPr fontId="7" type="noConversion"/>
  </si>
  <si>
    <t>양혁준</t>
    <phoneticPr fontId="7" type="noConversion"/>
  </si>
  <si>
    <t>제외요청</t>
    <phoneticPr fontId="7" type="noConversion"/>
  </si>
  <si>
    <t>이미 절차를 다 수행해놓음</t>
    <phoneticPr fontId="7" type="noConversion"/>
  </si>
  <si>
    <t>이종록</t>
    <phoneticPr fontId="7" type="noConversion"/>
  </si>
  <si>
    <t>jongroklee@kr.kpmg.com</t>
    <phoneticPr fontId="7" type="noConversion"/>
  </si>
  <si>
    <t>115.2.02</t>
    <phoneticPr fontId="7" type="noConversion"/>
  </si>
  <si>
    <t>SAP S/4 HANA</t>
    <phoneticPr fontId="7" type="noConversion"/>
  </si>
  <si>
    <t>Aviation</t>
    <phoneticPr fontId="7" type="noConversion"/>
  </si>
  <si>
    <t>조하은</t>
    <phoneticPr fontId="7" type="noConversion"/>
  </si>
  <si>
    <t>hcho14@kr.kpmg.com</t>
    <phoneticPr fontId="7" type="noConversion"/>
  </si>
  <si>
    <t>노우찬</t>
    <phoneticPr fontId="7" type="noConversion"/>
  </si>
  <si>
    <t>wrho@kr.kpmg.com</t>
    <phoneticPr fontId="7" type="noConversion"/>
  </si>
  <si>
    <t>제외요청</t>
    <phoneticPr fontId="7" type="noConversion"/>
  </si>
  <si>
    <t>AITS interim 완료하였으나 배치전표로 분석결과가 좋지 못하여 사용불가</t>
    <phoneticPr fontId="7" type="noConversion"/>
  </si>
  <si>
    <t>에스케이에코엔지니어링 주식회사</t>
    <phoneticPr fontId="7" type="noConversion"/>
  </si>
  <si>
    <t>[SK에코엔지니어링] FY2025 외부감사</t>
    <phoneticPr fontId="7" type="noConversion"/>
  </si>
  <si>
    <t>한정우</t>
    <phoneticPr fontId="7" type="noConversion"/>
  </si>
  <si>
    <t>전기용</t>
    <phoneticPr fontId="7" type="noConversion"/>
  </si>
  <si>
    <t>이경훈</t>
    <phoneticPr fontId="7" type="noConversion"/>
  </si>
  <si>
    <t>이종상</t>
    <phoneticPr fontId="7" type="noConversion"/>
  </si>
  <si>
    <t>jongsanglee@kr.kpmg.com</t>
    <phoneticPr fontId="7" type="noConversion"/>
  </si>
  <si>
    <t>jungwoohan@kr.kpmg.com</t>
    <phoneticPr fontId="7" type="noConversion"/>
  </si>
  <si>
    <t>kiyongjeon@kr.kpmg.com</t>
    <phoneticPr fontId="7" type="noConversion"/>
  </si>
  <si>
    <t>kyunghoonlee@kr.kpmg.com</t>
    <phoneticPr fontId="7" type="noConversion"/>
  </si>
  <si>
    <t>SAP ERP 6.0용 EHP6</t>
    <phoneticPr fontId="7" type="noConversion"/>
  </si>
  <si>
    <t>민정식</t>
    <phoneticPr fontId="7" type="noConversion"/>
  </si>
  <si>
    <t>정윤호</t>
    <phoneticPr fontId="7" type="noConversion"/>
  </si>
  <si>
    <t>jungsikmin@kr.kpmg.com</t>
    <phoneticPr fontId="7" type="noConversion"/>
  </si>
  <si>
    <t>yunhojeong@kr.kpmg.com</t>
    <phoneticPr fontId="7" type="noConversion"/>
  </si>
  <si>
    <t>양인규</t>
    <phoneticPr fontId="7" type="noConversion"/>
  </si>
  <si>
    <t>노은서</t>
    <phoneticPr fontId="7" type="noConversion"/>
  </si>
  <si>
    <t>ingyuyang@kr.kpmg.com</t>
    <phoneticPr fontId="7" type="noConversion"/>
  </si>
  <si>
    <t>eunseoroh@kr.kpmg.com</t>
    <phoneticPr fontId="7" type="noConversion"/>
  </si>
  <si>
    <t>V</t>
    <phoneticPr fontId="7" type="noConversion"/>
  </si>
  <si>
    <t>V</t>
    <phoneticPr fontId="7" type="noConversion"/>
  </si>
  <si>
    <t>yeonhakim@kr.kpmg.com</t>
    <phoneticPr fontId="7" type="noConversion"/>
  </si>
  <si>
    <t>seungmikang@kr.kpmg.com</t>
    <phoneticPr fontId="7" type="noConversion"/>
  </si>
  <si>
    <t>Service</t>
    <phoneticPr fontId="7" type="noConversion"/>
  </si>
  <si>
    <t>SAP ERP
SAPLSMTR_NAVIGATION</t>
    <phoneticPr fontId="7" type="noConversion"/>
  </si>
  <si>
    <t>이세현</t>
    <phoneticPr fontId="7" type="noConversion"/>
  </si>
  <si>
    <t>김재유</t>
    <phoneticPr fontId="7" type="noConversion"/>
  </si>
  <si>
    <t>sehyeonlee@kr.kpmg.com</t>
    <phoneticPr fontId="7" type="noConversion"/>
  </si>
  <si>
    <t>jaeyukim@kr.kpmg.com</t>
    <phoneticPr fontId="7" type="noConversion"/>
  </si>
  <si>
    <t>2025년 카카오게임즈 외부감사</t>
  </si>
  <si>
    <t>jinseokchoi@kr.kpmg.com</t>
    <phoneticPr fontId="7" type="noConversion"/>
  </si>
  <si>
    <t>에스케이스토아 주식회사</t>
    <phoneticPr fontId="7" type="noConversion"/>
  </si>
  <si>
    <t>SK스토아 FY25 외부감사</t>
    <phoneticPr fontId="7" type="noConversion"/>
  </si>
  <si>
    <t>이상기</t>
    <phoneticPr fontId="7" type="noConversion"/>
  </si>
  <si>
    <t>김재중</t>
    <phoneticPr fontId="7" type="noConversion"/>
  </si>
  <si>
    <t>이재웅</t>
    <phoneticPr fontId="7" type="noConversion"/>
  </si>
  <si>
    <t>sangkilee@kr.kpmg.com</t>
    <phoneticPr fontId="7" type="noConversion"/>
  </si>
  <si>
    <t>jaejoongkim@kr.kpmg.com</t>
    <phoneticPr fontId="7" type="noConversion"/>
  </si>
  <si>
    <t>jlee213@kr.kpmg.com</t>
    <phoneticPr fontId="7" type="noConversion"/>
  </si>
  <si>
    <t>위탁판매약정 거래로 usecase 미해당</t>
    <phoneticPr fontId="7" type="noConversion"/>
  </si>
  <si>
    <t>V</t>
    <phoneticPr fontId="7" type="noConversion"/>
  </si>
  <si>
    <t>김연하</t>
    <phoneticPr fontId="7" type="noConversion"/>
  </si>
  <si>
    <t>jehyungchoi@kr.kpmg.com</t>
  </si>
  <si>
    <t>대형비상장</t>
    <phoneticPr fontId="7" type="noConversion"/>
  </si>
  <si>
    <t>건설업</t>
    <phoneticPr fontId="7" type="noConversion"/>
  </si>
  <si>
    <t>Construction</t>
    <phoneticPr fontId="7" type="noConversion"/>
  </si>
  <si>
    <t>SAP</t>
    <phoneticPr fontId="7" type="noConversion"/>
  </si>
  <si>
    <t>박성배</t>
    <phoneticPr fontId="7" type="noConversion"/>
  </si>
  <si>
    <t>spark159@kr.kpmg.com</t>
    <phoneticPr fontId="7" type="noConversion"/>
  </si>
  <si>
    <t>[SK에코엔지니어링] FY2025 외부감사</t>
  </si>
  <si>
    <t>도매 및 소매업</t>
    <phoneticPr fontId="7" type="noConversion"/>
  </si>
  <si>
    <t>Retail</t>
    <phoneticPr fontId="7" type="noConversion"/>
  </si>
  <si>
    <t>SAP</t>
    <phoneticPr fontId="7" type="noConversion"/>
  </si>
  <si>
    <t>전민구</t>
    <phoneticPr fontId="7" type="noConversion"/>
  </si>
  <si>
    <t>김진호</t>
    <phoneticPr fontId="7" type="noConversion"/>
  </si>
  <si>
    <t>jkim428@kr.kpmg.com</t>
    <phoneticPr fontId="7" type="noConversion"/>
  </si>
  <si>
    <t>hyundonghwang@kr.kpmg.com</t>
    <phoneticPr fontId="7" type="noConversion"/>
  </si>
  <si>
    <t>jkim508@kr.kpmg.com</t>
    <phoneticPr fontId="7" type="noConversion"/>
  </si>
  <si>
    <t>유민혁</t>
    <phoneticPr fontId="7" type="noConversion"/>
  </si>
  <si>
    <t>송기백</t>
    <phoneticPr fontId="7" type="noConversion"/>
  </si>
  <si>
    <t>gibaeksong@kr.kpmg.com</t>
    <phoneticPr fontId="7" type="noConversion"/>
  </si>
  <si>
    <t>jongkeunpark@kr.kpmg.com</t>
    <phoneticPr fontId="7" type="noConversion"/>
  </si>
  <si>
    <t>SK하이닉스 FY2025 외부감사</t>
  </si>
  <si>
    <t>2025년 카카오 외부감사</t>
  </si>
  <si>
    <t>1. 서비스 요청</t>
  </si>
  <si>
    <t>FY25 현대모비스 외부감사</t>
  </si>
  <si>
    <t>[아시아나항공] 2025년 지정 감사</t>
  </si>
  <si>
    <t>삼성바이오로직스 외부감사_FY25</t>
  </si>
  <si>
    <t>FY25_삼성디스플레이_외부감사</t>
  </si>
  <si>
    <t>FY25 넷마블 외부감사</t>
  </si>
  <si>
    <t>에스케이지오센트릭 주식회사 FY2025 외부감사</t>
  </si>
  <si>
    <t>4. 전처리 오류 처리 중</t>
  </si>
  <si>
    <t>[제일기획] FY2025 지정감사</t>
  </si>
  <si>
    <t>현대백화점 2025년 외부감사</t>
  </si>
  <si>
    <t>FY25 KG 모빌리티_지정감사</t>
  </si>
  <si>
    <t>엘앤에프 FY25 지정감사</t>
  </si>
  <si>
    <t>한일시멘트 FY25 외부감사</t>
  </si>
  <si>
    <t>FY2025_롯데글로벌로지스 외부감사</t>
  </si>
  <si>
    <t>[에어부산] 2025년 지정 감사</t>
  </si>
  <si>
    <t>이수화학_2025년 회계감사</t>
  </si>
  <si>
    <t>3-3. 앱 프로세싱 중</t>
  </si>
  <si>
    <t>더블유씨피_외부감사_FY25</t>
  </si>
  <si>
    <t>컬리 FY2025.12 IPO지정감사</t>
  </si>
  <si>
    <t>FY25 놀유니버스(구.인터파크트리플) 외부감사</t>
  </si>
  <si>
    <t>FY25 아이센스 지정감사</t>
  </si>
  <si>
    <t>지마켓 FY25 외부감사</t>
  </si>
  <si>
    <t>한일홀딩스 2025년 지정감사(주기적)</t>
  </si>
  <si>
    <t>FY2025 삼아알미늄 외부감사</t>
  </si>
  <si>
    <t>체리부로 FY2025 외부감사</t>
  </si>
  <si>
    <t>FY25 동구바이오제약 법정감사</t>
  </si>
  <si>
    <t>에이치엘비생명과학_외부감사_FY25</t>
  </si>
  <si>
    <t>KEC FY25 지정감사</t>
  </si>
  <si>
    <t>2025년 케이씨 외부감사</t>
  </si>
  <si>
    <t>십일번가_FY2025_외부감사 및 Group reporting</t>
  </si>
  <si>
    <t>FY25 디와이덕양(구, 덕양산업) 외부감사</t>
  </si>
  <si>
    <t>2-1. 데이터 재요청</t>
  </si>
  <si>
    <t>FY2025 피에스케이 외부감사</t>
  </si>
  <si>
    <t>FY2025 시노펙스 외부감사</t>
  </si>
  <si>
    <t>[SK오션플랜트] FY2025 외부감사</t>
  </si>
  <si>
    <t>2. 데이터 업로드 완료</t>
  </si>
  <si>
    <t>FY25_아스플로_지정감사</t>
  </si>
  <si>
    <t>FY2025_비씨월드제약_외부(지정)감사</t>
  </si>
  <si>
    <t>TKG태광 FY25 외부감사</t>
  </si>
  <si>
    <t>FY25_뉴로스_지정감사</t>
  </si>
  <si>
    <t>이수앱지스 2025년 외부감사(주기적 지정)</t>
  </si>
  <si>
    <t>메가스터디교육_FY2025 외부감사</t>
  </si>
  <si>
    <t>에이치엘비테라퓨틱스_외부감사_FY25</t>
  </si>
  <si>
    <t>FY25 삼성전자판매 외부감사</t>
  </si>
  <si>
    <t>니프코코리아 FY25 회계감사</t>
  </si>
  <si>
    <t>FY2025 엘오티베큠 외부감사</t>
  </si>
  <si>
    <t>SK Telecom FY25 integrated audit</t>
  </si>
  <si>
    <t>5. 작업 완료</t>
  </si>
  <si>
    <t>1. 서비스 요청</t>
    <phoneticPr fontId="7" type="noConversion"/>
  </si>
  <si>
    <t>5. 작업 완료</t>
    <phoneticPr fontId="7" type="noConversion"/>
  </si>
  <si>
    <t>Eng 현황</t>
    <phoneticPr fontId="7" type="noConversion"/>
  </si>
  <si>
    <t>비고</t>
    <phoneticPr fontId="7" type="noConversion"/>
  </si>
  <si>
    <t>Interim 완료</t>
    <phoneticPr fontId="7" type="noConversion"/>
  </si>
  <si>
    <t>Interim 진행중</t>
    <phoneticPr fontId="7" type="noConversion"/>
  </si>
  <si>
    <t>미회신 - STS미신청</t>
    <phoneticPr fontId="7" type="noConversion"/>
  </si>
  <si>
    <t>미회신 - 데이터 미업로드</t>
    <phoneticPr fontId="7" type="noConversion"/>
  </si>
  <si>
    <t>interim 진행중</t>
    <phoneticPr fontId="7" type="noConversion"/>
  </si>
  <si>
    <t>interim 완료</t>
    <phoneticPr fontId="7" type="noConversion"/>
  </si>
  <si>
    <t>상태값</t>
  </si>
  <si>
    <t>Eng</t>
    <phoneticPr fontId="7" type="noConversion"/>
  </si>
  <si>
    <t>진행상황</t>
    <phoneticPr fontId="7" type="noConversion"/>
  </si>
  <si>
    <t>(-) 사용 불가 신청</t>
    <phoneticPr fontId="7" type="noConversion"/>
  </si>
  <si>
    <t>제외</t>
    <phoneticPr fontId="7" type="noConversion"/>
  </si>
  <si>
    <t>"5. 작업완료"제외하고 붙여넣기</t>
    <phoneticPr fontId="7" type="noConversion"/>
  </si>
  <si>
    <t>이미 절차를 다 수행해놓음. 초도감사</t>
    <phoneticPr fontId="7" type="noConversion"/>
  </si>
  <si>
    <t>일정상 적용 어려움</t>
    <phoneticPr fontId="7" type="noConversion"/>
  </si>
  <si>
    <t>이미 절차를 다 수행해놓음. 마지막 감사</t>
    <phoneticPr fontId="7" type="noConversion"/>
  </si>
  <si>
    <t>이미 절차를 다 수행해놓음. 일정상 적용 어려움</t>
    <phoneticPr fontId="7" type="noConversion"/>
  </si>
  <si>
    <t>Sample 숫자가 적음</t>
    <phoneticPr fontId="7" type="noConversion"/>
  </si>
  <si>
    <t>usecase에 맞지 않음.</t>
    <phoneticPr fontId="7" type="noConversion"/>
  </si>
  <si>
    <t>Industrial Products, Technology</t>
    <phoneticPr fontId="7" type="noConversion"/>
  </si>
  <si>
    <t>Uni ERP</t>
    <phoneticPr fontId="7" type="noConversion"/>
  </si>
  <si>
    <t>이동현</t>
    <phoneticPr fontId="7" type="noConversion"/>
  </si>
  <si>
    <t>donghyeonlee@kr.kpmg.com</t>
    <phoneticPr fontId="7" type="noConversion"/>
  </si>
  <si>
    <t>skim56@kr.kpmg.com</t>
    <phoneticPr fontId="7" type="noConversion"/>
  </si>
  <si>
    <t>이충기</t>
    <phoneticPr fontId="7" type="noConversion"/>
  </si>
  <si>
    <t>choongkilee@kr.kpmg.com</t>
    <phoneticPr fontId="7" type="noConversion"/>
  </si>
  <si>
    <t>Consumer Products
Industrial Products
Construction
Government</t>
    <phoneticPr fontId="7" type="noConversion"/>
  </si>
  <si>
    <t>SAP S/4 HANA</t>
    <phoneticPr fontId="7" type="noConversion"/>
  </si>
  <si>
    <t>김윤석</t>
    <phoneticPr fontId="7" type="noConversion"/>
  </si>
  <si>
    <t>한승우</t>
    <phoneticPr fontId="7" type="noConversion"/>
  </si>
  <si>
    <t>seungwoohan@kr.kpmg.com</t>
    <phoneticPr fontId="7" type="noConversion"/>
  </si>
  <si>
    <t>yunseokkim@kr.kpmg.com</t>
    <phoneticPr fontId="7" type="noConversion"/>
  </si>
  <si>
    <t>한승우</t>
    <phoneticPr fontId="7" type="noConversion"/>
  </si>
  <si>
    <t>남승은</t>
    <phoneticPr fontId="7" type="noConversion"/>
  </si>
  <si>
    <t>seungwoohan@kr.kpmg.com</t>
    <phoneticPr fontId="7" type="noConversion"/>
  </si>
  <si>
    <t>seungeunnam@kr.kpmg.com</t>
    <phoneticPr fontId="7" type="noConversion"/>
  </si>
  <si>
    <t>Industrial Products
Life Sciences</t>
    <phoneticPr fontId="7" type="noConversion"/>
  </si>
  <si>
    <t>SAP S/4 HANA</t>
    <phoneticPr fontId="7" type="noConversion"/>
  </si>
  <si>
    <t>케이씨씨건설</t>
    <phoneticPr fontId="7" type="noConversion"/>
  </si>
  <si>
    <t>[케이씨씨건설] FY2025 외부감사</t>
    <phoneticPr fontId="7" type="noConversion"/>
  </si>
  <si>
    <t>한정우</t>
    <phoneticPr fontId="7" type="noConversion"/>
  </si>
  <si>
    <t>허건웅</t>
    <phoneticPr fontId="7" type="noConversion"/>
  </si>
  <si>
    <t>현예슬</t>
    <phoneticPr fontId="7" type="noConversion"/>
  </si>
  <si>
    <t>강성채</t>
    <phoneticPr fontId="7" type="noConversion"/>
  </si>
  <si>
    <t>jungwoohan@kr.kpmg.com</t>
    <phoneticPr fontId="7" type="noConversion"/>
  </si>
  <si>
    <t>채재원</t>
    <phoneticPr fontId="7" type="noConversion"/>
  </si>
  <si>
    <t>jaewonchai@kr.kpmg.com</t>
    <phoneticPr fontId="7" type="noConversion"/>
  </si>
  <si>
    <t>임정민</t>
    <phoneticPr fontId="7" type="noConversion"/>
  </si>
  <si>
    <t>jungminlim@kr.kpmg.com</t>
    <phoneticPr fontId="7" type="noConversion"/>
  </si>
  <si>
    <t>이광수</t>
    <phoneticPr fontId="7" type="noConversion"/>
  </si>
  <si>
    <t>kwangsulee@kr.kpmg.com</t>
    <phoneticPr fontId="7" type="noConversion"/>
  </si>
  <si>
    <t>박재훈</t>
    <phoneticPr fontId="7" type="noConversion"/>
  </si>
  <si>
    <t>jaehoonpark@kr.kpmg.com</t>
    <phoneticPr fontId="7" type="noConversion"/>
  </si>
  <si>
    <t>제외요청</t>
    <phoneticPr fontId="7" type="noConversion"/>
  </si>
  <si>
    <t>확인중</t>
    <phoneticPr fontId="7" type="noConversion"/>
  </si>
  <si>
    <t>사용예정</t>
    <phoneticPr fontId="7" type="noConversion"/>
  </si>
  <si>
    <t>통화안됨</t>
    <phoneticPr fontId="7" type="noConversion"/>
  </si>
  <si>
    <t>황구철</t>
    <phoneticPr fontId="7" type="noConversion"/>
  </si>
  <si>
    <t>naehyeongkwon@kr.kpmg.com</t>
    <phoneticPr fontId="7" type="noConversion"/>
  </si>
  <si>
    <t>(-) 확인중</t>
    <phoneticPr fontId="7" type="noConversion"/>
  </si>
  <si>
    <t>(*) 통화안됨, 확인중 포함</t>
    <phoneticPr fontId="7" type="noConversion"/>
  </si>
  <si>
    <t>(*) 사용예정 포함</t>
    <phoneticPr fontId="7" type="noConversion"/>
  </si>
  <si>
    <t>V</t>
    <phoneticPr fontId="7" type="noConversion"/>
  </si>
  <si>
    <t>미회신35건 관리</t>
    <phoneticPr fontId="7" type="noConversion"/>
  </si>
  <si>
    <t>ERP에서 데이터가 추출되지 않음</t>
    <phoneticPr fontId="7" type="noConversion"/>
  </si>
  <si>
    <t>mincheolyun@kr.kpmg.com</t>
    <phoneticPr fontId="7" type="noConversion"/>
  </si>
  <si>
    <t>매출은 비경상적이며 비용은 AITS미적용(감가상각비, 인건비)가 대다수</t>
    <phoneticPr fontId="7" type="noConversion"/>
  </si>
  <si>
    <t>매출 및 매입 전표가 사업부의 부문별 합계액 기준으로 기표되고 있어 전표상에서는 세부 내역 확인이 어려운 상황</t>
    <phoneticPr fontId="7" type="noConversion"/>
  </si>
  <si>
    <t>ICE1</t>
    <phoneticPr fontId="7" type="noConversion"/>
  </si>
  <si>
    <t>스노우 주식회사</t>
    <phoneticPr fontId="7" type="noConversion"/>
  </si>
  <si>
    <t>일반</t>
    <phoneticPr fontId="7" type="noConversion"/>
  </si>
  <si>
    <t>최진석</t>
    <phoneticPr fontId="7" type="noConversion"/>
  </si>
  <si>
    <t>김부성</t>
    <phoneticPr fontId="7" type="noConversion"/>
  </si>
  <si>
    <t>강상현</t>
    <phoneticPr fontId="7" type="noConversion"/>
  </si>
  <si>
    <t>배슬기</t>
    <phoneticPr fontId="7" type="noConversion"/>
  </si>
  <si>
    <t>seulgibae@kr.kpmg.com</t>
    <phoneticPr fontId="7" type="noConversion"/>
  </si>
  <si>
    <t>FY2025 스노우 외부감사</t>
    <phoneticPr fontId="7" type="noConversion"/>
  </si>
  <si>
    <t>이미 절차 수행. AITS 비효율적이라 판단함</t>
    <phoneticPr fontId="7" type="noConversion"/>
  </si>
  <si>
    <t>[케이씨씨건설] FY2025 외부감사</t>
  </si>
  <si>
    <t>Industrial Products</t>
    <phoneticPr fontId="7" type="noConversion"/>
  </si>
  <si>
    <t>더존</t>
    <phoneticPr fontId="7" type="noConversion"/>
  </si>
  <si>
    <t>115.2.02
115.2.13
115.2.12b</t>
    <phoneticPr fontId="7" type="noConversion"/>
  </si>
  <si>
    <t>seungchanbaek@kr.kpmg.com</t>
    <phoneticPr fontId="7" type="noConversion"/>
  </si>
  <si>
    <t>백승찬</t>
    <phoneticPr fontId="7" type="noConversion"/>
  </si>
  <si>
    <t>한석희</t>
    <phoneticPr fontId="7" type="noConversion"/>
  </si>
  <si>
    <t>2025년 LS일렉트릭 지정감사</t>
  </si>
  <si>
    <t>9. 서비스 취소</t>
  </si>
  <si>
    <t>FY2025 코리아세븐 법정감사</t>
  </si>
  <si>
    <t>[지누스] FY2025 외부감사</t>
  </si>
  <si>
    <t>인선이엔티 2025년 외부감사(지정)</t>
  </si>
  <si>
    <t>FY2025 야놀자 외부감사</t>
  </si>
  <si>
    <t>드림텍 FY2025 외부감사</t>
  </si>
  <si>
    <t>[팜젠사이언스] FY2025 외부감사</t>
  </si>
  <si>
    <t>[씨티씨바이오] FY2025 지정감사</t>
  </si>
  <si>
    <t>FY25 이니텍 외부감사</t>
  </si>
  <si>
    <t>[한전원자력연료] 2025 회계연도 외부감사</t>
  </si>
  <si>
    <t>SK플래닛 FY25 외부감사</t>
  </si>
  <si>
    <t>FY2025 외부감사_한화임팩트</t>
  </si>
  <si>
    <t>에스씨케이컴퍼니 FY25 외부감사</t>
  </si>
  <si>
    <t>3-0. 담당자 지정 완료</t>
  </si>
  <si>
    <t>2025년 지정감사_영풍제지</t>
  </si>
  <si>
    <t>2025년 한국중부발전(주) 회계감사</t>
  </si>
  <si>
    <t>에이디칩스_외부감사(직권지정)_FY25</t>
  </si>
  <si>
    <t>FY2025 대산F&amp;B 지정감사</t>
  </si>
  <si>
    <t>비와이엔블랙야크 FY25 회계감사</t>
  </si>
  <si>
    <t>율촌화학_지정감사_FY25</t>
  </si>
  <si>
    <t>SK스토아 FY25 외부감사</t>
  </si>
  <si>
    <t>jiheonkang@kr.kpmg.com</t>
    <phoneticPr fontId="7" type="noConversion"/>
  </si>
  <si>
    <t>jsong26@kr.kpmg.com</t>
    <phoneticPr fontId="7" type="noConversion"/>
  </si>
  <si>
    <t>FY2025 스노우 외부감사</t>
  </si>
  <si>
    <t>미확인</t>
    <phoneticPr fontId="7" type="noConversion"/>
  </si>
  <si>
    <t>jchoi38@kr.kpmg.com</t>
    <phoneticPr fontId="7" type="noConversion"/>
  </si>
  <si>
    <t>mkim215@kr.kpmg.com</t>
    <phoneticPr fontId="7" type="noConversion"/>
  </si>
  <si>
    <t>김민지</t>
    <phoneticPr fontId="7" type="noConversion"/>
  </si>
  <si>
    <t>비용청구</t>
    <phoneticPr fontId="7" type="noConversion"/>
  </si>
  <si>
    <t>V</t>
    <phoneticPr fontId="7" type="noConversion"/>
  </si>
  <si>
    <t>RMM이 Base에 해당하지 않아 적용 불가</t>
    <phoneticPr fontId="7" type="noConversion"/>
  </si>
  <si>
    <t>RMM이 Base에 해당하지 않아 적용 불가, 비용은 Sample이 적음</t>
    <phoneticPr fontId="7" type="noConversion"/>
  </si>
  <si>
    <t>한일시멘트와 합병</t>
    <phoneticPr fontId="7" type="noConversion"/>
  </si>
  <si>
    <t>법정감사로 AITS 적용 부담</t>
    <phoneticPr fontId="7" type="noConversion"/>
  </si>
  <si>
    <t>PCAOB이며, ERP에서 자료가 나오지 않음</t>
    <phoneticPr fontId="7" type="noConversion"/>
  </si>
  <si>
    <t>이미 감사 절차 수행완료</t>
    <phoneticPr fontId="7" type="noConversion"/>
  </si>
  <si>
    <t>Interim 수행결과 AITS가 비효율적이라고 판단</t>
    <phoneticPr fontId="7" type="noConversion"/>
  </si>
  <si>
    <t>박정빈</t>
    <phoneticPr fontId="7" type="noConversion"/>
  </si>
  <si>
    <t>김찬영</t>
    <phoneticPr fontId="7" type="noConversion"/>
  </si>
  <si>
    <t>김소희</t>
    <phoneticPr fontId="7" type="noConversion"/>
  </si>
  <si>
    <t>추가</t>
    <phoneticPr fontId="7" type="noConversion"/>
  </si>
  <si>
    <t>리뷰어</t>
    <phoneticPr fontId="7" type="noConversion"/>
  </si>
  <si>
    <t>김현기</t>
    <phoneticPr fontId="20" type="noConversion"/>
  </si>
  <si>
    <t>hkim51@kr.kpmg.com</t>
    <phoneticPr fontId="20" type="noConversion"/>
  </si>
  <si>
    <t>Construction</t>
  </si>
  <si>
    <t>100.2.02</t>
  </si>
  <si>
    <t>강신형</t>
    <phoneticPr fontId="7" type="noConversion"/>
  </si>
  <si>
    <t>shinhyungkang@kr.kpmg.com</t>
    <phoneticPr fontId="7" type="noConversion"/>
  </si>
  <si>
    <t>강신형</t>
  </si>
  <si>
    <t>shinhyungkang@kr.kpmg.com</t>
  </si>
  <si>
    <t>실무자</t>
    <phoneticPr fontId="7" type="noConversion"/>
  </si>
  <si>
    <t>감사 효율성 측면에서 제한적</t>
    <phoneticPr fontId="7" type="noConversion"/>
  </si>
  <si>
    <t>의견거절 및 감사보수 거절</t>
    <phoneticPr fontId="7" type="noConversion"/>
  </si>
  <si>
    <t>대기/맵핑/분석/완료</t>
    <phoneticPr fontId="7" type="noConversion"/>
  </si>
  <si>
    <t>완료</t>
  </si>
  <si>
    <t>김찬영</t>
    <phoneticPr fontId="7" type="noConversion"/>
  </si>
  <si>
    <t>사용</t>
  </si>
  <si>
    <t>제거</t>
    <phoneticPr fontId="7" type="noConversion"/>
  </si>
  <si>
    <t>이민규</t>
    <phoneticPr fontId="7" type="noConversion"/>
  </si>
  <si>
    <t>&lt; 퇴사</t>
    <phoneticPr fontId="7" type="noConversion"/>
  </si>
  <si>
    <t>사용</t>
    <phoneticPr fontId="7" type="noConversion"/>
  </si>
  <si>
    <t>minkichoi@kr.kpmg.com</t>
    <phoneticPr fontId="7" type="noConversion"/>
  </si>
  <si>
    <t>이동규</t>
    <phoneticPr fontId="7" type="noConversion"/>
  </si>
  <si>
    <t>양호철</t>
    <phoneticPr fontId="7" type="noConversion"/>
  </si>
  <si>
    <t>hocheolyang@kr.kpmg.com</t>
    <phoneticPr fontId="7" type="noConversion"/>
  </si>
  <si>
    <t>donggyulee@kr.kpmg.com</t>
    <phoneticPr fontId="7" type="noConversion"/>
  </si>
  <si>
    <t>115.2.02</t>
    <phoneticPr fontId="7" type="noConversion"/>
  </si>
  <si>
    <t>100.2.02</t>
    <phoneticPr fontId="7" type="noConversion"/>
  </si>
  <si>
    <t>X</t>
    <phoneticPr fontId="7" type="noConversion"/>
  </si>
  <si>
    <t>Consumer Products</t>
    <phoneticPr fontId="7" type="noConversion"/>
  </si>
  <si>
    <t>Oracle</t>
    <phoneticPr fontId="7" type="noConversion"/>
  </si>
  <si>
    <t>김현인</t>
    <phoneticPr fontId="7" type="noConversion"/>
  </si>
  <si>
    <t>hyeoninkim@kr.kpmg.com</t>
    <phoneticPr fontId="7" type="noConversion"/>
  </si>
  <si>
    <t>테스트 목적</t>
    <phoneticPr fontId="7" type="noConversion"/>
  </si>
  <si>
    <t>박정빈</t>
    <phoneticPr fontId="7" type="noConversion"/>
  </si>
  <si>
    <t>더존</t>
  </si>
  <si>
    <t>V</t>
    <phoneticPr fontId="7" type="noConversion"/>
  </si>
  <si>
    <t>O</t>
    <phoneticPr fontId="7" type="noConversion"/>
  </si>
  <si>
    <t>성덕</t>
    <phoneticPr fontId="7" type="noConversion"/>
  </si>
  <si>
    <t>주예진</t>
    <phoneticPr fontId="7" type="noConversion"/>
  </si>
  <si>
    <t>deokseong@kr.kpmg.com</t>
    <phoneticPr fontId="7" type="noConversion"/>
  </si>
  <si>
    <t>yejinjoo@kr.kpmg.com</t>
    <phoneticPr fontId="7" type="noConversion"/>
  </si>
  <si>
    <t>NEON</t>
    <phoneticPr fontId="7" type="noConversion"/>
  </si>
  <si>
    <t>백인호</t>
    <phoneticPr fontId="7" type="noConversion"/>
  </si>
  <si>
    <t>ibaek1@kr.kpmg.com</t>
    <phoneticPr fontId="7" type="noConversion"/>
  </si>
  <si>
    <t>그 외 기타 의료용 기기 제조업</t>
    <phoneticPr fontId="7" type="noConversion"/>
  </si>
  <si>
    <t>woohyunyi@kr.kpmg.com</t>
    <phoneticPr fontId="7" type="noConversion"/>
  </si>
  <si>
    <t>임정민</t>
    <phoneticPr fontId="7" type="noConversion"/>
  </si>
  <si>
    <t>jungminlim@kr.kpmg.com</t>
    <phoneticPr fontId="7" type="noConversion"/>
  </si>
  <si>
    <t>2/10 송부</t>
    <phoneticPr fontId="7" type="noConversion"/>
  </si>
  <si>
    <t>제약</t>
  </si>
  <si>
    <t>Life Sciences</t>
  </si>
  <si>
    <t>더존 i-cube</t>
  </si>
  <si>
    <t>한수림</t>
    <phoneticPr fontId="7" type="noConversion"/>
  </si>
  <si>
    <t>임도성</t>
    <phoneticPr fontId="7" type="noConversion"/>
  </si>
  <si>
    <t>정혜운</t>
    <phoneticPr fontId="7" type="noConversion"/>
  </si>
  <si>
    <t>surimhan@kr.kpmg.com</t>
    <phoneticPr fontId="7" type="noConversion"/>
  </si>
  <si>
    <t>dosunglim@kr.kpmg.com</t>
    <phoneticPr fontId="7" type="noConversion"/>
  </si>
  <si>
    <t>hyewoonjoung@kr.kpmg.com</t>
    <phoneticPr fontId="7" type="noConversion"/>
  </si>
  <si>
    <t>Consumer</t>
  </si>
  <si>
    <t>Product</t>
  </si>
  <si>
    <t>115.2.02
115.2.12b</t>
    <phoneticPr fontId="7" type="noConversion"/>
  </si>
  <si>
    <t>육형문</t>
    <phoneticPr fontId="7" type="noConversion"/>
  </si>
  <si>
    <t>한청원</t>
    <phoneticPr fontId="7" type="noConversion"/>
  </si>
  <si>
    <t>hyuk1@kr.kpmg.com</t>
    <phoneticPr fontId="7" type="noConversion"/>
  </si>
  <si>
    <t>cheongwonhan@kr.kpmg.com</t>
    <phoneticPr fontId="7" type="noConversion"/>
  </si>
  <si>
    <t>유현석</t>
    <phoneticPr fontId="7" type="noConversion"/>
  </si>
  <si>
    <t>박정주</t>
    <phoneticPr fontId="7" type="noConversion"/>
  </si>
  <si>
    <t>hyunsukyoo@kr.kpmg.com</t>
    <phoneticPr fontId="7" type="noConversion"/>
  </si>
  <si>
    <t>jungjoopark@kr.kpmg.com</t>
    <phoneticPr fontId="7" type="noConversion"/>
  </si>
  <si>
    <t>HIFI (Legacy)</t>
    <phoneticPr fontId="7" type="noConversion"/>
  </si>
  <si>
    <t>유통업</t>
    <phoneticPr fontId="7" type="noConversion"/>
  </si>
  <si>
    <t>changhyunan@kr.kpmg.com</t>
    <phoneticPr fontId="7" type="noConversion"/>
  </si>
  <si>
    <t>Fee/Eng</t>
    <phoneticPr fontId="7" type="noConversion"/>
  </si>
  <si>
    <t>Total Feel</t>
    <phoneticPr fontId="7" type="noConversion"/>
  </si>
  <si>
    <t>Consumer Products</t>
    <phoneticPr fontId="7" type="noConversion"/>
  </si>
  <si>
    <t>강승미</t>
    <phoneticPr fontId="7" type="noConversion"/>
  </si>
  <si>
    <t>김형진</t>
  </si>
  <si>
    <t>hkim111@kr.kpmg.com</t>
  </si>
  <si>
    <t>박정빈</t>
    <phoneticPr fontId="7" type="noConversion"/>
  </si>
  <si>
    <t>Media, Technology</t>
  </si>
  <si>
    <t>SAP</t>
  </si>
  <si>
    <t>곽승준</t>
    <phoneticPr fontId="7" type="noConversion"/>
  </si>
  <si>
    <t>이은영</t>
    <phoneticPr fontId="7" type="noConversion"/>
  </si>
  <si>
    <t>윤민철</t>
    <phoneticPr fontId="7" type="noConversion"/>
  </si>
  <si>
    <t>오청민</t>
  </si>
  <si>
    <t>오청민</t>
    <phoneticPr fontId="7" type="noConversion"/>
  </si>
  <si>
    <t>권혜빈</t>
  </si>
  <si>
    <t>권혜빈</t>
    <phoneticPr fontId="7" type="noConversion"/>
  </si>
  <si>
    <t>seungjunkwak@kr.kpmg.com</t>
    <phoneticPr fontId="7" type="noConversion"/>
  </si>
  <si>
    <t>elee44@kr.kpmg.com</t>
  </si>
  <si>
    <t>chungminoh@kr.kpmg.com</t>
  </si>
  <si>
    <t>hyebinkwon@kr.kpmg.com</t>
  </si>
  <si>
    <t>skim270@kr.kpmg.com</t>
  </si>
  <si>
    <t>김선호</t>
    <phoneticPr fontId="7" type="noConversion"/>
  </si>
  <si>
    <t>수주산업</t>
  </si>
  <si>
    <t>Consturciotn</t>
  </si>
  <si>
    <t>조용경</t>
    <phoneticPr fontId="7" type="noConversion"/>
  </si>
  <si>
    <t>yongkyungjo@kr.kpmg.com</t>
  </si>
  <si>
    <t>2/19 송부</t>
    <phoneticPr fontId="7" type="noConversion"/>
  </si>
  <si>
    <t>분석</t>
  </si>
  <si>
    <t>정지은</t>
    <phoneticPr fontId="7" type="noConversion"/>
  </si>
  <si>
    <t>jjung30@kr.kpmg.com</t>
    <phoneticPr fontId="7" type="noConversion"/>
  </si>
  <si>
    <t>정지은</t>
    <phoneticPr fontId="7" type="noConversion"/>
  </si>
  <si>
    <t>jjung30@kr.kpmg.com</t>
    <phoneticPr fontId="7" type="noConversion"/>
  </si>
  <si>
    <t>오움남</t>
    <phoneticPr fontId="7" type="noConversion"/>
  </si>
  <si>
    <t>uoh1@kr.kpmg.com</t>
    <phoneticPr fontId="7" type="noConversion"/>
  </si>
  <si>
    <t>UNI-ERP</t>
  </si>
  <si>
    <t>박정빈</t>
    <phoneticPr fontId="7" type="noConversion"/>
  </si>
  <si>
    <t>박정빈</t>
    <phoneticPr fontId="7" type="noConversion"/>
  </si>
  <si>
    <t>V</t>
    <phoneticPr fontId="7" type="noConversion"/>
  </si>
  <si>
    <t>(지주회사)</t>
  </si>
  <si>
    <t>이카운트ERP</t>
  </si>
  <si>
    <t>시멘트 제조업 (지주회사)</t>
    <phoneticPr fontId="7" type="noConversion"/>
  </si>
  <si>
    <t>X</t>
    <phoneticPr fontId="7" type="noConversion"/>
  </si>
  <si>
    <t>김영준</t>
    <phoneticPr fontId="7" type="noConversion"/>
  </si>
  <si>
    <t>ykim186@kr.kpmg.com</t>
    <phoneticPr fontId="7" type="noConversion"/>
  </si>
  <si>
    <t>jkim442@kr.kpmg.com</t>
    <phoneticPr fontId="7" type="noConversion"/>
  </si>
  <si>
    <t>김재원</t>
    <phoneticPr fontId="7" type="noConversion"/>
  </si>
  <si>
    <t>2/23 송부</t>
    <phoneticPr fontId="7" type="noConversion"/>
  </si>
  <si>
    <t>김영준</t>
    <phoneticPr fontId="7" type="noConversion"/>
  </si>
  <si>
    <t>ykim186@kr.kpmg.com</t>
    <phoneticPr fontId="7" type="noConversion"/>
  </si>
  <si>
    <t>jchoi103@kr.kpmg.com</t>
  </si>
  <si>
    <t>최재영</t>
    <phoneticPr fontId="7" type="noConversion"/>
  </si>
  <si>
    <t>slee424@kr.kpmg.com</t>
    <phoneticPr fontId="7" type="noConversion"/>
  </si>
  <si>
    <t>이성민</t>
    <phoneticPr fontId="7" type="noConversion"/>
  </si>
  <si>
    <t>오움남</t>
    <phoneticPr fontId="7" type="noConversion"/>
  </si>
  <si>
    <t>Eng당 비용($)</t>
    <phoneticPr fontId="20" type="noConversion"/>
  </si>
  <si>
    <t>Eng당 비용(\)</t>
    <phoneticPr fontId="20" type="noConversion"/>
  </si>
  <si>
    <t>박정빈</t>
    <phoneticPr fontId="7" type="noConversion"/>
  </si>
  <si>
    <t>김중규</t>
    <phoneticPr fontId="7" type="noConversion"/>
  </si>
  <si>
    <t>소비재</t>
  </si>
  <si>
    <t>김정</t>
    <phoneticPr fontId="7" type="noConversion"/>
  </si>
  <si>
    <t>김준회</t>
    <phoneticPr fontId="7" type="noConversion"/>
  </si>
  <si>
    <t>jkim444@kr.kpmg.com</t>
    <phoneticPr fontId="7" type="noConversion"/>
  </si>
  <si>
    <t>junhoekim@kr.kpmg.com</t>
    <phoneticPr fontId="7" type="noConversion"/>
  </si>
  <si>
    <t>2/25 송부</t>
    <phoneticPr fontId="7" type="noConversion"/>
  </si>
  <si>
    <t>한창수</t>
    <phoneticPr fontId="7" type="noConversion"/>
  </si>
  <si>
    <t>changsuhan@kr.kpmg.com</t>
    <phoneticPr fontId="7" type="noConversion"/>
  </si>
  <si>
    <t>한창수</t>
  </si>
  <si>
    <t>changsuhan@kr.kpmg.com</t>
  </si>
  <si>
    <t>추가</t>
  </si>
  <si>
    <t>실무자</t>
  </si>
  <si>
    <t>소비재-의류</t>
  </si>
  <si>
    <t xml:space="preserve">Consumer </t>
  </si>
  <si>
    <t>products</t>
  </si>
  <si>
    <t>박정빈</t>
    <phoneticPr fontId="7" type="noConversion"/>
  </si>
  <si>
    <t>O</t>
    <phoneticPr fontId="7" type="noConversion"/>
  </si>
  <si>
    <t>박정빈</t>
    <phoneticPr fontId="7" type="noConversion"/>
  </si>
  <si>
    <t>seungyeonbaek@kr.kpmg.com</t>
    <phoneticPr fontId="7" type="noConversion"/>
  </si>
  <si>
    <t>백승연</t>
    <phoneticPr fontId="7" type="noConversion"/>
  </si>
  <si>
    <t>hyunwookjeong@kr.kpmg.com</t>
  </si>
  <si>
    <t>hyunwookjeong@kr.kpmg.com</t>
    <phoneticPr fontId="7" type="noConversion"/>
  </si>
  <si>
    <t>정현욱</t>
  </si>
  <si>
    <t>정현욱</t>
    <phoneticPr fontId="7" type="noConversion"/>
  </si>
  <si>
    <t>박정빈</t>
    <phoneticPr fontId="7" type="noConversion"/>
  </si>
  <si>
    <t>정서정</t>
  </si>
  <si>
    <t>seojungjung@kr.kpmg.com</t>
  </si>
  <si>
    <t>3/3 송부</t>
    <phoneticPr fontId="7" type="noConversion"/>
  </si>
  <si>
    <t>더존</t>
    <phoneticPr fontId="7" type="noConversion"/>
  </si>
  <si>
    <t>CM2</t>
    <phoneticPr fontId="7" type="noConversion"/>
  </si>
  <si>
    <t>(주)비와이씨</t>
    <phoneticPr fontId="7" type="noConversion"/>
  </si>
  <si>
    <t>주식회사 BYC FY2025 외부감사</t>
  </si>
  <si>
    <t>주식회사 BYC FY2025 외부감사</t>
    <phoneticPr fontId="7" type="noConversion"/>
  </si>
  <si>
    <t>이종우</t>
    <phoneticPr fontId="7" type="noConversion"/>
  </si>
  <si>
    <t>박승현</t>
    <phoneticPr fontId="7" type="noConversion"/>
  </si>
  <si>
    <t>seunghyeonpark@kr.kpmg.com</t>
    <phoneticPr fontId="7" type="noConversion"/>
  </si>
  <si>
    <t>jongwoolee@kr.kpmg.com</t>
    <phoneticPr fontId="7" type="noConversion"/>
  </si>
  <si>
    <t>gunheekim@kr.kpmg.com</t>
  </si>
  <si>
    <t>김호용</t>
    <phoneticPr fontId="7" type="noConversion"/>
  </si>
  <si>
    <t>hoyongkim@kr.kpmg.com</t>
  </si>
  <si>
    <t>hoyongkim@kr.kpmg.com</t>
    <phoneticPr fontId="7" type="noConversion"/>
  </si>
  <si>
    <t>김철수</t>
  </si>
  <si>
    <t>김철수</t>
    <phoneticPr fontId="7" type="noConversion"/>
  </si>
  <si>
    <t>cheolsukim@kr.kpmg.com</t>
  </si>
  <si>
    <t>cheolsukim@kr.kpmg.com</t>
    <phoneticPr fontId="7" type="noConversion"/>
  </si>
  <si>
    <t>박정빈</t>
    <phoneticPr fontId="7" type="noConversion"/>
  </si>
  <si>
    <t>김유련</t>
  </si>
  <si>
    <t>yuryeonkim@kr.kpmg.com</t>
  </si>
  <si>
    <t>김효원</t>
  </si>
  <si>
    <t>김효원</t>
    <phoneticPr fontId="7" type="noConversion"/>
  </si>
  <si>
    <t>이보미</t>
  </si>
  <si>
    <t>이보미</t>
    <phoneticPr fontId="7" type="noConversion"/>
  </si>
  <si>
    <t>속옷 및 잠옷 제조업</t>
    <phoneticPr fontId="7" type="noConversion"/>
  </si>
  <si>
    <t>Consimer pruducts, real eastate</t>
    <phoneticPr fontId="7" type="noConversion"/>
  </si>
  <si>
    <t>자체개발 ERP</t>
    <phoneticPr fontId="7" type="noConversion"/>
  </si>
  <si>
    <t>115.2.02
115.2.12.b
115.2.13</t>
    <phoneticPr fontId="7" type="noConversion"/>
  </si>
  <si>
    <t>Y</t>
    <phoneticPr fontId="7" type="noConversion"/>
  </si>
  <si>
    <t>hkim304@kr.kpmg.com</t>
  </si>
  <si>
    <t>hkim304@kr.kpmg.com</t>
    <phoneticPr fontId="7" type="noConversion"/>
  </si>
  <si>
    <t>blee40@kr.kpmg.com</t>
  </si>
  <si>
    <t>blee40@kr.kpmg.com</t>
    <phoneticPr fontId="7" type="noConversion"/>
  </si>
  <si>
    <t>김학송</t>
  </si>
  <si>
    <t>김학송</t>
    <phoneticPr fontId="7" type="noConversion"/>
  </si>
  <si>
    <t>haksongkim@kr.kpmg.com</t>
  </si>
  <si>
    <t>haksongkim@kr.kpmg.com</t>
    <phoneticPr fontId="7" type="noConversion"/>
  </si>
  <si>
    <t>탭, 밸브 및 유사장치 제조업</t>
  </si>
  <si>
    <t>Industrial products</t>
  </si>
  <si>
    <t>영림원</t>
  </si>
  <si>
    <t>3/4 송부</t>
    <phoneticPr fontId="7" type="noConversion"/>
  </si>
  <si>
    <t>이미 감사 절차 수행완료</t>
    <phoneticPr fontId="7" type="noConversion"/>
  </si>
  <si>
    <t>yonghoonyoo@kr.kpmg.com</t>
    <phoneticPr fontId="7" type="noConversion"/>
  </si>
  <si>
    <t>FY25_SK하이닉스_3Q</t>
  </si>
  <si>
    <t>4Q</t>
    <phoneticPr fontId="7" type="noConversion"/>
  </si>
  <si>
    <t>4Q_SK하이닉스 FY2025 외부감사</t>
    <phoneticPr fontId="7" type="noConversion"/>
  </si>
  <si>
    <t>2025-01-01 ~ 2025-12-31</t>
    <phoneticPr fontId="20" type="noConversion"/>
  </si>
  <si>
    <t>2025-10-01 ~ 2025-12-31</t>
    <phoneticPr fontId="20" type="noConversion"/>
  </si>
  <si>
    <t>2Q_FY25_한국전력공사_외부회계감사</t>
    <phoneticPr fontId="7" type="noConversion"/>
  </si>
  <si>
    <t>하반기_FY25_한국전력공사_외부회계감사</t>
    <phoneticPr fontId="7" type="noConversion"/>
  </si>
  <si>
    <t>SK브로드밴드 2025년 외부감사 2Q</t>
    <phoneticPr fontId="20" type="noConversion"/>
  </si>
  <si>
    <t>2025-07-01 ~ 2025-12-31</t>
    <phoneticPr fontId="7" type="noConversion"/>
  </si>
  <si>
    <t>2025-01-01 ~ 2025-11-30</t>
    <phoneticPr fontId="20" type="noConversion"/>
  </si>
  <si>
    <t>3Q_SK이노베이션 2025년 외부감사</t>
    <phoneticPr fontId="20" type="noConversion"/>
  </si>
  <si>
    <t>3Q_2025년 SK이노베이션 E&amp;S</t>
    <phoneticPr fontId="20" type="noConversion"/>
  </si>
  <si>
    <t>Q2_2025 SK에너지 외부감사</t>
    <phoneticPr fontId="20" type="noConversion"/>
  </si>
  <si>
    <t>Q4_2025 SK에너지 외부감사</t>
    <phoneticPr fontId="20" type="noConversion"/>
  </si>
  <si>
    <t>4Q_FY25 삼성전자 외부감사</t>
    <phoneticPr fontId="20" type="noConversion"/>
  </si>
  <si>
    <t>2025-01-01 ~ 2025-12-31</t>
    <phoneticPr fontId="7" type="noConversion"/>
  </si>
  <si>
    <t>YE_2025년 카카오 외부감사</t>
    <phoneticPr fontId="20" type="noConversion"/>
  </si>
  <si>
    <t>4Q</t>
    <phoneticPr fontId="20" type="noConversion"/>
  </si>
  <si>
    <t>주식회사 카카오</t>
  </si>
  <si>
    <t>4Q_FY25 네이버 외부감사</t>
    <phoneticPr fontId="7" type="noConversion"/>
  </si>
  <si>
    <t>현대모비스 ㈜</t>
  </si>
  <si>
    <t>1Q FY25 현대모비스 외부감사</t>
    <phoneticPr fontId="20" type="noConversion"/>
  </si>
  <si>
    <t>2025-04-01 ~ 2025-06-30</t>
    <phoneticPr fontId="20" type="noConversion"/>
  </si>
  <si>
    <t>2Q FY25 현대모비스 외부감사</t>
    <phoneticPr fontId="20" type="noConversion"/>
  </si>
  <si>
    <t>2025-07-01 ~ 2025-09-30</t>
    <phoneticPr fontId="20" type="noConversion"/>
  </si>
  <si>
    <t>4Q FY25 현대모비스 외부감사</t>
    <phoneticPr fontId="20" type="noConversion"/>
  </si>
  <si>
    <t>3Q FY25 현대모비스 외부감사</t>
    <phoneticPr fontId="20" type="noConversion"/>
  </si>
  <si>
    <t>4Q_2025 회계연도 법정감사_대한항공</t>
    <phoneticPr fontId="7" type="noConversion"/>
  </si>
  <si>
    <t>4Q_[아시아나항공] 2025년 지정 감사</t>
    <phoneticPr fontId="7" type="noConversion"/>
  </si>
  <si>
    <t>4Q_삼성바이오로직스 외부감사_FY25</t>
    <phoneticPr fontId="20" type="noConversion"/>
  </si>
  <si>
    <t>삼성디스플레이 주식회사</t>
  </si>
  <si>
    <t>FY25_삼성디스플레이_외부감사</t>
    <phoneticPr fontId="20" type="noConversion"/>
  </si>
  <si>
    <t>YE_FY25_삼성디스플레이_외부감사</t>
    <phoneticPr fontId="20" type="noConversion"/>
  </si>
  <si>
    <t>4Q_FY2025_SK네트웍스_법정감사</t>
    <phoneticPr fontId="20" type="noConversion"/>
  </si>
  <si>
    <t>넷마블 주식회사</t>
  </si>
  <si>
    <t>FY25 넷마블 외부감사</t>
    <phoneticPr fontId="20" type="noConversion"/>
  </si>
  <si>
    <t>3Q_FY25 넷마블 외부감사</t>
    <phoneticPr fontId="20" type="noConversion"/>
  </si>
  <si>
    <t>4Q_FY25 넷마블 외부감사</t>
    <phoneticPr fontId="20" type="noConversion"/>
  </si>
  <si>
    <t>3Q_[팬오션] FY25 외부감사 (주기적 지정)</t>
    <phoneticPr fontId="20" type="noConversion"/>
  </si>
  <si>
    <t>에스케이지오센트릭 주식회사</t>
  </si>
  <si>
    <t>2Q_에스케이지오센트릭 주식회사 FY2025 외부감사</t>
    <phoneticPr fontId="20" type="noConversion"/>
  </si>
  <si>
    <t>4Q_FY2025 하이트진로 주식회사 외부감사</t>
    <phoneticPr fontId="20" type="noConversion"/>
  </si>
  <si>
    <t>4Q_GSC FY25 회계감사</t>
    <phoneticPr fontId="7" type="noConversion"/>
  </si>
  <si>
    <t>4Q_크래프톤 FY25 외부감사</t>
    <phoneticPr fontId="20" type="noConversion"/>
  </si>
  <si>
    <t>FY25.4Q_제일기획_Y7Z2(SAR)</t>
    <phoneticPr fontId="20" type="noConversion"/>
  </si>
  <si>
    <t>FY25.4Q_제일기획_Y1B0(KRW)</t>
    <phoneticPr fontId="20" type="noConversion"/>
  </si>
  <si>
    <t>FY25.4Q_제일기획_Y2Z1(JPY)</t>
    <phoneticPr fontId="20" type="noConversion"/>
  </si>
  <si>
    <t>4Q_E1 2025 회계감사(주기적지정)</t>
    <phoneticPr fontId="20" type="noConversion"/>
  </si>
  <si>
    <t>FY2025 4Q 현대백화점</t>
    <phoneticPr fontId="20" type="noConversion"/>
  </si>
  <si>
    <t>4Q_FY25 KG 모빌리티_지정감사</t>
    <phoneticPr fontId="20" type="noConversion"/>
  </si>
  <si>
    <t>4Q_엘앤에프 FY25 지정감사</t>
    <phoneticPr fontId="20" type="noConversion"/>
  </si>
  <si>
    <t>4Q_[대한전선] FY2025 지정감사</t>
    <phoneticPr fontId="20" type="noConversion"/>
  </si>
  <si>
    <t>주식회사 카카오게임즈</t>
  </si>
  <si>
    <t>4Q_2025년 카카오게임즈 외부감사</t>
    <phoneticPr fontId="20" type="noConversion"/>
  </si>
  <si>
    <t>4Q_FY25 펄어비스 외부감사</t>
    <phoneticPr fontId="20" type="noConversion"/>
  </si>
  <si>
    <t>4Q_에스엠엔터테인먼트_FY2025_외부감사</t>
    <phoneticPr fontId="20" type="noConversion"/>
  </si>
  <si>
    <t>4Q_FY25_한국남부발전_외부감사</t>
    <phoneticPr fontId="20" type="noConversion"/>
  </si>
  <si>
    <t>FY25_CJFW_FO</t>
    <phoneticPr fontId="20" type="noConversion"/>
  </si>
  <si>
    <t>FY25_CJFW_FW</t>
    <phoneticPr fontId="20" type="noConversion"/>
  </si>
  <si>
    <t>4Q_동원F&amp;B_외부감사_FY25</t>
    <phoneticPr fontId="20" type="noConversion"/>
  </si>
  <si>
    <t xml:space="preserve">한일시멘트(주) </t>
  </si>
  <si>
    <t>4Q_한일시멘트 FY25 외부감사</t>
    <phoneticPr fontId="20" type="noConversion"/>
  </si>
  <si>
    <t>4Q_FY25_산타클로스ENT_지정감사</t>
    <phoneticPr fontId="20" type="noConversion"/>
  </si>
  <si>
    <t>에스케이케미칼</t>
  </si>
  <si>
    <t>4Q_SK케미칼 2025년 지정감사</t>
    <phoneticPr fontId="20" type="noConversion"/>
  </si>
  <si>
    <t>4Q_남해화학 FY2025 외부감사</t>
    <phoneticPr fontId="20" type="noConversion"/>
  </si>
  <si>
    <t>4Q_웹젠 FY2025 외부감사</t>
    <phoneticPr fontId="20" type="noConversion"/>
  </si>
  <si>
    <t>4Q_알파홀딩스_FY2025_지정감사</t>
    <phoneticPr fontId="7" type="noConversion"/>
  </si>
  <si>
    <t xml:space="preserve">(주)이수화학 </t>
  </si>
  <si>
    <t>4Q_이수화학_2025년 회계감사</t>
    <phoneticPr fontId="20" type="noConversion"/>
  </si>
  <si>
    <t>4Q_2025년 무림페이퍼 법정감사</t>
    <phoneticPr fontId="20" type="noConversion"/>
  </si>
  <si>
    <t>4Q_2025년 무림피앤피 법정감사</t>
    <phoneticPr fontId="20" type="noConversion"/>
  </si>
  <si>
    <t>4Q_우리홈쇼핑_FY2025_법정감사</t>
    <phoneticPr fontId="7" type="noConversion"/>
  </si>
  <si>
    <t>3Q_[한화갤러리아] FY2025 외부감사</t>
    <phoneticPr fontId="20" type="noConversion"/>
  </si>
  <si>
    <t>4Q_[HDC현대EP] FY2025 지정감사</t>
    <phoneticPr fontId="20" type="noConversion"/>
  </si>
  <si>
    <t xml:space="preserve">한일홀딩스(주) </t>
  </si>
  <si>
    <t>4Q_한일홀딩스 2025년 지정감사(주기적)</t>
    <phoneticPr fontId="20" type="noConversion"/>
  </si>
  <si>
    <t>3Q_2025년 대한화섬 회계감사</t>
    <phoneticPr fontId="20" type="noConversion"/>
  </si>
  <si>
    <t>다우기술 2025년 외부감사_4Q</t>
    <phoneticPr fontId="20" type="noConversion"/>
  </si>
  <si>
    <t>4Q_에스티팜 외부감사_FY25</t>
    <phoneticPr fontId="20" type="noConversion"/>
  </si>
  <si>
    <t>FY2025 삼아알미늄 외부감사_4Q</t>
    <phoneticPr fontId="20" type="noConversion"/>
  </si>
  <si>
    <t>3Q_FY2025 코맥스 지정감사(2/3)</t>
    <phoneticPr fontId="20" type="noConversion"/>
  </si>
  <si>
    <t>4Q_FY25 켐트로닉스 외부감사</t>
    <phoneticPr fontId="20" type="noConversion"/>
  </si>
  <si>
    <t>Eng Code</t>
    <phoneticPr fontId="20" type="noConversion"/>
  </si>
  <si>
    <t>4Q</t>
  </si>
  <si>
    <t>4Q_티케이지휴켐스 외부감사 FY25</t>
    <phoneticPr fontId="20" type="noConversion"/>
  </si>
  <si>
    <t>3Q_[동국제약] FY2025 외부감사</t>
    <phoneticPr fontId="20" type="noConversion"/>
  </si>
  <si>
    <t>FY2025 네이버파이낸셜 외부감사_4Q</t>
    <phoneticPr fontId="20" type="noConversion"/>
  </si>
  <si>
    <t xml:space="preserve">에이치엘비생명과학(주) </t>
  </si>
  <si>
    <t>4Q_에이치엘비생명과학_외부감사_FY25</t>
    <phoneticPr fontId="20" type="noConversion"/>
  </si>
  <si>
    <t>3Q_KEC FY25 지정감사</t>
    <phoneticPr fontId="20" type="noConversion"/>
  </si>
  <si>
    <t>4Q_팅크웨어 FY25 주기적 지정감사</t>
    <phoneticPr fontId="7" type="noConversion"/>
  </si>
  <si>
    <t>제이앤티씨_외부감사_FY25_4Q</t>
    <phoneticPr fontId="20" type="noConversion"/>
  </si>
  <si>
    <t xml:space="preserve">㈜케이씨 </t>
  </si>
  <si>
    <t>4Q_2025년 케이씨 외부감사</t>
    <phoneticPr fontId="20" type="noConversion"/>
  </si>
  <si>
    <t>4Q_FY25 네이버 클라우드 외부감사업무</t>
    <phoneticPr fontId="20" type="noConversion"/>
  </si>
  <si>
    <t>3Q_십일번가_FY2025_외부감사 및 Group reporting</t>
    <phoneticPr fontId="7" type="noConversion"/>
  </si>
  <si>
    <t>4Q_FY25 디와이덕양(구, 덕양산업) 외부감사</t>
    <phoneticPr fontId="7" type="noConversion"/>
  </si>
  <si>
    <t>4Q_FY25 코오롱모빌리티그룹 외부감사</t>
    <phoneticPr fontId="20" type="noConversion"/>
  </si>
  <si>
    <t>4Q_FY25 삼성메디슨 외부감사</t>
    <phoneticPr fontId="20" type="noConversion"/>
  </si>
  <si>
    <t>4Q_[흥아해운] FY2025 외부감사</t>
    <phoneticPr fontId="20" type="noConversion"/>
  </si>
  <si>
    <t>FY2025_HD현대마린엔진 외부감사_4Q</t>
    <phoneticPr fontId="7" type="noConversion"/>
  </si>
  <si>
    <t xml:space="preserve">피에스케이 주식회사 </t>
  </si>
  <si>
    <t>4Q_FY2025 피에스케이 외부감사</t>
    <phoneticPr fontId="7" type="noConversion"/>
  </si>
  <si>
    <t xml:space="preserve">(주)위메이드플레이 </t>
  </si>
  <si>
    <t>3Q_위메이드플레이 FY25 외부감사</t>
    <phoneticPr fontId="7" type="noConversion"/>
  </si>
  <si>
    <t xml:space="preserve">(주)시노펙스 </t>
  </si>
  <si>
    <t>3Q_FY2025 시노펙스 외부감사</t>
    <phoneticPr fontId="7" type="noConversion"/>
  </si>
  <si>
    <t>4Q_FY2025 시노펙스 외부감사</t>
  </si>
  <si>
    <t xml:space="preserve">에스케이오션플랜트(주) </t>
  </si>
  <si>
    <t>4Q_[SK오션플랜트] FY2025 외부감사</t>
    <phoneticPr fontId="7" type="noConversion"/>
  </si>
  <si>
    <t>4Q_드림어스컴퍼니_FY2025_외부감사</t>
    <phoneticPr fontId="20" type="noConversion"/>
  </si>
  <si>
    <t xml:space="preserve">주식회사 아스플로 </t>
  </si>
  <si>
    <t>4Q_FY25_아스플로_지정감사</t>
    <phoneticPr fontId="7" type="noConversion"/>
  </si>
  <si>
    <t xml:space="preserve">주식회사 비씨월드제약 </t>
  </si>
  <si>
    <t>4Q_FY2025_비씨월드제약_외부(지정)감사</t>
    <phoneticPr fontId="7" type="noConversion"/>
  </si>
  <si>
    <t xml:space="preserve">티케이지태광(주) </t>
  </si>
  <si>
    <t>4Q_TKG태광 FY25 외부감사</t>
    <phoneticPr fontId="7" type="noConversion"/>
  </si>
  <si>
    <t xml:space="preserve">(주)앤에스 </t>
  </si>
  <si>
    <t>FY25_앤에스(구,뉴로스)_지정감사</t>
  </si>
  <si>
    <t>3Q_FY25_앤에스(구,뉴로스)_지정감사</t>
    <phoneticPr fontId="7" type="noConversion"/>
  </si>
  <si>
    <t>4Q_현우산업 FY2025 외부감사</t>
  </si>
  <si>
    <t xml:space="preserve">주식회사 이수앱지스 </t>
  </si>
  <si>
    <t>4Q_이수앱지스 2025년 외부감사(주기적 지정)</t>
    <phoneticPr fontId="7" type="noConversion"/>
  </si>
  <si>
    <t>4Q_[세라젬] FY2025 외부감사</t>
  </si>
  <si>
    <t xml:space="preserve">메가스터디교육 주식회사 </t>
  </si>
  <si>
    <t>3Q_메가스터디교육_FY2025 외부감사</t>
    <phoneticPr fontId="7" type="noConversion"/>
  </si>
  <si>
    <t>4Q_(주)동원홈푸드 외부감사_FY25</t>
    <phoneticPr fontId="20" type="noConversion"/>
  </si>
  <si>
    <t>4Q_니프코코리아 FY25 회계감사</t>
    <phoneticPr fontId="7" type="noConversion"/>
  </si>
  <si>
    <t>3Q_니프코코리아 FY25 회계감사</t>
    <phoneticPr fontId="7" type="noConversion"/>
  </si>
  <si>
    <t xml:space="preserve">주식회사 비와이엔블랙야크 </t>
  </si>
  <si>
    <t>4Q_비와이엔블랙야크 FY25 회계감사</t>
    <phoneticPr fontId="7" type="noConversion"/>
  </si>
  <si>
    <t>파르나스호텔_FY2025_법정감사_4Q</t>
    <phoneticPr fontId="7" type="noConversion"/>
  </si>
  <si>
    <t>4Q_(주)엘오티베큠</t>
  </si>
  <si>
    <t>4Q_헤일리온코리아 FY25 외부감사</t>
    <phoneticPr fontId="7" type="noConversion"/>
  </si>
  <si>
    <t>4Q_2025년 KG스틸 회계감사</t>
    <phoneticPr fontId="7" type="noConversion"/>
  </si>
  <si>
    <t>SK텔레콤㈜</t>
  </si>
  <si>
    <t>4Q_SK Telecom FY25 integrated audit</t>
    <phoneticPr fontId="7" type="noConversion"/>
  </si>
  <si>
    <t>2Q_SK Telecom FY25 integrated audit</t>
    <phoneticPr fontId="7" type="noConversion"/>
  </si>
  <si>
    <t>에스케이에코엔지니어링 주식회사</t>
  </si>
  <si>
    <t>4Q_[SK에코엔지니어링] FY2025 외부감사</t>
    <phoneticPr fontId="7" type="noConversion"/>
  </si>
  <si>
    <t>에스케이스토아 주식회사</t>
  </si>
  <si>
    <t>4Q_SK스토아 FY25 외부감사</t>
    <phoneticPr fontId="7" type="noConversion"/>
  </si>
  <si>
    <t>케이씨씨건설</t>
  </si>
  <si>
    <t>4Q_[케이씨씨건설] FY2025 외부감사</t>
    <phoneticPr fontId="7" type="noConversion"/>
  </si>
  <si>
    <t>스노우 주식회사</t>
  </si>
  <si>
    <t>4Q_FY2025 스노우 외부감사</t>
    <phoneticPr fontId="7" type="noConversion"/>
  </si>
  <si>
    <t>(주)비와이씨</t>
  </si>
  <si>
    <t>4Q_주식회사 BYC FY2025 외부감사</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</si>
</sst>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76" formatCode="#,##0_);[Red]\(#,##0\);\-_)"/>
    <numFmt numFmtId="177" formatCode="#,##0.00_ "/>
    <numFmt numFmtId="178" formatCode="#,##0.00_);[Red]\(#,##0.00\);\-_)"/>
    <numFmt numFmtId="179" formatCode="#,##0;[Red]\(#,##0\);\-_)"/>
    <numFmt numFmtId="180" formatCode="&quot;₩&quot;\ #,##0_);[Red]&quot;₩&quot;\ \(#,##0\);&quot;₩&quot;\ \-_)"/>
    <numFmt numFmtId="181" formatCode="0.0%"/>
    <numFmt numFmtId="182" formatCode="\￥\ #,##0_);[Red]\￥\ \(#,##0\);\￥\ \-_)"/>
    <numFmt numFmtId="183" formatCode="\€\ #,##0_);[Red]\€\ \(#,##0\);\€\ \-_)"/>
    <numFmt numFmtId="184" formatCode="&quot;SAR&quot;\ #,##0_);[Red]&quot;SAR&quot;\ \(#,##0\);&quot;SAR&quot;\ \-_)"/>
    <numFmt numFmtId="185" formatCode="_-[$$-409]* #,##0.0_ ;_-[$$-409]* \-#,##0.0\ ;_-[$$-409]* &quot;-&quot;??_ ;_-@_ "/>
    <numFmt numFmtId="186" formatCode="_-[$$-409]* #,##0_ ;_-[$$-409]* \-#,##0\ ;_-[$$-409]* &quot;-&quot;??_ ;_-@_ "/>
  </numFmts>
  <fonts count="4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11"/>
      <color rgb="FF000000"/>
      <name val="맑은 고딕"/>
      <family val="3"/>
      <charset val="129"/>
    </font>
    <font>
      <sz val="10"/>
      <color rgb="FF000000"/>
      <name val="맑은 고딕"/>
      <family val="3"/>
      <charset val="129"/>
    </font>
    <font>
      <b/>
      <sz val="10"/>
      <color rgb="FF000000"/>
      <name val="맑은 고딕"/>
      <family val="3"/>
      <charset val="129"/>
    </font>
    <font>
      <b/>
      <sz val="11"/>
      <color indexed="8"/>
      <name val="맑은 고딕"/>
      <family val="3"/>
      <charset val="129"/>
      <scheme val="minor"/>
    </font>
    <font>
      <sz val="10"/>
      <name val="맑은 고딕"/>
      <family val="3"/>
      <charset val="129"/>
      <scheme val="minor"/>
    </font>
    <font>
      <b/>
      <sz val="10"/>
      <color theme="0"/>
      <name val="맑은 고딕"/>
      <family val="3"/>
      <charset val="129"/>
    </font>
    <font>
      <sz val="11"/>
      <color theme="0"/>
      <name val="맑은 고딕"/>
      <family val="3"/>
      <charset val="129"/>
      <scheme val="minor"/>
    </font>
    <font>
      <b/>
      <sz val="10"/>
      <color rgb="FFFFFFFF"/>
      <name val="맑은 고딕"/>
      <family val="3"/>
      <charset val="129"/>
    </font>
    <font>
      <sz val="10"/>
      <color indexed="8"/>
      <name val="맑은 고딕"/>
      <family val="3"/>
      <charset val="129"/>
    </font>
    <font>
      <sz val="10"/>
      <name val="맑은 고딕"/>
      <family val="3"/>
      <charset val="129"/>
    </font>
    <font>
      <sz val="10"/>
      <color indexed="8"/>
      <name val="맑은 고딕"/>
      <family val="3"/>
      <charset val="129"/>
      <scheme val="minor"/>
    </font>
    <font>
      <sz val="8"/>
      <name val="맑은 고딕"/>
      <family val="2"/>
      <charset val="129"/>
      <scheme val="minor"/>
    </font>
    <font>
      <sz val="11"/>
      <color rgb="FF000000"/>
      <name val="맑은 고딕"/>
      <family val="3"/>
      <charset val="129"/>
      <scheme val="minor"/>
    </font>
    <font>
      <sz val="10"/>
      <color theme="1"/>
      <name val="맑은 고딕"/>
      <family val="3"/>
      <charset val="129"/>
      <scheme val="minor"/>
    </font>
    <font>
      <b/>
      <sz val="14"/>
      <color indexed="8"/>
      <name val="맑은 고딕"/>
      <family val="3"/>
      <charset val="129"/>
      <scheme val="minor"/>
    </font>
    <font>
      <b/>
      <sz val="10"/>
      <color theme="0"/>
      <name val="맑은 고딕"/>
      <family val="3"/>
      <charset val="129"/>
      <scheme val="minor"/>
    </font>
    <font>
      <sz val="8"/>
      <color indexed="8"/>
      <name val="맑은 고딕"/>
      <family val="2"/>
      <scheme val="minor"/>
    </font>
    <font>
      <sz val="9"/>
      <color theme="1"/>
      <name val="맑은 고딕"/>
      <family val="3"/>
      <charset val="129"/>
      <scheme val="minor"/>
    </font>
    <font>
      <b/>
      <sz val="9"/>
      <color theme="1"/>
      <name val="맑은 고딕"/>
      <family val="3"/>
      <charset val="129"/>
      <scheme val="minor"/>
    </font>
    <font>
      <sz val="11"/>
      <color indexed="8"/>
      <name val="맑은 고딕"/>
      <family val="3"/>
      <charset val="129"/>
      <scheme val="minor"/>
    </font>
    <font>
      <sz val="9"/>
      <color indexed="81"/>
      <name val="Tahoma"/>
      <family val="2"/>
    </font>
    <font>
      <b/>
      <sz val="9"/>
      <color indexed="81"/>
      <name val="Tahoma"/>
      <family val="2"/>
    </font>
    <font>
      <sz val="9"/>
      <color indexed="81"/>
      <name val="돋움"/>
      <family val="3"/>
      <charset val="129"/>
    </font>
    <font>
      <u/>
      <sz val="11"/>
      <color theme="10"/>
      <name val="맑은 고딕"/>
      <family val="2"/>
      <scheme val="minor"/>
    </font>
    <font>
      <b/>
      <sz val="11"/>
      <color theme="1"/>
      <name val="맑은 고딕"/>
      <family val="3"/>
      <charset val="129"/>
      <scheme val="minor"/>
    </font>
    <font>
      <sz val="11"/>
      <name val="맑은 고딕"/>
      <family val="3"/>
      <charset val="129"/>
      <scheme val="minor"/>
    </font>
    <font>
      <sz val="11"/>
      <name val="맑은 고딕"/>
      <family val="3"/>
      <charset val="129"/>
    </font>
    <font>
      <sz val="9"/>
      <color rgb="FF000000"/>
      <name val="맑은 고딕"/>
      <family val="3"/>
      <charset val="129"/>
    </font>
    <font>
      <b/>
      <sz val="11"/>
      <color indexed="8"/>
      <name val="맑은 고딕"/>
      <family val="2"/>
      <charset val="129"/>
      <scheme val="minor"/>
    </font>
    <font>
      <sz val="8"/>
      <color indexed="8"/>
      <name val="맑은 고딕"/>
      <family val="3"/>
      <charset val="129"/>
      <scheme val="minor"/>
    </font>
    <font>
      <b/>
      <sz val="9"/>
      <color indexed="81"/>
      <name val="돋움체"/>
      <family val="3"/>
      <charset val="129"/>
    </font>
    <font>
      <sz val="9"/>
      <color indexed="81"/>
      <name val="돋움체"/>
      <family val="3"/>
      <charset val="129"/>
    </font>
    <font>
      <sz val="10"/>
      <color rgb="FF333333"/>
      <name val="Arial"/>
      <family val="2"/>
    </font>
  </fonts>
  <fills count="23">
    <fill>
      <patternFill patternType="none"/>
    </fill>
    <fill>
      <patternFill patternType="gray125"/>
    </fill>
    <fill>
      <patternFill patternType="solid">
        <fgColor rgb="FFCAEDFB"/>
        <bgColor rgb="FF000000"/>
      </patternFill>
    </fill>
    <fill>
      <patternFill patternType="solid">
        <fgColor theme="5" tint="0.59999389629810485"/>
        <bgColor rgb="FF000000"/>
      </patternFill>
    </fill>
    <fill>
      <patternFill patternType="solid">
        <fgColor theme="5" tint="0.59999389629810485"/>
        <bgColor indexed="64"/>
      </patternFill>
    </fill>
    <fill>
      <patternFill patternType="solid">
        <fgColor theme="7" tint="-0.499984740745262"/>
        <bgColor rgb="FF000000"/>
      </patternFill>
    </fill>
    <fill>
      <patternFill patternType="solid">
        <fgColor theme="7" tint="-0.499984740745262"/>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rgb="FF808080"/>
        <bgColor indexed="64"/>
      </patternFill>
    </fill>
    <fill>
      <patternFill patternType="solid">
        <fgColor rgb="FFD9D9D9"/>
        <bgColor indexed="64"/>
      </patternFill>
    </fill>
    <fill>
      <patternFill patternType="solid">
        <fgColor theme="9" tint="0.79998168889431442"/>
        <bgColor indexed="64"/>
      </patternFill>
    </fill>
    <fill>
      <patternFill patternType="solid">
        <fgColor rgb="FF002060"/>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79998168889431442"/>
        <bgColor rgb="FF000000"/>
      </patternFill>
    </fill>
    <fill>
      <patternFill patternType="solid">
        <fgColor theme="8" tint="0.7999816888943144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theme="6" tint="0.79998168889431442"/>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medium">
        <color indexed="64"/>
      </right>
      <top style="medium">
        <color indexed="64"/>
      </top>
      <bottom style="thin">
        <color indexed="64"/>
      </bottom>
      <diagonal/>
    </border>
    <border>
      <left style="medium">
        <color indexed="64"/>
      </left>
      <right/>
      <top/>
      <bottom/>
      <diagonal/>
    </border>
    <border>
      <left/>
      <right/>
      <top style="medium">
        <color indexed="64"/>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medium">
        <color rgb="FFBFBFBF"/>
      </right>
      <top style="medium">
        <color indexed="64"/>
      </top>
      <bottom/>
      <diagonal/>
    </border>
    <border>
      <left/>
      <right style="medium">
        <color rgb="FFBFBFBF"/>
      </right>
      <top style="medium">
        <color indexed="64"/>
      </top>
      <bottom style="medium">
        <color rgb="FFBFBFBF"/>
      </bottom>
      <diagonal/>
    </border>
    <border>
      <left/>
      <right style="medium">
        <color indexed="64"/>
      </right>
      <top style="medium">
        <color indexed="64"/>
      </top>
      <bottom/>
      <diagonal/>
    </border>
    <border>
      <left style="medium">
        <color indexed="64"/>
      </left>
      <right/>
      <top/>
      <bottom style="medium">
        <color rgb="FFBFBFBF"/>
      </bottom>
      <diagonal/>
    </border>
    <border>
      <left/>
      <right/>
      <top/>
      <bottom style="medium">
        <color rgb="FFBFBFBF"/>
      </bottom>
      <diagonal/>
    </border>
    <border>
      <left/>
      <right style="medium">
        <color indexed="64"/>
      </right>
      <top/>
      <bottom style="medium">
        <color rgb="FFBFBFBF"/>
      </bottom>
      <diagonal/>
    </border>
    <border>
      <left style="medium">
        <color indexed="64"/>
      </left>
      <right style="medium">
        <color rgb="FFBFBFBF"/>
      </right>
      <top/>
      <bottom style="medium">
        <color rgb="FFBFBFBF"/>
      </bottom>
      <diagonal/>
    </border>
    <border>
      <left/>
      <right style="medium">
        <color rgb="FFBFBFBF"/>
      </right>
      <top/>
      <bottom style="medium">
        <color rgb="FFBFBFBF"/>
      </bottom>
      <diagonal/>
    </border>
    <border>
      <left style="medium">
        <color indexed="64"/>
      </left>
      <right style="medium">
        <color rgb="FFBFBFBF"/>
      </right>
      <top/>
      <bottom style="medium">
        <color indexed="64"/>
      </bottom>
      <diagonal/>
    </border>
    <border>
      <left/>
      <right style="medium">
        <color rgb="FFBFBFBF"/>
      </right>
      <top/>
      <bottom style="medium">
        <color indexed="64"/>
      </bottom>
      <diagonal/>
    </border>
    <border>
      <left/>
      <right style="medium">
        <color indexed="64"/>
      </right>
      <top/>
      <bottom style="medium">
        <color indexed="64"/>
      </bottom>
      <diagonal/>
    </border>
    <border>
      <left style="medium">
        <color rgb="FFBFBFBF"/>
      </left>
      <right/>
      <top style="medium">
        <color indexed="64"/>
      </top>
      <bottom style="medium">
        <color rgb="FFBFBFBF"/>
      </bottom>
      <diagonal/>
    </border>
    <border>
      <left style="medium">
        <color indexed="64"/>
      </left>
      <right/>
      <top style="medium">
        <color rgb="FFBFBFBF"/>
      </top>
      <bottom style="medium">
        <color rgb="FFBFBFBF"/>
      </bottom>
      <diagonal/>
    </border>
    <border>
      <left/>
      <right/>
      <top style="medium">
        <color rgb="FFBFBFBF"/>
      </top>
      <bottom style="medium">
        <color rgb="FFBFBFBF"/>
      </bottom>
      <diagonal/>
    </border>
    <border>
      <left/>
      <right style="medium">
        <color indexed="64"/>
      </right>
      <top style="medium">
        <color rgb="FFBFBFBF"/>
      </top>
      <bottom style="medium">
        <color rgb="FFBFBFBF"/>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0"/>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0"/>
      </right>
      <top style="thin">
        <color theme="0"/>
      </top>
      <bottom/>
      <diagonal/>
    </border>
  </borders>
  <cellStyleXfs count="7">
    <xf numFmtId="0" fontId="0" fillId="0" borderId="0">
      <alignment vertical="center"/>
    </xf>
    <xf numFmtId="0" fontId="8" fillId="0" borderId="0">
      <alignment vertical="center"/>
    </xf>
    <xf numFmtId="0" fontId="6" fillId="0" borderId="0">
      <alignment vertical="center"/>
    </xf>
    <xf numFmtId="0" fontId="32" fillId="0" borderId="0" applyNumberFormat="0" applyFill="0" applyBorder="0" applyAlignment="0" applyProtection="0">
      <alignment vertical="center"/>
    </xf>
    <xf numFmtId="0" fontId="5" fillId="0" borderId="0">
      <alignment vertical="center"/>
    </xf>
    <xf numFmtId="9" fontId="5" fillId="0" borderId="0" applyFont="0" applyFill="0" applyBorder="0" applyAlignment="0" applyProtection="0">
      <alignment vertical="center"/>
    </xf>
    <xf numFmtId="9" fontId="8" fillId="0" borderId="0" applyFont="0" applyFill="0" applyBorder="0" applyAlignment="0" applyProtection="0">
      <alignment vertical="center"/>
    </xf>
  </cellStyleXfs>
  <cellXfs count="228">
    <xf numFmtId="0" fontId="0" fillId="0" borderId="0" xfId="0">
      <alignment vertical="center"/>
    </xf>
    <xf numFmtId="0" fontId="9" fillId="0" borderId="0" xfId="0" applyFont="1">
      <alignment vertical="center"/>
    </xf>
    <xf numFmtId="0" fontId="10" fillId="0" borderId="2" xfId="0" applyFont="1" applyBorder="1">
      <alignment vertical="center"/>
    </xf>
    <xf numFmtId="0" fontId="10" fillId="0" borderId="3" xfId="0" applyFont="1" applyBorder="1">
      <alignment vertical="center"/>
    </xf>
    <xf numFmtId="0" fontId="11" fillId="2"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0" borderId="0" xfId="0" applyFont="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alignment vertical="center"/>
    </xf>
    <xf numFmtId="0" fontId="11" fillId="3" borderId="6" xfId="0" applyFont="1" applyFill="1" applyBorder="1" applyAlignment="1">
      <alignment horizontal="centerContinuous" vertical="center" wrapText="1"/>
    </xf>
    <xf numFmtId="0" fontId="11" fillId="3" borderId="7" xfId="0" applyFont="1" applyFill="1" applyBorder="1" applyAlignment="1">
      <alignment horizontal="centerContinuous" vertical="center" wrapText="1"/>
    </xf>
    <xf numFmtId="0" fontId="11" fillId="3" borderId="9" xfId="0" applyFont="1" applyFill="1" applyBorder="1" applyAlignment="1">
      <alignment horizontal="centerContinuous" vertical="center" wrapText="1"/>
    </xf>
    <xf numFmtId="0" fontId="11" fillId="3" borderId="8" xfId="0" applyFont="1" applyFill="1" applyBorder="1" applyAlignment="1">
      <alignment horizontal="center" vertical="center" wrapText="1"/>
    </xf>
    <xf numFmtId="0" fontId="11" fillId="3" borderId="11" xfId="0" applyFont="1" applyFill="1" applyBorder="1" applyAlignment="1">
      <alignment horizontal="centerContinuous" vertical="center" wrapText="1"/>
    </xf>
    <xf numFmtId="0" fontId="11" fillId="2" borderId="12" xfId="0" applyFont="1" applyFill="1" applyBorder="1" applyAlignment="1">
      <alignment horizontal="centerContinuous" vertical="center" wrapText="1"/>
    </xf>
    <xf numFmtId="0" fontId="11" fillId="2" borderId="10" xfId="0" applyFont="1" applyFill="1" applyBorder="1" applyAlignment="1">
      <alignment horizontal="centerContinuous" vertical="center" wrapText="1"/>
    </xf>
    <xf numFmtId="0" fontId="11" fillId="2" borderId="6" xfId="0" applyFont="1" applyFill="1" applyBorder="1" applyAlignment="1">
      <alignment horizontal="centerContinuous" vertical="center" wrapText="1"/>
    </xf>
    <xf numFmtId="0" fontId="11" fillId="2" borderId="13" xfId="0" applyFont="1" applyFill="1" applyBorder="1" applyAlignment="1">
      <alignment horizontal="centerContinuous" vertical="center" wrapText="1"/>
    </xf>
    <xf numFmtId="0" fontId="11" fillId="2" borderId="4" xfId="0" applyFont="1" applyFill="1" applyBorder="1" applyAlignment="1">
      <alignment horizontal="centerContinuous" vertical="center" wrapText="1"/>
    </xf>
    <xf numFmtId="0" fontId="11" fillId="2" borderId="3" xfId="0" applyFont="1" applyFill="1" applyBorder="1" applyAlignment="1">
      <alignment horizontal="centerContinuous" vertical="center" wrapText="1"/>
    </xf>
    <xf numFmtId="0" fontId="11" fillId="2" borderId="2" xfId="0" applyFont="1" applyFill="1" applyBorder="1" applyAlignment="1">
      <alignment horizontal="center" vertical="center" wrapText="1"/>
    </xf>
    <xf numFmtId="0" fontId="11" fillId="3" borderId="14" xfId="0" applyFont="1" applyFill="1" applyBorder="1" applyAlignment="1">
      <alignment horizontal="center" vertical="center" wrapText="1"/>
    </xf>
    <xf numFmtId="0" fontId="11" fillId="3" borderId="15" xfId="0" applyFont="1" applyFill="1" applyBorder="1" applyAlignment="1">
      <alignment horizontal="center" vertical="center" wrapText="1"/>
    </xf>
    <xf numFmtId="0" fontId="11" fillId="3" borderId="0" xfId="0" applyFont="1" applyFill="1" applyAlignment="1">
      <alignment horizontal="center" vertical="center" wrapText="1"/>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10" fillId="0" borderId="5" xfId="0" applyFont="1" applyBorder="1" applyAlignment="1">
      <alignment horizontal="center" vertical="center"/>
    </xf>
    <xf numFmtId="0" fontId="10" fillId="0" borderId="5" xfId="0" applyFont="1" applyBorder="1">
      <alignment vertical="center"/>
    </xf>
    <xf numFmtId="0" fontId="9" fillId="0" borderId="1" xfId="0" applyFont="1" applyBorder="1" applyAlignment="1">
      <alignment horizontal="center" vertical="center"/>
    </xf>
    <xf numFmtId="0" fontId="10" fillId="0" borderId="1" xfId="0" applyFont="1" applyBorder="1" applyAlignment="1">
      <alignment horizontal="center" vertical="center" wrapText="1"/>
    </xf>
    <xf numFmtId="0" fontId="13" fillId="0" borderId="1" xfId="0" applyFont="1" applyBorder="1" applyAlignment="1">
      <alignment horizontal="center" vertical="center" shrinkToFit="1"/>
    </xf>
    <xf numFmtId="0" fontId="10" fillId="0" borderId="4" xfId="0" applyFont="1" applyBorder="1">
      <alignment vertical="center"/>
    </xf>
    <xf numFmtId="0" fontId="10" fillId="0" borderId="16" xfId="0" applyFont="1" applyBorder="1">
      <alignment vertical="center"/>
    </xf>
    <xf numFmtId="0" fontId="10" fillId="0" borderId="17" xfId="0" applyFont="1" applyBorder="1" applyAlignment="1">
      <alignment vertical="center" wrapText="1"/>
    </xf>
    <xf numFmtId="0" fontId="10" fillId="0" borderId="17" xfId="0" applyFont="1" applyBorder="1">
      <alignment vertical="center"/>
    </xf>
    <xf numFmtId="0" fontId="10" fillId="0" borderId="13" xfId="0" applyFont="1" applyBorder="1">
      <alignment vertical="center"/>
    </xf>
    <xf numFmtId="0" fontId="10" fillId="0" borderId="4" xfId="0" applyFont="1" applyBorder="1" applyAlignment="1">
      <alignment vertical="center" wrapText="1"/>
    </xf>
    <xf numFmtId="14" fontId="10" fillId="0" borderId="1" xfId="0" applyNumberFormat="1" applyFont="1" applyBorder="1" applyAlignment="1">
      <alignment horizontal="center" vertical="center"/>
    </xf>
    <xf numFmtId="0" fontId="11" fillId="3" borderId="12" xfId="0" applyFont="1" applyFill="1" applyBorder="1" applyAlignment="1">
      <alignment horizontal="centerContinuous" vertical="center" wrapText="1"/>
    </xf>
    <xf numFmtId="0" fontId="11" fillId="3" borderId="10" xfId="0" applyFont="1" applyFill="1" applyBorder="1" applyAlignment="1">
      <alignment horizontal="centerContinuous" vertical="center" wrapText="1"/>
    </xf>
    <xf numFmtId="0" fontId="11" fillId="3" borderId="13" xfId="0" applyFont="1" applyFill="1" applyBorder="1" applyAlignment="1">
      <alignment horizontal="centerContinuous" vertical="center" wrapText="1"/>
    </xf>
    <xf numFmtId="0" fontId="11" fillId="3" borderId="4" xfId="0" applyFont="1" applyFill="1" applyBorder="1" applyAlignment="1">
      <alignment horizontal="centerContinuous" vertical="center" wrapText="1"/>
    </xf>
    <xf numFmtId="0" fontId="11" fillId="3" borderId="3" xfId="0" applyFont="1" applyFill="1" applyBorder="1" applyAlignment="1">
      <alignment horizontal="centerContinuous" vertical="center" wrapText="1"/>
    </xf>
    <xf numFmtId="0" fontId="10" fillId="0" borderId="17" xfId="0" applyFont="1" applyBorder="1" applyAlignment="1">
      <alignment horizontal="center" vertical="center"/>
    </xf>
    <xf numFmtId="0" fontId="10" fillId="0" borderId="17" xfId="0" applyFont="1" applyBorder="1" applyAlignment="1">
      <alignment horizontal="center" vertical="center" wrapText="1"/>
    </xf>
    <xf numFmtId="14" fontId="10" fillId="0" borderId="17" xfId="0" applyNumberFormat="1" applyFont="1" applyBorder="1" applyAlignment="1">
      <alignment horizontal="center" vertical="center"/>
    </xf>
    <xf numFmtId="0" fontId="10" fillId="0" borderId="17" xfId="0" applyFont="1" applyBorder="1" applyAlignment="1">
      <alignment horizontal="left" vertical="center"/>
    </xf>
    <xf numFmtId="0" fontId="11" fillId="3" borderId="18" xfId="0" applyFont="1" applyFill="1" applyBorder="1" applyAlignment="1">
      <alignment vertical="center" wrapText="1"/>
    </xf>
    <xf numFmtId="0" fontId="11" fillId="3" borderId="19" xfId="0" applyFont="1" applyFill="1" applyBorder="1" applyAlignment="1">
      <alignment vertical="center" wrapText="1"/>
    </xf>
    <xf numFmtId="0" fontId="15" fillId="6" borderId="0" xfId="0" applyFont="1" applyFill="1" applyAlignment="1">
      <alignment horizontal="centerContinuous" vertical="center"/>
    </xf>
    <xf numFmtId="0" fontId="14" fillId="5" borderId="0" xfId="0" applyFont="1" applyFill="1" applyAlignment="1">
      <alignment horizontal="centerContinuous" vertical="center" wrapText="1"/>
    </xf>
    <xf numFmtId="0" fontId="10" fillId="7" borderId="17" xfId="0" applyFont="1" applyFill="1" applyBorder="1" applyAlignment="1">
      <alignment horizontal="center" vertical="center"/>
    </xf>
    <xf numFmtId="0" fontId="10" fillId="8" borderId="17" xfId="0" applyFont="1" applyFill="1" applyBorder="1" applyAlignment="1">
      <alignment horizontal="center" vertical="center"/>
    </xf>
    <xf numFmtId="0" fontId="10" fillId="9" borderId="17" xfId="0" applyFont="1" applyFill="1" applyBorder="1" applyAlignment="1">
      <alignment horizontal="center" vertical="center"/>
    </xf>
    <xf numFmtId="0" fontId="10" fillId="4" borderId="17" xfId="0" applyFont="1" applyFill="1" applyBorder="1" applyAlignment="1">
      <alignment horizontal="center" vertical="center"/>
    </xf>
    <xf numFmtId="0" fontId="10" fillId="10" borderId="17" xfId="0" applyFont="1" applyFill="1" applyBorder="1" applyAlignment="1">
      <alignment horizontal="center" vertical="center"/>
    </xf>
    <xf numFmtId="18" fontId="0" fillId="0" borderId="0" xfId="0" applyNumberFormat="1">
      <alignment vertical="center"/>
    </xf>
    <xf numFmtId="0" fontId="16" fillId="11" borderId="20" xfId="0" applyFont="1" applyFill="1" applyBorder="1" applyAlignment="1">
      <alignment vertical="center" wrapText="1"/>
    </xf>
    <xf numFmtId="0" fontId="16" fillId="11" borderId="22" xfId="0" applyFont="1" applyFill="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justify" vertical="center" wrapText="1"/>
    </xf>
    <xf numFmtId="0" fontId="17" fillId="0" borderId="27" xfId="0" applyFont="1" applyBorder="1" applyAlignment="1">
      <alignment horizontal="center" vertical="center" wrapText="1"/>
    </xf>
    <xf numFmtId="0" fontId="17" fillId="0" borderId="27" xfId="0" applyFont="1" applyBorder="1" applyAlignment="1">
      <alignment vertical="center" wrapText="1"/>
    </xf>
    <xf numFmtId="0" fontId="17" fillId="0" borderId="25" xfId="0" applyFont="1" applyBorder="1" applyAlignment="1">
      <alignment vertical="center" wrapText="1"/>
    </xf>
    <xf numFmtId="3" fontId="0" fillId="0" borderId="0" xfId="0" applyNumberFormat="1">
      <alignment vertical="center"/>
    </xf>
    <xf numFmtId="0" fontId="17" fillId="0" borderId="28" xfId="0" applyFont="1" applyBorder="1" applyAlignment="1">
      <alignment horizontal="center" vertical="center" wrapText="1"/>
    </xf>
    <xf numFmtId="0" fontId="17" fillId="0" borderId="29" xfId="0" applyFont="1" applyBorder="1" applyAlignment="1">
      <alignment horizontal="justify" vertical="center" wrapText="1"/>
    </xf>
    <xf numFmtId="0" fontId="17" fillId="0" borderId="29" xfId="0" applyFont="1" applyBorder="1" applyAlignment="1">
      <alignment horizontal="center" vertical="center" wrapText="1"/>
    </xf>
    <xf numFmtId="0" fontId="17" fillId="0" borderId="30" xfId="0" applyFont="1" applyBorder="1" applyAlignment="1">
      <alignment vertical="center" wrapText="1"/>
    </xf>
    <xf numFmtId="176" fontId="18" fillId="0" borderId="27" xfId="0" applyNumberFormat="1" applyFont="1" applyBorder="1" applyAlignment="1">
      <alignment horizontal="right" vertical="center" wrapText="1"/>
    </xf>
    <xf numFmtId="4" fontId="0" fillId="0" borderId="0" xfId="0" applyNumberFormat="1">
      <alignment vertical="center"/>
    </xf>
    <xf numFmtId="177" fontId="0" fillId="0" borderId="0" xfId="0" applyNumberFormat="1">
      <alignment vertical="center"/>
    </xf>
    <xf numFmtId="178" fontId="18" fillId="0" borderId="27" xfId="0" applyNumberFormat="1" applyFont="1" applyBorder="1" applyAlignment="1">
      <alignment horizontal="right" vertical="center" wrapText="1"/>
    </xf>
    <xf numFmtId="0" fontId="19" fillId="0" borderId="1" xfId="0" applyFont="1" applyBorder="1">
      <alignment vertical="center"/>
    </xf>
    <xf numFmtId="178" fontId="18" fillId="0" borderId="1" xfId="0" applyNumberFormat="1" applyFont="1" applyBorder="1" applyAlignment="1">
      <alignment horizontal="right" vertical="center" wrapText="1"/>
    </xf>
    <xf numFmtId="0" fontId="19" fillId="0" borderId="35" xfId="0" applyFont="1" applyBorder="1">
      <alignment vertical="center"/>
    </xf>
    <xf numFmtId="178" fontId="18" fillId="0" borderId="35" xfId="0" applyNumberFormat="1" applyFont="1" applyBorder="1" applyAlignment="1">
      <alignment horizontal="right" vertical="center" wrapText="1"/>
    </xf>
    <xf numFmtId="0" fontId="19" fillId="0" borderId="17" xfId="0" applyFont="1" applyBorder="1">
      <alignment vertical="center"/>
    </xf>
    <xf numFmtId="0" fontId="19" fillId="0" borderId="16" xfId="0" applyFont="1" applyBorder="1">
      <alignment vertical="center"/>
    </xf>
    <xf numFmtId="178" fontId="19" fillId="0" borderId="5" xfId="0" applyNumberFormat="1" applyFont="1" applyBorder="1">
      <alignment vertical="center"/>
    </xf>
    <xf numFmtId="0" fontId="21" fillId="0" borderId="30" xfId="0" applyFont="1" applyBorder="1" applyAlignment="1">
      <alignment horizontal="center" vertical="center"/>
    </xf>
    <xf numFmtId="3" fontId="21" fillId="0" borderId="30" xfId="0" applyNumberFormat="1" applyFont="1" applyBorder="1" applyAlignment="1">
      <alignment horizontal="left" vertical="center"/>
    </xf>
    <xf numFmtId="0" fontId="0" fillId="0" borderId="36" xfId="0" applyBorder="1">
      <alignment vertical="center"/>
    </xf>
    <xf numFmtId="0" fontId="0" fillId="0" borderId="0" xfId="0" quotePrefix="1">
      <alignment vertical="center"/>
    </xf>
    <xf numFmtId="0" fontId="0" fillId="0" borderId="12" xfId="0" applyBorder="1">
      <alignment vertical="center"/>
    </xf>
    <xf numFmtId="179" fontId="0" fillId="0" borderId="10" xfId="0" applyNumberFormat="1" applyBorder="1">
      <alignment vertical="center"/>
    </xf>
    <xf numFmtId="179" fontId="0" fillId="0" borderId="6" xfId="0" applyNumberFormat="1" applyBorder="1">
      <alignment vertical="center"/>
    </xf>
    <xf numFmtId="179" fontId="0" fillId="0" borderId="0" xfId="0" applyNumberFormat="1">
      <alignment vertical="center"/>
    </xf>
    <xf numFmtId="179" fontId="0" fillId="0" borderId="37" xfId="0" applyNumberFormat="1" applyBorder="1">
      <alignment vertical="center"/>
    </xf>
    <xf numFmtId="0" fontId="0" fillId="0" borderId="13" xfId="0" applyBorder="1">
      <alignment vertical="center"/>
    </xf>
    <xf numFmtId="179" fontId="0" fillId="0" borderId="4" xfId="0" applyNumberFormat="1" applyBorder="1">
      <alignment vertical="center"/>
    </xf>
    <xf numFmtId="179" fontId="0" fillId="0" borderId="3" xfId="0" applyNumberFormat="1" applyBorder="1">
      <alignment vertical="center"/>
    </xf>
    <xf numFmtId="49" fontId="22" fillId="0" borderId="1" xfId="0" applyNumberFormat="1" applyFont="1" applyBorder="1" applyAlignment="1">
      <alignment horizontal="left" vertical="center"/>
    </xf>
    <xf numFmtId="49" fontId="22" fillId="0" borderId="0" xfId="0" applyNumberFormat="1" applyFont="1" applyAlignment="1">
      <alignment horizontal="left" vertical="center"/>
    </xf>
    <xf numFmtId="0" fontId="0" fillId="0" borderId="0" xfId="0" applyAlignment="1">
      <alignment horizontal="center" vertical="center"/>
    </xf>
    <xf numFmtId="178" fontId="0" fillId="0" borderId="0" xfId="0" applyNumberFormat="1">
      <alignment vertical="center"/>
    </xf>
    <xf numFmtId="0" fontId="19" fillId="13" borderId="1" xfId="0" applyFont="1" applyFill="1" applyBorder="1" applyAlignment="1">
      <alignment horizontal="center" vertical="center"/>
    </xf>
    <xf numFmtId="178" fontId="18" fillId="0" borderId="29" xfId="0" applyNumberFormat="1" applyFont="1" applyBorder="1" applyAlignment="1">
      <alignment horizontal="right" vertical="center" wrapText="1"/>
    </xf>
    <xf numFmtId="178" fontId="0" fillId="0" borderId="1" xfId="0" applyNumberFormat="1" applyBorder="1">
      <alignment vertical="center"/>
    </xf>
    <xf numFmtId="0" fontId="11" fillId="2" borderId="12"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0" fillId="0" borderId="5" xfId="0" applyFont="1" applyBorder="1" applyAlignment="1">
      <alignment horizontal="left" vertical="center"/>
    </xf>
    <xf numFmtId="0" fontId="0" fillId="0" borderId="1" xfId="0" applyBorder="1">
      <alignment vertical="center"/>
    </xf>
    <xf numFmtId="0" fontId="0" fillId="0" borderId="0" xfId="0" applyAlignment="1">
      <alignment horizontal="left" vertical="center"/>
    </xf>
    <xf numFmtId="0" fontId="11" fillId="3" borderId="1" xfId="0" applyFont="1" applyFill="1" applyBorder="1" applyAlignment="1">
      <alignment horizontal="center" vertical="center" wrapText="1"/>
    </xf>
    <xf numFmtId="0" fontId="10" fillId="0" borderId="16" xfId="0" applyFont="1" applyBorder="1" applyAlignment="1">
      <alignment vertical="center" wrapText="1"/>
    </xf>
    <xf numFmtId="0" fontId="10" fillId="0" borderId="16" xfId="0" applyFont="1" applyBorder="1" applyAlignment="1">
      <alignment horizontal="left" vertical="center" wrapText="1"/>
    </xf>
    <xf numFmtId="0" fontId="10" fillId="0" borderId="5" xfId="0" applyFont="1" applyBorder="1" applyAlignment="1">
      <alignment vertical="center" wrapText="1"/>
    </xf>
    <xf numFmtId="0" fontId="11" fillId="3" borderId="2" xfId="0" applyFont="1" applyFill="1" applyBorder="1" applyAlignment="1">
      <alignment horizontal="center" vertical="center" wrapText="1"/>
    </xf>
    <xf numFmtId="0" fontId="11" fillId="3" borderId="0" xfId="0" applyFont="1" applyFill="1" applyAlignment="1">
      <alignment horizontal="centerContinuous" vertical="center" wrapText="1"/>
    </xf>
    <xf numFmtId="0" fontId="10" fillId="0" borderId="5" xfId="0" applyFont="1" applyBorder="1" applyAlignment="1">
      <alignment horizontal="center" vertical="center" wrapText="1"/>
    </xf>
    <xf numFmtId="0" fontId="0" fillId="0" borderId="0" xfId="0" applyAlignment="1">
      <alignment horizontal="right" vertical="center"/>
    </xf>
    <xf numFmtId="0" fontId="11" fillId="3" borderId="36" xfId="0" applyFont="1" applyFill="1" applyBorder="1" applyAlignment="1">
      <alignment horizontal="centerContinuous" vertical="center" wrapText="1"/>
    </xf>
    <xf numFmtId="0" fontId="11" fillId="3" borderId="37" xfId="0" applyFont="1" applyFill="1" applyBorder="1" applyAlignment="1">
      <alignment horizontal="centerContinuous" vertical="center" wrapText="1"/>
    </xf>
    <xf numFmtId="0" fontId="0" fillId="0" borderId="4" xfId="0" applyBorder="1" applyAlignment="1">
      <alignment horizontal="center" vertical="center"/>
    </xf>
    <xf numFmtId="0" fontId="23" fillId="0" borderId="0" xfId="0" applyFont="1">
      <alignment vertical="center"/>
    </xf>
    <xf numFmtId="0" fontId="25" fillId="0" borderId="0" xfId="0" applyFont="1">
      <alignment vertical="center"/>
    </xf>
    <xf numFmtId="0" fontId="28" fillId="0" borderId="0" xfId="0" applyFont="1">
      <alignment vertical="center"/>
    </xf>
    <xf numFmtId="179" fontId="9" fillId="0" borderId="0" xfId="0" applyNumberFormat="1" applyFont="1">
      <alignment vertical="center"/>
    </xf>
    <xf numFmtId="0" fontId="0" fillId="15" borderId="0" xfId="0" applyFill="1">
      <alignment vertical="center"/>
    </xf>
    <xf numFmtId="0" fontId="32" fillId="0" borderId="5" xfId="3" applyBorder="1" applyAlignment="1">
      <alignment horizontal="left" vertical="center"/>
    </xf>
    <xf numFmtId="179" fontId="0" fillId="0" borderId="0" xfId="0" applyNumberFormat="1" applyAlignment="1">
      <alignment horizontal="right" vertical="center"/>
    </xf>
    <xf numFmtId="0" fontId="11" fillId="2" borderId="6" xfId="0" applyFont="1" applyFill="1" applyBorder="1" applyAlignment="1">
      <alignment horizontal="right" vertical="center" wrapText="1"/>
    </xf>
    <xf numFmtId="0" fontId="11" fillId="2" borderId="3" xfId="0" applyFont="1" applyFill="1" applyBorder="1" applyAlignment="1">
      <alignment horizontal="right" vertical="center" wrapText="1"/>
    </xf>
    <xf numFmtId="3" fontId="10" fillId="0" borderId="1" xfId="0" applyNumberFormat="1" applyFont="1" applyBorder="1">
      <alignment vertical="center"/>
    </xf>
    <xf numFmtId="0" fontId="5" fillId="0" borderId="0" xfId="4">
      <alignment vertical="center"/>
    </xf>
    <xf numFmtId="3" fontId="5" fillId="0" borderId="0" xfId="4" applyNumberFormat="1">
      <alignment vertical="center"/>
    </xf>
    <xf numFmtId="9" fontId="0" fillId="0" borderId="0" xfId="5" applyFont="1">
      <alignment vertical="center"/>
    </xf>
    <xf numFmtId="180" fontId="5" fillId="0" borderId="0" xfId="4" applyNumberFormat="1">
      <alignment vertical="center"/>
    </xf>
    <xf numFmtId="176" fontId="5" fillId="0" borderId="0" xfId="4" applyNumberFormat="1">
      <alignment vertical="center"/>
    </xf>
    <xf numFmtId="181" fontId="5" fillId="0" borderId="0" xfId="4" applyNumberFormat="1" applyAlignment="1">
      <alignment horizontal="right" vertical="center"/>
    </xf>
    <xf numFmtId="0" fontId="33" fillId="16" borderId="35" xfId="4" applyFont="1" applyFill="1" applyBorder="1" applyAlignment="1">
      <alignment horizontal="center" vertical="center"/>
    </xf>
    <xf numFmtId="0" fontId="33" fillId="16" borderId="1" xfId="4" applyFont="1" applyFill="1" applyBorder="1" applyAlignment="1">
      <alignment horizontal="center" vertical="center"/>
    </xf>
    <xf numFmtId="181" fontId="33" fillId="16" borderId="1" xfId="4" applyNumberFormat="1" applyFont="1" applyFill="1" applyBorder="1" applyAlignment="1">
      <alignment horizontal="center" vertical="center"/>
    </xf>
    <xf numFmtId="0" fontId="5" fillId="0" borderId="1" xfId="4" applyBorder="1" applyAlignment="1">
      <alignment horizontal="center" vertical="center"/>
    </xf>
    <xf numFmtId="0" fontId="5" fillId="0" borderId="1" xfId="4" applyBorder="1" applyAlignment="1">
      <alignment horizontal="center" vertical="center" wrapText="1"/>
    </xf>
    <xf numFmtId="180" fontId="5" fillId="0" borderId="1" xfId="4" applyNumberFormat="1" applyBorder="1">
      <alignment vertical="center"/>
    </xf>
    <xf numFmtId="176" fontId="5" fillId="0" borderId="1" xfId="4" applyNumberFormat="1" applyBorder="1">
      <alignment vertical="center"/>
    </xf>
    <xf numFmtId="181" fontId="5" fillId="0" borderId="1" xfId="4" applyNumberFormat="1" applyBorder="1" applyAlignment="1">
      <alignment horizontal="right" vertical="center"/>
    </xf>
    <xf numFmtId="0" fontId="5" fillId="0" borderId="1" xfId="4" applyBorder="1">
      <alignment vertical="center"/>
    </xf>
    <xf numFmtId="0" fontId="5" fillId="0" borderId="0" xfId="4" applyAlignment="1">
      <alignment horizontal="center" vertical="center"/>
    </xf>
    <xf numFmtId="182" fontId="5" fillId="0" borderId="1" xfId="4" applyNumberFormat="1" applyBorder="1">
      <alignment vertical="center"/>
    </xf>
    <xf numFmtId="183" fontId="5" fillId="0" borderId="1" xfId="4" applyNumberFormat="1" applyBorder="1">
      <alignment vertical="center"/>
    </xf>
    <xf numFmtId="180" fontId="5" fillId="0" borderId="1" xfId="4" applyNumberFormat="1" applyBorder="1" applyAlignment="1">
      <alignment vertical="center" wrapText="1"/>
    </xf>
    <xf numFmtId="0" fontId="5" fillId="0" borderId="5" xfId="4" applyBorder="1" applyAlignment="1">
      <alignment horizontal="center" vertical="center"/>
    </xf>
    <xf numFmtId="3" fontId="5" fillId="0" borderId="0" xfId="4" applyNumberFormat="1" applyAlignment="1">
      <alignment horizontal="right" vertical="center"/>
    </xf>
    <xf numFmtId="0" fontId="10" fillId="0" borderId="12" xfId="0" applyFont="1" applyBorder="1" applyAlignment="1">
      <alignment horizontal="center" vertical="center"/>
    </xf>
    <xf numFmtId="0" fontId="4" fillId="0" borderId="1" xfId="4" applyFont="1" applyBorder="1" applyAlignment="1">
      <alignment horizontal="center" vertical="center" wrapText="1"/>
    </xf>
    <xf numFmtId="0" fontId="34" fillId="0" borderId="0" xfId="0" applyFont="1">
      <alignment vertical="center"/>
    </xf>
    <xf numFmtId="0" fontId="32" fillId="0" borderId="0" xfId="3">
      <alignment vertical="center"/>
    </xf>
    <xf numFmtId="0" fontId="11" fillId="2" borderId="0" xfId="0" applyFont="1" applyFill="1" applyAlignment="1">
      <alignment horizontal="center" vertical="center" wrapText="1"/>
    </xf>
    <xf numFmtId="0" fontId="34" fillId="0" borderId="0" xfId="0" applyFont="1" applyAlignment="1">
      <alignment horizontal="right" vertical="center"/>
    </xf>
    <xf numFmtId="0" fontId="11" fillId="17" borderId="3" xfId="0" applyFont="1" applyFill="1" applyBorder="1" applyAlignment="1">
      <alignment horizontal="center" vertical="center" wrapText="1"/>
    </xf>
    <xf numFmtId="0" fontId="11" fillId="17" borderId="2" xfId="0" applyFont="1" applyFill="1" applyBorder="1" applyAlignment="1">
      <alignment horizontal="center" vertical="center" wrapText="1"/>
    </xf>
    <xf numFmtId="0" fontId="11" fillId="17" borderId="12" xfId="0" applyFont="1" applyFill="1" applyBorder="1" applyAlignment="1">
      <alignment horizontal="centerContinuous" vertical="center" wrapText="1"/>
    </xf>
    <xf numFmtId="0" fontId="0" fillId="18" borderId="10" xfId="0" applyFill="1" applyBorder="1" applyAlignment="1">
      <alignment horizontal="centerContinuous" vertical="center"/>
    </xf>
    <xf numFmtId="0" fontId="0" fillId="18" borderId="6" xfId="0" applyFill="1" applyBorder="1" applyAlignment="1">
      <alignment horizontal="centerContinuous" vertical="center"/>
    </xf>
    <xf numFmtId="0" fontId="11" fillId="17" borderId="13" xfId="0" applyFont="1" applyFill="1" applyBorder="1" applyAlignment="1">
      <alignment horizontal="center" vertical="center" wrapText="1"/>
    </xf>
    <xf numFmtId="0" fontId="11" fillId="17" borderId="4" xfId="0" applyFont="1" applyFill="1" applyBorder="1" applyAlignment="1">
      <alignment horizontal="center" vertical="center" wrapText="1"/>
    </xf>
    <xf numFmtId="179" fontId="35" fillId="0" borderId="0" xfId="0" applyNumberFormat="1" applyFont="1">
      <alignment vertical="center"/>
    </xf>
    <xf numFmtId="0" fontId="10" fillId="0" borderId="5" xfId="0" applyFont="1" applyBorder="1" applyAlignment="1">
      <alignment horizontal="left" vertical="center" wrapText="1"/>
    </xf>
    <xf numFmtId="9" fontId="34" fillId="0" borderId="0" xfId="6" applyFont="1" applyFill="1">
      <alignment vertical="center"/>
    </xf>
    <xf numFmtId="179" fontId="34" fillId="0" borderId="0" xfId="0" applyNumberFormat="1" applyFont="1">
      <alignment vertical="center"/>
    </xf>
    <xf numFmtId="0" fontId="3" fillId="0" borderId="1" xfId="4" applyFont="1" applyBorder="1" applyAlignment="1">
      <alignment horizontal="center" vertical="center" wrapText="1"/>
    </xf>
    <xf numFmtId="0" fontId="3" fillId="0" borderId="1" xfId="4" applyFont="1" applyBorder="1" applyAlignment="1">
      <alignment horizontal="center" vertical="center"/>
    </xf>
    <xf numFmtId="176" fontId="3" fillId="0" borderId="1" xfId="4" applyNumberFormat="1" applyFont="1" applyBorder="1">
      <alignment vertical="center"/>
    </xf>
    <xf numFmtId="180" fontId="3" fillId="0" borderId="1" xfId="4" applyNumberFormat="1" applyFont="1" applyBorder="1">
      <alignment vertical="center"/>
    </xf>
    <xf numFmtId="184" fontId="5" fillId="0" borderId="1" xfId="4" applyNumberFormat="1" applyBorder="1">
      <alignment vertical="center"/>
    </xf>
    <xf numFmtId="22" fontId="0" fillId="0" borderId="0" xfId="0" applyNumberFormat="1">
      <alignment vertical="center"/>
    </xf>
    <xf numFmtId="0" fontId="12" fillId="0" borderId="1" xfId="0" applyFont="1" applyBorder="1" applyAlignment="1">
      <alignment horizontal="center" vertical="center"/>
    </xf>
    <xf numFmtId="176" fontId="36" fillId="0" borderId="0" xfId="0" applyNumberFormat="1" applyFont="1">
      <alignment vertical="center"/>
    </xf>
    <xf numFmtId="9" fontId="26" fillId="0" borderId="0" xfId="0" applyNumberFormat="1" applyFont="1" applyAlignment="1">
      <alignment horizontal="center" vertical="center" wrapText="1"/>
    </xf>
    <xf numFmtId="0" fontId="26" fillId="0" borderId="0" xfId="0" applyFont="1" applyAlignment="1">
      <alignment horizontal="left" vertical="center" wrapText="1" indent="2"/>
    </xf>
    <xf numFmtId="0" fontId="24" fillId="14" borderId="38" xfId="0" applyFont="1" applyFill="1" applyBorder="1" applyAlignment="1">
      <alignment horizontal="center" vertical="center"/>
    </xf>
    <xf numFmtId="0" fontId="24" fillId="14" borderId="39" xfId="0" applyFont="1" applyFill="1" applyBorder="1" applyAlignment="1">
      <alignment horizontal="centerContinuous" vertical="center"/>
    </xf>
    <xf numFmtId="0" fontId="24" fillId="14" borderId="40" xfId="0" applyFont="1" applyFill="1" applyBorder="1" applyAlignment="1">
      <alignment horizontal="centerContinuous" vertical="center"/>
    </xf>
    <xf numFmtId="0" fontId="27" fillId="0" borderId="0" xfId="0" applyFont="1" applyAlignment="1">
      <alignment horizontal="left" vertical="center" wrapText="1"/>
    </xf>
    <xf numFmtId="0" fontId="26" fillId="0" borderId="0" xfId="0" applyFont="1" applyAlignment="1">
      <alignment horizontal="left" vertical="center" wrapText="1" indent="1"/>
    </xf>
    <xf numFmtId="0" fontId="26" fillId="0" borderId="4" xfId="0" applyFont="1" applyBorder="1" applyAlignment="1">
      <alignment horizontal="left" vertical="center" wrapText="1" indent="2"/>
    </xf>
    <xf numFmtId="176" fontId="36" fillId="0" borderId="4" xfId="0" applyNumberFormat="1" applyFont="1" applyBorder="1">
      <alignment vertical="center"/>
    </xf>
    <xf numFmtId="9" fontId="26" fillId="0" borderId="4" xfId="0" applyNumberFormat="1" applyFont="1" applyBorder="1" applyAlignment="1">
      <alignment horizontal="center" vertical="center" wrapText="1"/>
    </xf>
    <xf numFmtId="0" fontId="0" fillId="0" borderId="4" xfId="0" applyBorder="1">
      <alignment vertical="center"/>
    </xf>
    <xf numFmtId="0" fontId="11" fillId="17" borderId="1" xfId="0" applyFont="1" applyFill="1" applyBorder="1" applyAlignment="1">
      <alignment horizontal="center" vertical="center" wrapText="1"/>
    </xf>
    <xf numFmtId="176" fontId="0" fillId="0" borderId="0" xfId="0" applyNumberFormat="1">
      <alignment vertical="center"/>
    </xf>
    <xf numFmtId="0" fontId="26" fillId="0" borderId="4" xfId="0" applyFont="1" applyBorder="1" applyAlignment="1">
      <alignment horizontal="left" vertical="center" wrapText="1" indent="1"/>
    </xf>
    <xf numFmtId="0" fontId="37" fillId="20" borderId="1" xfId="0" applyFont="1" applyFill="1" applyBorder="1" applyAlignment="1">
      <alignment horizontal="center" vertical="center"/>
    </xf>
    <xf numFmtId="0" fontId="0" fillId="0" borderId="1" xfId="0" applyBorder="1" applyAlignment="1">
      <alignment horizontal="center" vertical="center"/>
    </xf>
    <xf numFmtId="0" fontId="0" fillId="21" borderId="1" xfId="0" applyFill="1" applyBorder="1" applyAlignment="1">
      <alignment horizontal="center" vertical="center"/>
    </xf>
    <xf numFmtId="0" fontId="10" fillId="21" borderId="5" xfId="0" applyFont="1" applyFill="1" applyBorder="1" applyAlignment="1">
      <alignment horizontal="center" vertical="center"/>
    </xf>
    <xf numFmtId="0" fontId="0" fillId="21" borderId="0" xfId="0" applyFill="1">
      <alignment vertical="center"/>
    </xf>
    <xf numFmtId="0" fontId="7" fillId="0" borderId="0" xfId="0" applyFont="1">
      <alignment vertical="center"/>
    </xf>
    <xf numFmtId="186" fontId="38" fillId="0" borderId="0" xfId="0" applyNumberFormat="1" applyFont="1" applyAlignment="1">
      <alignment horizontal="left" vertical="center" indent="2"/>
    </xf>
    <xf numFmtId="186" fontId="0" fillId="0" borderId="0" xfId="0" applyNumberFormat="1" applyAlignment="1">
      <alignment horizontal="left" vertical="center" indent="2"/>
    </xf>
    <xf numFmtId="186" fontId="0" fillId="0" borderId="4" xfId="0" applyNumberFormat="1" applyBorder="1" applyAlignment="1">
      <alignment horizontal="left" vertical="center" indent="2"/>
    </xf>
    <xf numFmtId="176" fontId="38" fillId="0" borderId="4" xfId="0" applyNumberFormat="1" applyFont="1" applyBorder="1">
      <alignment vertical="center"/>
    </xf>
    <xf numFmtId="185" fontId="38" fillId="0" borderId="4" xfId="0" applyNumberFormat="1" applyFont="1" applyBorder="1" applyAlignment="1">
      <alignment horizontal="left" vertical="center" indent="2"/>
    </xf>
    <xf numFmtId="185" fontId="38" fillId="0" borderId="0" xfId="0" applyNumberFormat="1" applyFont="1" applyAlignment="1">
      <alignment horizontal="left" vertical="center" indent="2"/>
    </xf>
    <xf numFmtId="176" fontId="38" fillId="0" borderId="0" xfId="0" applyNumberFormat="1" applyFont="1">
      <alignment vertical="center"/>
    </xf>
    <xf numFmtId="3" fontId="0" fillId="19" borderId="0" xfId="0" applyNumberFormat="1" applyFill="1">
      <alignment vertical="center"/>
    </xf>
    <xf numFmtId="4" fontId="0" fillId="0" borderId="1" xfId="0" applyNumberFormat="1" applyBorder="1">
      <alignment vertical="center"/>
    </xf>
    <xf numFmtId="3" fontId="0" fillId="0" borderId="1" xfId="0" applyNumberFormat="1" applyBorder="1">
      <alignment vertical="center"/>
    </xf>
    <xf numFmtId="3" fontId="0" fillId="22" borderId="1" xfId="0" applyNumberFormat="1" applyFill="1" applyBorder="1">
      <alignment vertical="center"/>
    </xf>
    <xf numFmtId="0" fontId="0" fillId="15" borderId="0" xfId="0" applyFill="1" applyAlignment="1">
      <alignment horizontal="center" vertical="center"/>
    </xf>
    <xf numFmtId="0" fontId="2" fillId="0" borderId="1" xfId="4" applyFont="1" applyBorder="1" applyAlignment="1">
      <alignment horizontal="center" vertical="center" wrapText="1"/>
    </xf>
    <xf numFmtId="0" fontId="2" fillId="0" borderId="1" xfId="4" applyFont="1" applyBorder="1" applyAlignment="1">
      <alignment horizontal="center" vertical="center"/>
    </xf>
    <xf numFmtId="0" fontId="33" fillId="19" borderId="1" xfId="4" applyFont="1" applyFill="1" applyBorder="1" applyAlignment="1">
      <alignment horizontal="center" vertical="center"/>
    </xf>
    <xf numFmtId="180" fontId="2" fillId="0" borderId="1" xfId="4" applyNumberFormat="1" applyFont="1" applyBorder="1">
      <alignment vertical="center"/>
    </xf>
    <xf numFmtId="176" fontId="2" fillId="0" borderId="1" xfId="4" applyNumberFormat="1" applyFont="1" applyBorder="1">
      <alignment vertical="center"/>
    </xf>
    <xf numFmtId="181" fontId="2" fillId="0" borderId="1" xfId="4" applyNumberFormat="1" applyFont="1" applyBorder="1" applyAlignment="1">
      <alignment horizontal="right" vertical="center"/>
    </xf>
    <xf numFmtId="0" fontId="2" fillId="0" borderId="0" xfId="4" applyFont="1">
      <alignment vertical="center"/>
    </xf>
    <xf numFmtId="14" fontId="2" fillId="0" borderId="1" xfId="4" applyNumberFormat="1" applyFont="1" applyBorder="1" applyAlignment="1">
      <alignment horizontal="center" vertical="center"/>
    </xf>
    <xf numFmtId="0" fontId="1" fillId="0" borderId="1" xfId="4" applyFont="1" applyBorder="1" applyAlignment="1">
      <alignment horizontal="center" vertical="center"/>
    </xf>
    <xf numFmtId="9" fontId="0" fillId="0" borderId="0" xfId="6" applyFont="1">
      <alignment vertical="center"/>
    </xf>
    <xf numFmtId="180" fontId="1" fillId="0" borderId="1" xfId="4" applyNumberFormat="1" applyFont="1" applyBorder="1">
      <alignment vertical="center"/>
    </xf>
    <xf numFmtId="3" fontId="41" fillId="0" borderId="0" xfId="0" applyNumberFormat="1" applyFont="1">
      <alignment vertical="center"/>
    </xf>
    <xf numFmtId="176" fontId="1" fillId="0" borderId="1" xfId="4" applyNumberFormat="1" applyFont="1" applyBorder="1">
      <alignment vertical="center"/>
    </xf>
    <xf numFmtId="0" fontId="32" fillId="0" borderId="5" xfId="3" applyFill="1" applyBorder="1">
      <alignment vertical="center"/>
    </xf>
    <xf numFmtId="0" fontId="16" fillId="11" borderId="31" xfId="0" applyFont="1" applyFill="1" applyBorder="1" applyAlignment="1">
      <alignment horizontal="center" vertical="center" wrapText="1"/>
    </xf>
    <xf numFmtId="0" fontId="16" fillId="11" borderId="21" xfId="0" applyFont="1" applyFill="1" applyBorder="1" applyAlignment="1">
      <alignment horizontal="center" vertical="center" wrapText="1"/>
    </xf>
    <xf numFmtId="0" fontId="11" fillId="12" borderId="23" xfId="0" applyFont="1" applyFill="1" applyBorder="1" applyAlignment="1">
      <alignment vertical="center" wrapText="1"/>
    </xf>
    <xf numFmtId="0" fontId="11" fillId="12" borderId="24" xfId="0" applyFont="1" applyFill="1" applyBorder="1" applyAlignment="1">
      <alignment vertical="center" wrapText="1"/>
    </xf>
    <xf numFmtId="0" fontId="11" fillId="12" borderId="25" xfId="0" applyFont="1" applyFill="1" applyBorder="1" applyAlignment="1">
      <alignment vertical="center" wrapText="1"/>
    </xf>
    <xf numFmtId="0" fontId="11" fillId="12" borderId="32" xfId="0" applyFont="1" applyFill="1" applyBorder="1" applyAlignment="1">
      <alignment vertical="center" wrapText="1"/>
    </xf>
    <xf numFmtId="0" fontId="11" fillId="12" borderId="33" xfId="0" applyFont="1" applyFill="1" applyBorder="1" applyAlignment="1">
      <alignment vertical="center" wrapText="1"/>
    </xf>
    <xf numFmtId="0" fontId="11" fillId="12" borderId="34" xfId="0" applyFont="1" applyFill="1" applyBorder="1" applyAlignment="1">
      <alignment vertical="center" wrapText="1"/>
    </xf>
  </cellXfs>
  <cellStyles count="7">
    <cellStyle name="백분율" xfId="6" builtinId="5"/>
    <cellStyle name="백분율 2" xfId="5" xr:uid="{02228509-DE82-4576-931F-4D78A2376A5A}"/>
    <cellStyle name="표준" xfId="0" builtinId="0"/>
    <cellStyle name="표준 2" xfId="2" xr:uid="{9F894283-52FB-41CA-8BF8-D02498756E38}"/>
    <cellStyle name="표준 3" xfId="4" xr:uid="{8D827E9C-F018-45E4-A895-2DB985DA68D3}"/>
    <cellStyle name="표준 4" xfId="1" xr:uid="{9E8CC819-A76B-4CA5-96AE-5973BDF5D39C}"/>
    <cellStyle name="하이퍼링크"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heongwonhan@kr.kpmg.com" TargetMode="External"/><Relationship Id="rId1" Type="http://schemas.openxmlformats.org/officeDocument/2006/relationships/hyperlink" Target="mailto:hyuk1@kr.kpmg.com" TargetMode="External"/><Relationship Id="rId4"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8" Type="http://schemas.openxmlformats.org/officeDocument/2006/relationships/hyperlink" Target="mailto:hyuk1@kr.kpmg.com" TargetMode="External"/><Relationship Id="rId13" Type="http://schemas.openxmlformats.org/officeDocument/2006/relationships/comments" Target="../comments1.xml"/><Relationship Id="rId3" Type="http://schemas.openxmlformats.org/officeDocument/2006/relationships/hyperlink" Target="mailto:yejinjoo@kr.kpmg.com" TargetMode="External"/><Relationship Id="rId7" Type="http://schemas.openxmlformats.org/officeDocument/2006/relationships/hyperlink" Target="mailto:hyewoonjoung@kr.kpmg.com" TargetMode="External"/><Relationship Id="rId12" Type="http://schemas.openxmlformats.org/officeDocument/2006/relationships/vmlDrawing" Target="../drawings/vmlDrawing1.vml"/><Relationship Id="rId2" Type="http://schemas.openxmlformats.org/officeDocument/2006/relationships/hyperlink" Target="mailto:deokseong@kr.kpmg.com" TargetMode="External"/><Relationship Id="rId1" Type="http://schemas.openxmlformats.org/officeDocument/2006/relationships/hyperlink" Target="mailto:taesunpark@kr.kpmg.com" TargetMode="External"/><Relationship Id="rId6" Type="http://schemas.openxmlformats.org/officeDocument/2006/relationships/hyperlink" Target="mailto:dosunglim@kr.kpmg.com" TargetMode="External"/><Relationship Id="rId11" Type="http://schemas.openxmlformats.org/officeDocument/2006/relationships/customProperty" Target="../customProperty4.bin"/><Relationship Id="rId5" Type="http://schemas.openxmlformats.org/officeDocument/2006/relationships/hyperlink" Target="mailto:surimhan@kr.kpmg.com" TargetMode="External"/><Relationship Id="rId10" Type="http://schemas.openxmlformats.org/officeDocument/2006/relationships/printerSettings" Target="../printerSettings/printerSettings3.bin"/><Relationship Id="rId4" Type="http://schemas.openxmlformats.org/officeDocument/2006/relationships/hyperlink" Target="mailto:jungminlim@kr.kpmg.com" TargetMode="External"/><Relationship Id="rId9" Type="http://schemas.openxmlformats.org/officeDocument/2006/relationships/hyperlink" Target="mailto:cheongwonhan@kr.kpmg.com"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hyperlink" Target="mailto:hkim131@kr.kpmg.com" TargetMode="External"/><Relationship Id="rId1" Type="http://schemas.openxmlformats.org/officeDocument/2006/relationships/hyperlink" Target="mailto:yeongkyunkim@kr.kpmg.com" TargetMode="External"/></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_rels/sheet12.xml.rels><?xml version="1.0" encoding="UTF-8" standalone="yes"?>
<Relationships xmlns="http://schemas.openxmlformats.org/package/2006/relationships"><Relationship Id="rId1" Type="http://schemas.openxmlformats.org/officeDocument/2006/relationships/customProperty" Target="../customProperty12.bin"/></Relationships>
</file>

<file path=xl/worksheets/_rels/sheet13.xml.rels><?xml version="1.0" encoding="UTF-8" standalone="yes"?>
<Relationships xmlns="http://schemas.openxmlformats.org/package/2006/relationships"><Relationship Id="rId1" Type="http://schemas.openxmlformats.org/officeDocument/2006/relationships/customProperty" Target="../customProperty13.bin"/></Relationships>
</file>

<file path=xl/worksheets/_rels/sheet14.xml.rels><?xml version="1.0" encoding="UTF-8" standalone="yes"?>
<Relationships xmlns="http://schemas.openxmlformats.org/package/2006/relationships"><Relationship Id="rId1" Type="http://schemas.openxmlformats.org/officeDocument/2006/relationships/customProperty" Target="../customProperty14.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3" Type="http://schemas.openxmlformats.org/officeDocument/2006/relationships/customProperty" Target="../customProperty16.bin"/><Relationship Id="rId2" Type="http://schemas.openxmlformats.org/officeDocument/2006/relationships/hyperlink" Target="mailto:jpark106@kr.kpmg.com" TargetMode="External"/><Relationship Id="rId1" Type="http://schemas.openxmlformats.org/officeDocument/2006/relationships/hyperlink" Target="mailto:ckim19@kr.kpm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12C4-E0F5-41DF-9910-57A621CB1637}">
  <dimension ref="A1:H22"/>
  <sheetViews>
    <sheetView workbookViewId="0">
      <selection activeCell="A3" sqref="A3"/>
    </sheetView>
  </sheetViews>
  <sheetFormatPr defaultRowHeight="16.5" x14ac:dyDescent="0.3"/>
  <cols>
    <col min="1" max="1" width="7.125" style="96" bestFit="1" customWidth="1"/>
    <col min="2" max="2" width="8.5" style="96" bestFit="1" customWidth="1"/>
    <col min="3" max="3" width="39.25" style="96" bestFit="1" customWidth="1"/>
    <col min="4" max="4" width="7.125" style="96" bestFit="1" customWidth="1"/>
    <col min="5" max="5" width="29.375" style="96" bestFit="1" customWidth="1"/>
    <col min="6" max="6" width="9" style="96"/>
  </cols>
  <sheetData>
    <row r="1" spans="1:8" x14ac:dyDescent="0.3">
      <c r="A1" s="188" t="s">
        <v>3317</v>
      </c>
      <c r="B1" s="188" t="s">
        <v>603</v>
      </c>
      <c r="C1" s="188" t="s">
        <v>3318</v>
      </c>
      <c r="D1" s="188" t="s">
        <v>3319</v>
      </c>
      <c r="E1" s="188" t="s">
        <v>3320</v>
      </c>
      <c r="F1" s="188" t="s">
        <v>3317</v>
      </c>
    </row>
    <row r="2" spans="1:8" x14ac:dyDescent="0.3">
      <c r="A2" s="190" t="s">
        <v>3765</v>
      </c>
      <c r="B2" s="191">
        <v>1661228</v>
      </c>
      <c r="C2" s="191" t="s">
        <v>3624</v>
      </c>
      <c r="D2" s="191" t="s">
        <v>2729</v>
      </c>
      <c r="E2" s="191" t="s">
        <v>2995</v>
      </c>
      <c r="F2" s="190" t="s">
        <v>3764</v>
      </c>
      <c r="G2" s="192"/>
      <c r="H2" s="192" t="s">
        <v>3813</v>
      </c>
    </row>
    <row r="3" spans="1:8" x14ac:dyDescent="0.3">
      <c r="A3" s="190" t="s">
        <v>3765</v>
      </c>
      <c r="B3" s="191">
        <v>1661228</v>
      </c>
      <c r="C3" s="191" t="s">
        <v>3624</v>
      </c>
      <c r="D3" s="191" t="s">
        <v>3782</v>
      </c>
      <c r="E3" s="191" t="s">
        <v>2436</v>
      </c>
      <c r="F3" s="190" t="s">
        <v>3781</v>
      </c>
      <c r="G3" s="192" t="s">
        <v>3783</v>
      </c>
      <c r="H3" s="192" t="s">
        <v>3813</v>
      </c>
    </row>
    <row r="4" spans="1:8" x14ac:dyDescent="0.3">
      <c r="A4" s="190" t="s">
        <v>3774</v>
      </c>
      <c r="B4" s="191">
        <v>1689529</v>
      </c>
      <c r="C4" s="191" t="s">
        <v>3677</v>
      </c>
      <c r="D4" s="191" t="s">
        <v>3772</v>
      </c>
      <c r="E4" s="191" t="s">
        <v>3773</v>
      </c>
      <c r="F4" s="190" t="s">
        <v>3764</v>
      </c>
      <c r="G4" s="192"/>
      <c r="H4" s="192" t="s">
        <v>3813</v>
      </c>
    </row>
    <row r="5" spans="1:8" x14ac:dyDescent="0.3">
      <c r="A5" s="190" t="s">
        <v>3774</v>
      </c>
      <c r="B5" s="191">
        <v>1685841</v>
      </c>
      <c r="C5" s="191" t="s">
        <v>1234</v>
      </c>
      <c r="D5" s="191" t="s">
        <v>3826</v>
      </c>
      <c r="E5" s="191" t="s">
        <v>3828</v>
      </c>
      <c r="F5" s="190" t="s">
        <v>3764</v>
      </c>
      <c r="G5" s="192"/>
      <c r="H5" s="192" t="s">
        <v>3863</v>
      </c>
    </row>
    <row r="6" spans="1:8" x14ac:dyDescent="0.3">
      <c r="A6" s="190" t="s">
        <v>3774</v>
      </c>
      <c r="B6" s="191">
        <v>1685841</v>
      </c>
      <c r="C6" s="191" t="s">
        <v>1234</v>
      </c>
      <c r="D6" s="191" t="s">
        <v>3827</v>
      </c>
      <c r="E6" s="191" t="s">
        <v>3829</v>
      </c>
      <c r="F6" s="190" t="s">
        <v>3764</v>
      </c>
      <c r="G6" s="192"/>
      <c r="H6" s="192" t="s">
        <v>3863</v>
      </c>
    </row>
    <row r="7" spans="1:8" x14ac:dyDescent="0.3">
      <c r="A7" s="190" t="s">
        <v>3774</v>
      </c>
      <c r="B7" s="191">
        <v>1669115</v>
      </c>
      <c r="C7" s="191" t="s">
        <v>833</v>
      </c>
      <c r="D7" s="191" t="s">
        <v>3831</v>
      </c>
      <c r="E7" s="191" t="s">
        <v>3833</v>
      </c>
      <c r="F7" s="190" t="s">
        <v>3764</v>
      </c>
      <c r="G7" s="192"/>
      <c r="H7" s="192" t="s">
        <v>3863</v>
      </c>
    </row>
    <row r="8" spans="1:8" x14ac:dyDescent="0.3">
      <c r="A8" s="190" t="s">
        <v>3774</v>
      </c>
      <c r="B8" s="191">
        <v>1666520</v>
      </c>
      <c r="C8" s="191" t="s">
        <v>3586</v>
      </c>
      <c r="D8" s="191" t="s">
        <v>3849</v>
      </c>
      <c r="E8" s="191" t="s">
        <v>3855</v>
      </c>
      <c r="F8" s="190" t="s">
        <v>3764</v>
      </c>
      <c r="G8" s="192"/>
      <c r="H8" s="192" t="s">
        <v>3863</v>
      </c>
    </row>
    <row r="9" spans="1:8" x14ac:dyDescent="0.3">
      <c r="A9" s="190" t="s">
        <v>3774</v>
      </c>
      <c r="B9" s="191">
        <v>1666520</v>
      </c>
      <c r="C9" s="191" t="s">
        <v>3586</v>
      </c>
      <c r="D9" s="191" t="s">
        <v>3851</v>
      </c>
      <c r="E9" s="191" t="s">
        <v>3856</v>
      </c>
      <c r="F9" s="190" t="s">
        <v>3764</v>
      </c>
      <c r="G9" s="192"/>
      <c r="H9" s="192" t="s">
        <v>3863</v>
      </c>
    </row>
    <row r="10" spans="1:8" x14ac:dyDescent="0.3">
      <c r="A10" s="190" t="s">
        <v>3774</v>
      </c>
      <c r="B10" s="191">
        <v>1684195</v>
      </c>
      <c r="C10" s="191" t="s">
        <v>3305</v>
      </c>
      <c r="D10" s="191" t="s">
        <v>3867</v>
      </c>
      <c r="E10" s="191" t="s">
        <v>3868</v>
      </c>
      <c r="F10" s="190" t="s">
        <v>3764</v>
      </c>
      <c r="G10" s="192"/>
      <c r="H10" s="192" t="s">
        <v>3863</v>
      </c>
    </row>
    <row r="11" spans="1:8" x14ac:dyDescent="0.3">
      <c r="A11" s="190" t="s">
        <v>3774</v>
      </c>
      <c r="B11" s="191">
        <v>1657536</v>
      </c>
      <c r="C11" s="191" t="s">
        <v>3609</v>
      </c>
      <c r="D11" s="191" t="s">
        <v>3884</v>
      </c>
      <c r="E11" s="191" t="s">
        <v>3885</v>
      </c>
      <c r="F11" s="190" t="s">
        <v>3764</v>
      </c>
      <c r="G11" s="192"/>
      <c r="H11" s="192" t="s">
        <v>3883</v>
      </c>
    </row>
    <row r="12" spans="1:8" x14ac:dyDescent="0.3">
      <c r="A12" s="190" t="s">
        <v>3906</v>
      </c>
      <c r="B12" s="191">
        <v>1682797</v>
      </c>
      <c r="C12" s="191" t="s">
        <v>3742</v>
      </c>
      <c r="D12" s="191" t="s">
        <v>3903</v>
      </c>
      <c r="E12" s="191" t="s">
        <v>3904</v>
      </c>
      <c r="F12" s="190" t="s">
        <v>3905</v>
      </c>
      <c r="G12" s="192"/>
      <c r="H12" s="192" t="s">
        <v>3900</v>
      </c>
    </row>
    <row r="13" spans="1:8" x14ac:dyDescent="0.3">
      <c r="A13" s="190" t="s">
        <v>3765</v>
      </c>
      <c r="B13" s="191">
        <v>1684738</v>
      </c>
      <c r="C13" s="191" t="s">
        <v>3617</v>
      </c>
      <c r="D13" s="191" t="s">
        <v>82</v>
      </c>
      <c r="E13" s="191" t="s">
        <v>2428</v>
      </c>
      <c r="F13" s="190" t="s">
        <v>3905</v>
      </c>
      <c r="G13" s="192"/>
      <c r="H13" s="192" t="s">
        <v>3922</v>
      </c>
    </row>
    <row r="14" spans="1:8" x14ac:dyDescent="0.3">
      <c r="A14" s="190" t="s">
        <v>3774</v>
      </c>
      <c r="B14" s="191">
        <v>1684738</v>
      </c>
      <c r="C14" s="191" t="s">
        <v>3617</v>
      </c>
      <c r="D14" s="191" t="s">
        <v>3920</v>
      </c>
      <c r="E14" s="191" t="s">
        <v>3921</v>
      </c>
      <c r="F14" s="190" t="s">
        <v>3905</v>
      </c>
      <c r="G14" s="192"/>
      <c r="H14" s="192" t="s">
        <v>3922</v>
      </c>
    </row>
    <row r="15" spans="1:8" x14ac:dyDescent="0.3">
      <c r="A15" s="190" t="s">
        <v>3774</v>
      </c>
      <c r="B15" s="191">
        <v>1684738</v>
      </c>
      <c r="C15" s="191" t="s">
        <v>3617</v>
      </c>
      <c r="D15" s="191" t="s">
        <v>3917</v>
      </c>
      <c r="E15" s="191" t="s">
        <v>3915</v>
      </c>
      <c r="F15" s="190" t="s">
        <v>3905</v>
      </c>
      <c r="G15" s="192"/>
      <c r="H15" s="192" t="s">
        <v>3922</v>
      </c>
    </row>
    <row r="16" spans="1:8" x14ac:dyDescent="0.3">
      <c r="A16" s="190" t="s">
        <v>3774</v>
      </c>
      <c r="B16" s="191">
        <v>1683391</v>
      </c>
      <c r="C16" s="191" t="s">
        <v>3926</v>
      </c>
      <c r="D16" s="191" t="s">
        <v>402</v>
      </c>
      <c r="E16" s="191" t="s">
        <v>3934</v>
      </c>
      <c r="F16" s="190" t="s">
        <v>3905</v>
      </c>
      <c r="G16" s="192"/>
      <c r="H16" s="192" t="s">
        <v>3963</v>
      </c>
    </row>
    <row r="17" spans="1:8" x14ac:dyDescent="0.3">
      <c r="A17" s="190" t="s">
        <v>3774</v>
      </c>
      <c r="B17" s="191">
        <v>1683391</v>
      </c>
      <c r="C17" s="191" t="s">
        <v>3926</v>
      </c>
      <c r="D17" s="191" t="s">
        <v>403</v>
      </c>
      <c r="E17" s="191" t="s">
        <v>3932</v>
      </c>
      <c r="F17" s="190" t="s">
        <v>3905</v>
      </c>
      <c r="G17" s="192"/>
      <c r="H17" s="192" t="s">
        <v>3963</v>
      </c>
    </row>
    <row r="18" spans="1:8" x14ac:dyDescent="0.3">
      <c r="A18" s="190" t="s">
        <v>3774</v>
      </c>
      <c r="B18" s="191">
        <v>1683391</v>
      </c>
      <c r="C18" s="191" t="s">
        <v>3926</v>
      </c>
      <c r="D18" s="191" t="s">
        <v>3936</v>
      </c>
      <c r="E18" s="191" t="s">
        <v>3938</v>
      </c>
      <c r="F18" s="190" t="s">
        <v>3905</v>
      </c>
      <c r="G18" s="192"/>
      <c r="H18" s="192" t="s">
        <v>3963</v>
      </c>
    </row>
    <row r="19" spans="1:8" x14ac:dyDescent="0.3">
      <c r="A19" s="190" t="s">
        <v>3774</v>
      </c>
      <c r="B19" s="191">
        <v>1683391</v>
      </c>
      <c r="C19" s="191" t="s">
        <v>3926</v>
      </c>
      <c r="D19" s="191" t="s">
        <v>3943</v>
      </c>
      <c r="E19" s="191" t="s">
        <v>3952</v>
      </c>
      <c r="F19" s="190" t="s">
        <v>3905</v>
      </c>
      <c r="G19" s="192"/>
      <c r="H19" s="192" t="s">
        <v>3963</v>
      </c>
    </row>
    <row r="20" spans="1:8" x14ac:dyDescent="0.3">
      <c r="A20" s="190" t="s">
        <v>3774</v>
      </c>
      <c r="B20" s="191">
        <v>1683391</v>
      </c>
      <c r="C20" s="191" t="s">
        <v>3926</v>
      </c>
      <c r="D20" s="191" t="s">
        <v>3945</v>
      </c>
      <c r="E20" s="191" t="s">
        <v>3954</v>
      </c>
      <c r="F20" s="190" t="s">
        <v>3905</v>
      </c>
      <c r="G20" s="192"/>
      <c r="H20" s="192" t="s">
        <v>3963</v>
      </c>
    </row>
    <row r="21" spans="1:8" x14ac:dyDescent="0.3">
      <c r="A21" s="190" t="s">
        <v>3765</v>
      </c>
      <c r="B21" s="191">
        <v>1656724</v>
      </c>
      <c r="C21" s="191" t="s">
        <v>3623</v>
      </c>
      <c r="D21" s="191" t="s">
        <v>3941</v>
      </c>
      <c r="E21" s="191" t="s">
        <v>3942</v>
      </c>
      <c r="F21" s="190" t="s">
        <v>3905</v>
      </c>
      <c r="G21" s="192"/>
      <c r="H21" s="192" t="s">
        <v>3963</v>
      </c>
    </row>
    <row r="22" spans="1:8" x14ac:dyDescent="0.3">
      <c r="A22" s="190" t="s">
        <v>3774</v>
      </c>
      <c r="B22" s="191">
        <v>1656724</v>
      </c>
      <c r="C22" s="191" t="s">
        <v>3623</v>
      </c>
      <c r="D22" s="191" t="s">
        <v>3956</v>
      </c>
      <c r="E22" s="191" t="s">
        <v>3958</v>
      </c>
      <c r="F22" s="190" t="s">
        <v>3905</v>
      </c>
      <c r="G22" s="192"/>
      <c r="H22" s="192" t="s">
        <v>3963</v>
      </c>
    </row>
  </sheetData>
  <phoneticPr fontId="7" type="noConversion"/>
  <hyperlinks>
    <hyperlink ref="E5" r:id="rId1" xr:uid="{60804502-8B18-43BE-A8D5-D1D6B329FC6F}"/>
    <hyperlink ref="E6" r:id="rId2" xr:uid="{D949A42A-4492-4705-9452-725B803B97CF}"/>
  </hyperlinks>
  <pageMargins left="0.7" right="0.7" top="0.75" bottom="0.75" header="0.3" footer="0.3"/>
  <pageSetup paperSize="9" orientation="portrait" r:id="rId3"/>
  <customProperties>
    <customPr name="OrphanNamesChecked" r:id="rId4"/>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3745F-0C38-432B-9541-DF97ECE7B9BB}">
  <sheetPr codeName="Sheet2"/>
  <dimension ref="B1:P40"/>
  <sheetViews>
    <sheetView workbookViewId="0">
      <selection activeCell="C7" sqref="C7"/>
    </sheetView>
  </sheetViews>
  <sheetFormatPr defaultRowHeight="16.5" x14ac:dyDescent="0.3"/>
  <cols>
    <col min="1" max="1" width="0.375" customWidth="1"/>
    <col min="2" max="2" width="19.375" bestFit="1" customWidth="1"/>
    <col min="3" max="3" width="12.375" bestFit="1" customWidth="1"/>
    <col min="4" max="4" width="9.125" bestFit="1" customWidth="1"/>
    <col min="5" max="5" width="4.625" customWidth="1"/>
    <col min="10" max="10" width="23.5" bestFit="1" customWidth="1"/>
  </cols>
  <sheetData>
    <row r="1" spans="2:16" ht="1.5" customHeight="1" x14ac:dyDescent="0.3"/>
    <row r="2" spans="2:16" ht="20.25" x14ac:dyDescent="0.3">
      <c r="B2" s="118" t="s">
        <v>1620</v>
      </c>
    </row>
    <row r="3" spans="2:16" x14ac:dyDescent="0.3">
      <c r="B3" s="176" t="s">
        <v>1609</v>
      </c>
      <c r="C3" s="177" t="s">
        <v>3637</v>
      </c>
      <c r="D3" s="178"/>
      <c r="E3" s="176" t="s">
        <v>3638</v>
      </c>
      <c r="J3" s="172" t="e">
        <v>#N/A</v>
      </c>
      <c r="K3" s="105">
        <v>0</v>
      </c>
      <c r="L3" t="s">
        <v>3641</v>
      </c>
    </row>
    <row r="4" spans="2:16" x14ac:dyDescent="0.3">
      <c r="B4" s="179" t="s">
        <v>1606</v>
      </c>
      <c r="D4" s="173">
        <v>223</v>
      </c>
      <c r="E4" s="174"/>
      <c r="F4">
        <v>223</v>
      </c>
      <c r="J4" s="105" t="s">
        <v>3635</v>
      </c>
      <c r="K4" s="105" cm="1">
        <f t="array" ref="K4">SUMPRODUCT(
  --IFERROR(
      ( (COUNTIF($P$4:$P$6, FY25_현황!$AF$8:$AF$998)&gt;0)
        + (FY25_현황!$AF$8:$AF$998="") )&gt;0,0),
  --IFERROR(FY25_현황!$DA$8:$DA$998=J4,0)
)</f>
        <v>0</v>
      </c>
      <c r="L4" t="s">
        <v>3642</v>
      </c>
      <c r="M4" s="119"/>
    </row>
    <row r="5" spans="2:16" x14ac:dyDescent="0.3">
      <c r="B5" s="180" t="s">
        <v>1622</v>
      </c>
      <c r="D5" s="173">
        <f>FY25_현황!D4-FY25_현황!C4</f>
        <v>10</v>
      </c>
      <c r="E5" s="174"/>
      <c r="F5">
        <v>9</v>
      </c>
      <c r="J5" s="105" t="s">
        <v>3618</v>
      </c>
      <c r="K5" s="105" cm="1">
        <f t="array" ref="K5">SUMPRODUCT(
  --IFERROR(
      ( (COUNTIF($P$4:$P$6, FY25_현황!$AF$8:$AF$998)&gt;0)
        + (FY25_현황!$AF$8:$AF$998="") )&gt;0,0),
  --IFERROR(FY25_현황!$DA$8:$DA$998=J5,0)
)</f>
        <v>0</v>
      </c>
      <c r="L5" t="s">
        <v>3643</v>
      </c>
      <c r="P5" t="s">
        <v>3784</v>
      </c>
    </row>
    <row r="6" spans="2:16" x14ac:dyDescent="0.3">
      <c r="B6" s="180" t="s">
        <v>1607</v>
      </c>
      <c r="D6" s="173">
        <f>C8+C7</f>
        <v>-123</v>
      </c>
      <c r="J6" s="105" t="s">
        <v>3622</v>
      </c>
      <c r="K6" s="105" cm="1">
        <f t="array" ref="K6">SUMPRODUCT(
  --IFERROR(
      ( (COUNTIF($P$4:$P$6, FY25_현황!$AF$8:$AF$998)&gt;0)
        + (FY25_현황!$AF$8:$AF$998="") )&gt;0,0),
  --IFERROR(FY25_현황!$DA$8:$DA$998=J6,0)
)</f>
        <v>0</v>
      </c>
      <c r="L6" t="s">
        <v>3643</v>
      </c>
    </row>
    <row r="7" spans="2:16" x14ac:dyDescent="0.3">
      <c r="B7" s="175" t="s">
        <v>3697</v>
      </c>
      <c r="C7" s="173">
        <f>-(COUNTIF(FY25_현황!AF:AF,"확인중")+COUNTIF(FY25_현황!AF:AF,"통화안됨"))</f>
        <v>0</v>
      </c>
      <c r="D7" s="174"/>
      <c r="E7" t="s">
        <v>3698</v>
      </c>
      <c r="J7" s="105" t="s">
        <v>3737</v>
      </c>
      <c r="K7" s="105" cm="1">
        <f t="array" ref="K7">SUMPRODUCT(
  --IFERROR(
      ( (COUNTIF($P$4:$P$6, FY25_현황!$AF$8:$AF$998)&gt;0)
        + (FY25_현황!$AF$8:$AF$998="") )&gt;0,0),
  --IFERROR(FY25_현황!$DA$8:$DA$998=J7,0)
)</f>
        <v>0</v>
      </c>
      <c r="L7" t="s">
        <v>3643</v>
      </c>
    </row>
    <row r="8" spans="2:16" x14ac:dyDescent="0.3">
      <c r="B8" s="181" t="s">
        <v>3648</v>
      </c>
      <c r="C8" s="182">
        <f>-COUNTIF(FY25_현황!AF:AF,"제외요청")</f>
        <v>-123</v>
      </c>
      <c r="D8" s="183"/>
      <c r="E8" s="184"/>
      <c r="J8" s="105" t="s">
        <v>3603</v>
      </c>
      <c r="K8" s="105" cm="1">
        <f t="array" ref="K8">SUMPRODUCT(
  --IFERROR(
      ( (COUNTIF($P$4:$P$6, FY25_현황!$AF$8:$AF$998)&gt;0)
        + (FY25_현황!$AF$8:$AF$998="") )&gt;0,0),
  --IFERROR(FY25_현황!$DA$8:$DA$998=J8,0)
)</f>
        <v>0</v>
      </c>
      <c r="L8" t="s">
        <v>3643</v>
      </c>
    </row>
    <row r="9" spans="2:16" x14ac:dyDescent="0.3">
      <c r="B9" s="179" t="s">
        <v>1608</v>
      </c>
      <c r="D9" s="173">
        <f>SUM(D4:D6)</f>
        <v>110</v>
      </c>
      <c r="H9" s="186"/>
      <c r="J9" s="105" t="s">
        <v>3594</v>
      </c>
      <c r="K9" s="105" cm="1">
        <f t="array" ref="K9">SUMPRODUCT(
  --IFERROR(
      ( (COUNTIF($P$4:$P$6, FY25_현황!$AF$8:$AF$998)&gt;0)
        + (FY25_현황!$AF$8:$AF$998="") )&gt;0,0),
  --IFERROR(FY25_현황!$DA$8:$DA$998=J9,0)
)</f>
        <v>1</v>
      </c>
      <c r="L9" t="s">
        <v>3643</v>
      </c>
    </row>
    <row r="10" spans="2:16" x14ac:dyDescent="0.3">
      <c r="B10" s="175" t="s">
        <v>3639</v>
      </c>
      <c r="C10" s="173">
        <f>K10</f>
        <v>109</v>
      </c>
      <c r="D10" s="174"/>
      <c r="J10" s="105" t="s">
        <v>3634</v>
      </c>
      <c r="K10" s="105" cm="1">
        <f t="array" ref="K10">SUMPRODUCT(
  --IFERROR(
      ( (COUNTIF($P$4:$P$6, FY25_현황!$AF$8:$AF$998)&gt;0)
        + (FY25_현황!$AF$8:$AF$998="") )&gt;0,0),
  --IFERROR(FY25_현황!$DA$8:$DA$998=J10,0)
)</f>
        <v>109</v>
      </c>
      <c r="L10" t="s">
        <v>3644</v>
      </c>
    </row>
    <row r="11" spans="2:16" x14ac:dyDescent="0.3">
      <c r="B11" s="181" t="s">
        <v>3640</v>
      </c>
      <c r="C11" s="182">
        <f>D9-C10</f>
        <v>1</v>
      </c>
      <c r="D11" s="183"/>
      <c r="E11" s="184" t="s">
        <v>3699</v>
      </c>
      <c r="J11" s="105" t="s">
        <v>3724</v>
      </c>
      <c r="K11" s="105" cm="1">
        <f t="array" ref="K11">SUMPRODUCT(
  --IFERROR(
      ( (COUNTIF($P$4:$P$6, FY25_현황!$AF$8:$AF$998)&gt;0)
        + (FY25_현황!$AF$8:$AF$998="") )&gt;0,0),
  --IFERROR(FY25_현황!$DA$8:$DA$998=J11,0)
)</f>
        <v>0</v>
      </c>
      <c r="L11" t="s">
        <v>3641</v>
      </c>
    </row>
    <row r="12" spans="2:16" x14ac:dyDescent="0.3">
      <c r="F12" s="186" t="b">
        <f>D9=(C10+C11)</f>
        <v>1</v>
      </c>
      <c r="J12" s="172" t="s">
        <v>557</v>
      </c>
      <c r="K12" s="105">
        <f>SUM(K3:K11)</f>
        <v>110</v>
      </c>
    </row>
    <row r="13" spans="2:16" x14ac:dyDescent="0.3">
      <c r="J13" t="s">
        <v>3737</v>
      </c>
    </row>
    <row r="14" spans="2:16" x14ac:dyDescent="0.3">
      <c r="B14" s="176" t="s">
        <v>3838</v>
      </c>
      <c r="C14" s="176" t="s">
        <v>3837</v>
      </c>
      <c r="D14" s="176" t="s">
        <v>3646</v>
      </c>
    </row>
    <row r="15" spans="2:16" x14ac:dyDescent="0.3">
      <c r="B15" s="194">
        <v>199500</v>
      </c>
      <c r="C15" s="195"/>
      <c r="D15" s="193"/>
    </row>
    <row r="16" spans="2:16" x14ac:dyDescent="0.3">
      <c r="B16" s="195"/>
      <c r="C16" s="199">
        <f>B15/D16</f>
        <v>1830.2752293577983</v>
      </c>
      <c r="D16" s="200">
        <v>109</v>
      </c>
    </row>
    <row r="17" spans="2:5" x14ac:dyDescent="0.3">
      <c r="B17" s="196"/>
      <c r="C17" s="198">
        <f>B15/D17</f>
        <v>1813.6363636363637</v>
      </c>
      <c r="D17" s="197">
        <f>D9</f>
        <v>110</v>
      </c>
    </row>
    <row r="21" spans="2:5" x14ac:dyDescent="0.3">
      <c r="B21" s="176" t="s">
        <v>1609</v>
      </c>
      <c r="C21" s="177" t="s">
        <v>3637</v>
      </c>
      <c r="D21" s="178"/>
      <c r="E21" s="176" t="s">
        <v>3638</v>
      </c>
    </row>
    <row r="22" spans="2:5" x14ac:dyDescent="0.3">
      <c r="B22" t="s">
        <v>3748</v>
      </c>
      <c r="D22" s="173">
        <v>35</v>
      </c>
    </row>
    <row r="23" spans="2:5" x14ac:dyDescent="0.3">
      <c r="B23" s="180" t="s">
        <v>3649</v>
      </c>
      <c r="C23" s="173">
        <v>20</v>
      </c>
    </row>
    <row r="24" spans="2:5" x14ac:dyDescent="0.3">
      <c r="B24" s="180" t="s">
        <v>3692</v>
      </c>
      <c r="C24" s="173">
        <v>10</v>
      </c>
    </row>
    <row r="25" spans="2:5" x14ac:dyDescent="0.3">
      <c r="B25" s="180" t="s">
        <v>3694</v>
      </c>
      <c r="C25" s="173">
        <v>1</v>
      </c>
    </row>
    <row r="26" spans="2:5" x14ac:dyDescent="0.3">
      <c r="B26" s="187" t="s">
        <v>3693</v>
      </c>
      <c r="C26" s="182">
        <v>4</v>
      </c>
      <c r="D26" s="184"/>
      <c r="E26" s="184"/>
    </row>
    <row r="32" spans="2:5" x14ac:dyDescent="0.3">
      <c r="D32" s="164"/>
    </row>
    <row r="33" spans="3:4" x14ac:dyDescent="0.3">
      <c r="D33" s="164"/>
    </row>
    <row r="34" spans="3:4" x14ac:dyDescent="0.3">
      <c r="D34" s="164"/>
    </row>
    <row r="35" spans="3:4" x14ac:dyDescent="0.3">
      <c r="D35" s="164"/>
    </row>
    <row r="36" spans="3:4" x14ac:dyDescent="0.3">
      <c r="D36" s="164"/>
    </row>
    <row r="37" spans="3:4" x14ac:dyDescent="0.3">
      <c r="D37" s="164"/>
    </row>
    <row r="38" spans="3:4" x14ac:dyDescent="0.3">
      <c r="D38" s="164"/>
    </row>
    <row r="39" spans="3:4" x14ac:dyDescent="0.3">
      <c r="D39" s="164"/>
    </row>
    <row r="40" spans="3:4" x14ac:dyDescent="0.3">
      <c r="C40" s="151"/>
    </row>
  </sheetData>
  <phoneticPr fontId="7" type="noConversion"/>
  <pageMargins left="0.7" right="0.7" top="0.75" bottom="0.75" header="0.3" footer="0.3"/>
  <pageSetup paperSize="9" orientation="portrait" r:id="rId1"/>
  <customProperties>
    <customPr name="OrphanNamesChecke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B1B54-2F6C-487A-95B1-E3B5D29769EA}">
  <sheetPr codeName="Sheet8">
    <tabColor theme="1"/>
  </sheetPr>
  <dimension ref="A1"/>
  <sheetViews>
    <sheetView workbookViewId="0"/>
  </sheetViews>
  <sheetFormatPr defaultRowHeight="16.5" x14ac:dyDescent="0.3"/>
  <sheetData/>
  <phoneticPr fontId="7" type="noConversion"/>
  <pageMargins left="0.7" right="0.7" top="0.75" bottom="0.75" header="0.3" footer="0.3"/>
  <customProperties>
    <customPr name="OrphanNamesChecked" r:id="rId1"/>
  </customPropertie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73E1-1272-46E3-9838-73FBB796867A}">
  <sheetPr codeName="Sheet5"/>
  <dimension ref="A2:DI554"/>
  <sheetViews>
    <sheetView topLeftCell="C4" zoomScale="85" zoomScaleNormal="85" workbookViewId="0">
      <pane xSplit="7" ySplit="4" topLeftCell="L34" activePane="bottomRight" state="frozen"/>
      <selection activeCell="C4" sqref="C4"/>
      <selection pane="topRight" activeCell="J4" sqref="J4"/>
      <selection pane="bottomLeft" activeCell="C8" sqref="C8"/>
      <selection pane="bottomRight" activeCell="Q49" sqref="Q49"/>
    </sheetView>
  </sheetViews>
  <sheetFormatPr defaultRowHeight="16.5" x14ac:dyDescent="0.3"/>
  <cols>
    <col min="4" max="4" width="4.875" bestFit="1" customWidth="1"/>
    <col min="5" max="5" width="6.375" bestFit="1" customWidth="1"/>
    <col min="6" max="6" width="11.625" bestFit="1" customWidth="1"/>
    <col min="7" max="7" width="22.875" customWidth="1"/>
    <col min="8" max="8" width="9.375" bestFit="1" customWidth="1"/>
    <col min="9" max="9" width="30.75" bestFit="1" customWidth="1"/>
    <col min="10" max="10" width="15.625" bestFit="1" customWidth="1"/>
    <col min="11" max="11" width="9.625" customWidth="1"/>
    <col min="12" max="12" width="16.375" customWidth="1"/>
    <col min="13" max="13" width="17.375" bestFit="1" customWidth="1"/>
    <col min="14" max="14" width="17.375" customWidth="1"/>
    <col min="15" max="15" width="12.625" style="114" customWidth="1"/>
    <col min="16" max="27" width="13.375" customWidth="1"/>
    <col min="28" max="28" width="56.75" bestFit="1" customWidth="1"/>
    <col min="29" max="29" width="13.375" customWidth="1"/>
    <col min="30" max="31" width="12.5" customWidth="1"/>
    <col min="32" max="32" width="24" customWidth="1"/>
    <col min="33" max="33" width="23.25" customWidth="1"/>
    <col min="34" max="37" width="11.625" customWidth="1"/>
    <col min="38" max="39" width="16.875" customWidth="1"/>
    <col min="40" max="46" width="17.75" customWidth="1"/>
    <col min="47" max="48" width="11.625" customWidth="1"/>
    <col min="49" max="52" width="9" customWidth="1"/>
    <col min="53" max="53" width="10.375" customWidth="1"/>
    <col min="54" max="62" width="9" customWidth="1"/>
    <col min="66" max="66" width="24.875" bestFit="1" customWidth="1"/>
    <col min="105" max="105" width="18.125" bestFit="1" customWidth="1"/>
    <col min="106" max="106" width="18.125" customWidth="1"/>
    <col min="107" max="107" width="9" style="96"/>
    <col min="108" max="108" width="18.125" customWidth="1"/>
    <col min="111" max="111" width="9" style="96"/>
  </cols>
  <sheetData>
    <row r="2" spans="1:111" x14ac:dyDescent="0.3">
      <c r="AD2" s="1"/>
      <c r="AE2" s="1"/>
    </row>
    <row r="3" spans="1:111" x14ac:dyDescent="0.3">
      <c r="C3" s="89"/>
      <c r="D3" s="165">
        <f>C4+AF3+AF4</f>
        <v>100</v>
      </c>
      <c r="E3" s="89"/>
      <c r="F3" s="89"/>
      <c r="G3" s="89"/>
      <c r="H3" s="89"/>
      <c r="I3" s="89"/>
      <c r="J3" s="89"/>
      <c r="K3" s="89"/>
      <c r="L3" s="89"/>
      <c r="M3" s="89"/>
      <c r="N3" s="89"/>
      <c r="O3" s="124"/>
      <c r="P3" s="89"/>
      <c r="Q3" s="89"/>
      <c r="R3" s="89"/>
      <c r="S3" s="89"/>
      <c r="T3" s="89"/>
      <c r="U3" s="89"/>
      <c r="V3" s="89"/>
      <c r="W3" s="89"/>
      <c r="X3" s="89"/>
      <c r="Y3" s="89"/>
      <c r="Z3" s="89"/>
      <c r="AA3" s="89"/>
      <c r="AB3" s="89"/>
      <c r="AC3" s="89"/>
      <c r="AD3" s="121"/>
      <c r="AE3" s="121"/>
      <c r="AF3" s="165">
        <f>COUNTIF(AF8:AF395,"추가신청")</f>
        <v>0</v>
      </c>
      <c r="AL3" s="96">
        <f>COUNTIF(AL8:AL1048576,"V")</f>
        <v>145</v>
      </c>
    </row>
    <row r="4" spans="1:111" x14ac:dyDescent="0.3">
      <c r="C4" s="162">
        <f>COUNTA(C8:C395)</f>
        <v>223</v>
      </c>
      <c r="D4" s="151">
        <f>COUNTA(D8:D395)</f>
        <v>233</v>
      </c>
      <c r="E4" s="89"/>
      <c r="F4" s="89"/>
      <c r="G4" s="89"/>
      <c r="H4" s="89"/>
      <c r="I4" s="89"/>
      <c r="J4" s="89"/>
      <c r="K4" s="89"/>
      <c r="L4" s="89"/>
      <c r="M4" s="89"/>
      <c r="N4" s="89"/>
      <c r="O4" s="124"/>
      <c r="P4" s="89"/>
      <c r="Q4" s="89"/>
      <c r="R4" s="89"/>
      <c r="S4" s="89"/>
      <c r="T4" s="89"/>
      <c r="U4" s="89"/>
      <c r="V4" s="89"/>
      <c r="W4" s="89"/>
      <c r="X4" s="89"/>
      <c r="Y4" s="89"/>
      <c r="Z4" s="89"/>
      <c r="AA4" s="89"/>
      <c r="AB4" s="89"/>
      <c r="AC4" s="89"/>
      <c r="AD4" s="121"/>
      <c r="AE4" s="89"/>
      <c r="AF4" s="121">
        <f>-(COUNTIF(AF8:AF395,"제외요청")+COUNTIF(AF8:AF395,"제외"))</f>
        <v>-123</v>
      </c>
      <c r="AK4" s="114" t="s">
        <v>1610</v>
      </c>
      <c r="AL4" s="117">
        <f>SUBTOTAL(103,AL8:AL236)</f>
        <v>201</v>
      </c>
      <c r="AM4" s="117">
        <f>COUNTIF(AM8:AM297,"V")-COUNTIFS(AM8:AM297,"V",$AF$8:$AF$297,"제외요청")</f>
        <v>102</v>
      </c>
      <c r="AN4" s="117">
        <f>COUNTIF(AN8:AN297,"V")-COUNTIFS(AN8:AN297,"V",$AF$8:$AF$297,"제외요청")</f>
        <v>99</v>
      </c>
      <c r="AO4" s="117">
        <f>COUNTIF(AO8:AO297,"V")-COUNTIFS(AO8:AO297,"V",$AF$8:$AF$297,"제외요청")</f>
        <v>99</v>
      </c>
      <c r="AP4" s="117">
        <f>COUNTIF(AP8:AP297,"V")-COUNTIFS(AP8:AP297,"V",$AF$8:$AF$297,"제외요청")</f>
        <v>99</v>
      </c>
      <c r="AQ4" s="117">
        <f>SUBTOTAL(103,AQ8:AQ236)</f>
        <v>104</v>
      </c>
      <c r="AR4" s="117">
        <f>SUBTOTAL(103,AR8:AR236)</f>
        <v>104</v>
      </c>
      <c r="AS4" s="117">
        <f>SUBTOTAL(103,AS8:AS236)</f>
        <v>56</v>
      </c>
      <c r="AT4" s="117">
        <f>COUNTIF(AT8:AT297,"V")-COUNTIFS(AT8:AT297,"V",$AF$8:$AF$297,"제외요청")</f>
        <v>2</v>
      </c>
      <c r="AU4" s="117">
        <f>COUNTIF(AU8:AU297,"V")-COUNTIFS(AU8:AU297,"V",$AF$8:$AF$297,"제외요청")</f>
        <v>2</v>
      </c>
      <c r="AV4" s="117"/>
      <c r="AW4" s="117">
        <f>COUNTIF(AW8:AW297,"V")-COUNTIFS(AW8:AW297,"V",$AF$8:$AF$297,"제외요청")</f>
        <v>78</v>
      </c>
      <c r="AX4" s="117">
        <f>COUNTIF(AX8:AX297,"V")-COUNTIFS(AX8:AX297,"V",$AF$8:$AF$297,"제외요청")</f>
        <v>78</v>
      </c>
      <c r="AY4" s="117">
        <f>COUNTIF(AY8:AY297,"V")-COUNTIFS(AY8:AY297,"V",$AF$8:$AF$297,"제외요청")</f>
        <v>78</v>
      </c>
      <c r="AZ4" s="117">
        <f>COUNTIF(AZ8:AZ297,"V")-COUNTIFS(AZ8:AZ297,"V",$AF$8:$AF$297,"제외요청")</f>
        <v>78</v>
      </c>
      <c r="DC4" cm="1">
        <f t="array" ref="DC4">SUMPRODUCT(--(TRIM(SUBSTITUTE(FY25_현황!DC8:DC998,CHAR(160),""))="V"))</f>
        <v>35</v>
      </c>
      <c r="DD4" cm="1">
        <f t="array" ref="DD4">SUMPRODUCT(--(TRIM(SUBSTITUTE(FY25_현황!DD8:DD998,CHAR(160),""))="V"))</f>
        <v>123</v>
      </c>
      <c r="DF4" cm="1">
        <f t="array" ref="DF4">SUMPRODUCT(--(TRIM(SUBSTITUTE(FY25_현황!DF8:DF998,CHAR(160),""))="V"))</f>
        <v>109</v>
      </c>
      <c r="DG4"/>
    </row>
    <row r="5" spans="1:111" ht="17.25" thickBot="1" x14ac:dyDescent="0.35">
      <c r="C5" s="16" t="s">
        <v>0</v>
      </c>
      <c r="D5" s="17" t="s">
        <v>0</v>
      </c>
      <c r="E5" s="17"/>
      <c r="F5" s="17"/>
      <c r="G5" s="17"/>
      <c r="H5" s="17"/>
      <c r="I5" s="17"/>
      <c r="J5" s="17"/>
      <c r="K5" s="17"/>
      <c r="L5" s="17"/>
      <c r="M5" s="17"/>
      <c r="N5" s="17"/>
      <c r="O5" s="125"/>
      <c r="P5" s="17" t="s">
        <v>662</v>
      </c>
      <c r="Q5" s="17"/>
      <c r="R5" s="17"/>
      <c r="S5" s="17"/>
      <c r="T5" s="17"/>
      <c r="U5" s="17"/>
      <c r="V5" s="17"/>
      <c r="W5" s="17"/>
      <c r="X5" s="17"/>
      <c r="Y5" s="17"/>
      <c r="Z5" s="17"/>
      <c r="AA5" s="17"/>
      <c r="AB5" s="17"/>
      <c r="AC5" s="17"/>
      <c r="AD5" s="16" t="s">
        <v>2</v>
      </c>
      <c r="AE5" s="17"/>
      <c r="AF5" s="17"/>
      <c r="AG5" s="17"/>
      <c r="AH5" s="41" t="s">
        <v>466</v>
      </c>
      <c r="AI5" s="41"/>
      <c r="AJ5" s="41"/>
      <c r="AK5" s="41"/>
      <c r="AL5" s="115"/>
      <c r="AM5" s="112"/>
      <c r="AN5" s="112"/>
      <c r="AO5" s="112"/>
      <c r="AP5" s="112"/>
      <c r="AQ5" s="112"/>
      <c r="AR5" s="112"/>
      <c r="AS5" s="112"/>
      <c r="AT5" s="112"/>
      <c r="AU5" s="116"/>
      <c r="AV5" s="50" t="s">
        <v>467</v>
      </c>
      <c r="AW5" s="50" t="s">
        <v>467</v>
      </c>
      <c r="AX5" s="50"/>
      <c r="AY5" s="50"/>
      <c r="AZ5" s="50"/>
      <c r="BA5" s="157" t="s">
        <v>3009</v>
      </c>
      <c r="BB5" s="158"/>
      <c r="BC5" s="158"/>
      <c r="BD5" s="158"/>
      <c r="BE5" s="158"/>
      <c r="BF5" s="158"/>
      <c r="BG5" s="158"/>
      <c r="BH5" s="158"/>
      <c r="BI5" s="158"/>
      <c r="BJ5" s="158"/>
      <c r="BK5" s="158"/>
      <c r="BL5" s="158"/>
      <c r="BM5" s="158"/>
      <c r="BN5" s="158"/>
      <c r="BO5" s="158"/>
      <c r="BP5" s="158"/>
      <c r="BQ5" s="158"/>
      <c r="BR5" s="158"/>
      <c r="BS5" s="158"/>
      <c r="BT5" s="158"/>
      <c r="BU5" s="158"/>
      <c r="BV5" s="158"/>
      <c r="BW5" s="158"/>
      <c r="BX5" s="158"/>
      <c r="BY5" s="158"/>
      <c r="BZ5" s="158"/>
      <c r="CA5" s="158"/>
      <c r="CB5" s="158"/>
      <c r="CC5" s="158"/>
      <c r="CD5" s="158"/>
      <c r="CE5" s="158"/>
      <c r="CF5" s="158"/>
      <c r="CG5" s="158"/>
      <c r="CH5" s="158"/>
      <c r="CI5" s="158"/>
      <c r="CJ5" s="158"/>
      <c r="CK5" s="158"/>
      <c r="CL5" s="158"/>
      <c r="CM5" s="158"/>
      <c r="CN5" s="158"/>
      <c r="CO5" s="158"/>
      <c r="CP5" s="158"/>
      <c r="CQ5" s="158"/>
      <c r="CR5" s="158"/>
      <c r="CS5" s="158"/>
      <c r="CT5" s="158"/>
      <c r="CU5" s="158"/>
      <c r="CV5" s="159"/>
      <c r="CW5" s="158"/>
      <c r="CX5" s="159"/>
      <c r="DA5" t="s">
        <v>3650</v>
      </c>
      <c r="DB5" s="171"/>
      <c r="DD5" s="171"/>
    </row>
    <row r="6" spans="1:111" x14ac:dyDescent="0.3">
      <c r="C6" s="19"/>
      <c r="D6" s="20"/>
      <c r="E6" s="20"/>
      <c r="F6" s="20"/>
      <c r="G6" s="20"/>
      <c r="H6" s="20"/>
      <c r="I6" s="20"/>
      <c r="J6" s="20"/>
      <c r="K6" s="20"/>
      <c r="L6" s="20"/>
      <c r="M6" s="20"/>
      <c r="N6" s="20"/>
      <c r="O6" s="126"/>
      <c r="P6" s="20"/>
      <c r="Q6" s="20"/>
      <c r="R6" s="20"/>
      <c r="S6" s="20"/>
      <c r="T6" s="20"/>
      <c r="U6" s="20"/>
      <c r="V6" s="20"/>
      <c r="W6" s="20"/>
      <c r="X6" s="20"/>
      <c r="Y6" s="20"/>
      <c r="Z6" s="20"/>
      <c r="AA6" s="20"/>
      <c r="AB6" s="20"/>
      <c r="AC6" s="20"/>
      <c r="AD6" s="19"/>
      <c r="AE6" s="20"/>
      <c r="AF6" s="20"/>
      <c r="AG6" s="20"/>
      <c r="AH6" s="43"/>
      <c r="AI6" s="43"/>
      <c r="AJ6" s="43"/>
      <c r="AK6" s="43"/>
      <c r="AL6" s="42"/>
      <c r="AM6" s="43"/>
      <c r="AN6" s="43"/>
      <c r="AO6" s="43"/>
      <c r="AP6" s="43"/>
      <c r="AQ6" s="43"/>
      <c r="AR6" s="43"/>
      <c r="AS6" s="43"/>
      <c r="AT6" s="43"/>
      <c r="AU6" s="44"/>
      <c r="AV6" s="43"/>
      <c r="AW6" s="13" t="s">
        <v>3</v>
      </c>
      <c r="AX6" s="13"/>
      <c r="AY6" s="23" t="s">
        <v>4</v>
      </c>
      <c r="AZ6" s="13" t="s">
        <v>3468</v>
      </c>
      <c r="BA6" s="160"/>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55"/>
      <c r="CW6" s="161"/>
      <c r="CX6" s="155"/>
      <c r="CZ6" t="s">
        <v>3645</v>
      </c>
      <c r="DA6" s="171">
        <v>46056.520833333336</v>
      </c>
    </row>
    <row r="7" spans="1:111" s="6" customFormat="1" ht="27" x14ac:dyDescent="0.3">
      <c r="B7" s="6" t="s">
        <v>3777</v>
      </c>
      <c r="C7" s="5" t="s">
        <v>1640</v>
      </c>
      <c r="D7" s="4" t="s">
        <v>6</v>
      </c>
      <c r="E7" s="4" t="s">
        <v>7</v>
      </c>
      <c r="F7" s="4" t="s">
        <v>10</v>
      </c>
      <c r="G7" s="4" t="s">
        <v>11</v>
      </c>
      <c r="H7" s="4" t="s">
        <v>8</v>
      </c>
      <c r="I7" s="4" t="s">
        <v>9</v>
      </c>
      <c r="J7" s="4" t="s">
        <v>12</v>
      </c>
      <c r="K7" s="4" t="s">
        <v>646</v>
      </c>
      <c r="L7" s="4" t="s">
        <v>13</v>
      </c>
      <c r="M7" s="4" t="s">
        <v>15</v>
      </c>
      <c r="N7" s="4" t="s">
        <v>1943</v>
      </c>
      <c r="O7" s="5" t="s">
        <v>3040</v>
      </c>
      <c r="P7" s="4" t="s">
        <v>1318</v>
      </c>
      <c r="Q7" s="4" t="s">
        <v>1320</v>
      </c>
      <c r="R7" s="4" t="s">
        <v>1321</v>
      </c>
      <c r="S7" s="4" t="s">
        <v>1322</v>
      </c>
      <c r="T7" s="4" t="s">
        <v>1323</v>
      </c>
      <c r="U7" s="4" t="s">
        <v>1324</v>
      </c>
      <c r="V7" s="4" t="s">
        <v>1325</v>
      </c>
      <c r="W7" s="4" t="s">
        <v>1326</v>
      </c>
      <c r="X7" s="4" t="s">
        <v>1327</v>
      </c>
      <c r="Y7" s="4" t="s">
        <v>1328</v>
      </c>
      <c r="Z7" s="4" t="s">
        <v>1616</v>
      </c>
      <c r="AA7" s="4" t="s">
        <v>1617</v>
      </c>
      <c r="AB7" s="4" t="s">
        <v>643</v>
      </c>
      <c r="AC7" s="4" t="s">
        <v>644</v>
      </c>
      <c r="AD7" s="5" t="s">
        <v>23</v>
      </c>
      <c r="AE7" s="22" t="s">
        <v>1331</v>
      </c>
      <c r="AF7" s="22" t="s">
        <v>24</v>
      </c>
      <c r="AG7" s="4" t="s">
        <v>25</v>
      </c>
      <c r="AH7" s="25" t="s">
        <v>629</v>
      </c>
      <c r="AI7" s="25" t="s">
        <v>631</v>
      </c>
      <c r="AJ7" s="25" t="s">
        <v>630</v>
      </c>
      <c r="AK7" s="25" t="s">
        <v>632</v>
      </c>
      <c r="AL7" s="107" t="s">
        <v>1309</v>
      </c>
      <c r="AM7" s="111" t="s">
        <v>1311</v>
      </c>
      <c r="AN7" s="107" t="s">
        <v>1271</v>
      </c>
      <c r="AO7" s="107" t="s">
        <v>1272</v>
      </c>
      <c r="AP7" s="107" t="s">
        <v>1270</v>
      </c>
      <c r="AQ7" s="107" t="s">
        <v>3079</v>
      </c>
      <c r="AR7" s="107" t="s">
        <v>1273</v>
      </c>
      <c r="AS7" s="107" t="s">
        <v>1962</v>
      </c>
      <c r="AT7" s="107" t="s">
        <v>1274</v>
      </c>
      <c r="AU7" s="107" t="s">
        <v>1275</v>
      </c>
      <c r="AV7" s="25" t="s">
        <v>3494</v>
      </c>
      <c r="AW7" s="25" t="s">
        <v>26</v>
      </c>
      <c r="AX7" s="25" t="s">
        <v>27</v>
      </c>
      <c r="AY7" s="24" t="s">
        <v>28</v>
      </c>
      <c r="AZ7" s="25" t="s">
        <v>29</v>
      </c>
      <c r="BA7" s="156" t="s">
        <v>17</v>
      </c>
      <c r="BB7" s="156" t="s">
        <v>17</v>
      </c>
      <c r="BC7" s="156" t="s">
        <v>17</v>
      </c>
      <c r="BD7" s="156" t="s">
        <v>17</v>
      </c>
      <c r="BE7" s="156" t="s">
        <v>3008</v>
      </c>
      <c r="BF7" s="156" t="s">
        <v>3008</v>
      </c>
      <c r="BG7" s="156" t="s">
        <v>2273</v>
      </c>
      <c r="BH7" s="156" t="s">
        <v>2273</v>
      </c>
      <c r="BI7" s="156" t="s">
        <v>18</v>
      </c>
      <c r="BJ7" s="156" t="s">
        <v>18</v>
      </c>
      <c r="BK7" s="156" t="s">
        <v>19</v>
      </c>
      <c r="BL7" s="156" t="s">
        <v>19</v>
      </c>
      <c r="BM7" s="156" t="s">
        <v>19</v>
      </c>
      <c r="BN7" s="156" t="s">
        <v>19</v>
      </c>
      <c r="BO7" s="156" t="s">
        <v>19</v>
      </c>
      <c r="BP7" s="156" t="s">
        <v>19</v>
      </c>
      <c r="BQ7" s="156" t="s">
        <v>19</v>
      </c>
      <c r="BR7" s="156" t="s">
        <v>19</v>
      </c>
      <c r="BS7" s="156" t="s">
        <v>19</v>
      </c>
      <c r="BT7" s="156" t="s">
        <v>19</v>
      </c>
      <c r="BU7" s="156" t="s">
        <v>20</v>
      </c>
      <c r="BV7" s="156" t="s">
        <v>20</v>
      </c>
      <c r="BW7" s="156" t="s">
        <v>20</v>
      </c>
      <c r="BX7" s="156" t="s">
        <v>20</v>
      </c>
      <c r="BY7" s="156" t="s">
        <v>20</v>
      </c>
      <c r="BZ7" s="156" t="s">
        <v>20</v>
      </c>
      <c r="CA7" s="156" t="s">
        <v>20</v>
      </c>
      <c r="CB7" s="156" t="s">
        <v>20</v>
      </c>
      <c r="CC7" s="156" t="s">
        <v>20</v>
      </c>
      <c r="CD7" s="156" t="s">
        <v>20</v>
      </c>
      <c r="CE7" s="156" t="s">
        <v>20</v>
      </c>
      <c r="CF7" s="156" t="s">
        <v>20</v>
      </c>
      <c r="CG7" s="156" t="s">
        <v>21</v>
      </c>
      <c r="CH7" s="156" t="s">
        <v>21</v>
      </c>
      <c r="CI7" s="156" t="s">
        <v>21</v>
      </c>
      <c r="CJ7" s="156" t="s">
        <v>21</v>
      </c>
      <c r="CK7" s="156" t="s">
        <v>22</v>
      </c>
      <c r="CL7" s="156" t="s">
        <v>22</v>
      </c>
      <c r="CM7" s="156" t="s">
        <v>22</v>
      </c>
      <c r="CN7" s="156" t="s">
        <v>22</v>
      </c>
      <c r="CO7" s="156" t="s">
        <v>22</v>
      </c>
      <c r="CP7" s="156" t="s">
        <v>22</v>
      </c>
      <c r="CQ7" s="156" t="s">
        <v>22</v>
      </c>
      <c r="CR7" s="156" t="s">
        <v>22</v>
      </c>
      <c r="CS7" s="156" t="s">
        <v>22</v>
      </c>
      <c r="CT7" s="156" t="s">
        <v>22</v>
      </c>
      <c r="CU7" s="156" t="s">
        <v>22</v>
      </c>
      <c r="CV7" s="156" t="s">
        <v>22</v>
      </c>
      <c r="CW7" s="156" t="s">
        <v>3099</v>
      </c>
      <c r="CX7" s="156" t="s">
        <v>3099</v>
      </c>
      <c r="CY7" s="6" t="s">
        <v>3099</v>
      </c>
      <c r="CZ7" s="6" t="s">
        <v>3646</v>
      </c>
      <c r="DA7" s="6" t="s">
        <v>3647</v>
      </c>
      <c r="DC7" s="6" t="s">
        <v>3701</v>
      </c>
      <c r="DD7" s="6" t="s">
        <v>3649</v>
      </c>
      <c r="DF7" s="6" t="s">
        <v>3752</v>
      </c>
    </row>
    <row r="8" spans="1:111" ht="16.5" customHeight="1" x14ac:dyDescent="0.3">
      <c r="C8" s="105">
        <v>1668793</v>
      </c>
      <c r="D8" s="27">
        <v>1</v>
      </c>
      <c r="E8" s="28" t="s">
        <v>47</v>
      </c>
      <c r="F8" s="28">
        <v>1000316445</v>
      </c>
      <c r="G8" s="29" t="s">
        <v>1948</v>
      </c>
      <c r="H8" s="28">
        <v>1668793</v>
      </c>
      <c r="I8" s="29" t="s">
        <v>611</v>
      </c>
      <c r="J8" s="28" t="s">
        <v>33</v>
      </c>
      <c r="K8" s="7" t="s">
        <v>510</v>
      </c>
      <c r="L8" s="104" t="s">
        <v>34</v>
      </c>
      <c r="M8" s="29" t="s">
        <v>36</v>
      </c>
      <c r="N8" s="29" t="s">
        <v>128</v>
      </c>
      <c r="O8" s="127">
        <v>6821774</v>
      </c>
      <c r="P8" s="113" t="s">
        <v>1345</v>
      </c>
      <c r="Q8" s="28" t="s">
        <v>1344</v>
      </c>
      <c r="R8" s="28" t="s">
        <v>1341</v>
      </c>
      <c r="S8" s="28" t="s">
        <v>1341</v>
      </c>
      <c r="T8" s="28" t="s">
        <v>1341</v>
      </c>
      <c r="U8" s="28" t="s">
        <v>1341</v>
      </c>
      <c r="V8" s="28" t="s">
        <v>1341</v>
      </c>
      <c r="W8" s="28" t="s">
        <v>1341</v>
      </c>
      <c r="X8" s="28" t="s">
        <v>1341</v>
      </c>
      <c r="Y8" s="28" t="s">
        <v>1341</v>
      </c>
      <c r="Z8" s="28" t="s">
        <v>1301</v>
      </c>
      <c r="AA8" s="28" t="s">
        <v>1301</v>
      </c>
      <c r="AB8" s="104" t="s">
        <v>663</v>
      </c>
      <c r="AC8" s="104" t="s">
        <v>1340</v>
      </c>
      <c r="AD8" s="9" t="s">
        <v>45</v>
      </c>
      <c r="AE8" s="9"/>
      <c r="AF8" s="9"/>
      <c r="AG8" s="34"/>
      <c r="AH8" s="9" t="s">
        <v>654</v>
      </c>
      <c r="AI8" s="9" t="s">
        <v>46</v>
      </c>
      <c r="AJ8" s="9" t="s">
        <v>46</v>
      </c>
      <c r="AK8" s="9" t="s">
        <v>46</v>
      </c>
      <c r="AL8" s="45" t="s">
        <v>461</v>
      </c>
      <c r="AM8" s="45" t="s">
        <v>461</v>
      </c>
      <c r="AN8" s="45" t="s">
        <v>461</v>
      </c>
      <c r="AO8" s="45" t="s">
        <v>461</v>
      </c>
      <c r="AP8" s="45" t="s">
        <v>461</v>
      </c>
      <c r="AQ8" s="45" t="s">
        <v>461</v>
      </c>
      <c r="AR8" s="45" t="s">
        <v>461</v>
      </c>
      <c r="AS8" s="45" t="s">
        <v>461</v>
      </c>
      <c r="AT8" s="45"/>
      <c r="AU8" s="45"/>
      <c r="AV8" s="45"/>
      <c r="AW8" s="45" t="s">
        <v>461</v>
      </c>
      <c r="AX8" s="45" t="s">
        <v>461</v>
      </c>
      <c r="AY8" s="45" t="s">
        <v>461</v>
      </c>
      <c r="AZ8" s="9" t="s">
        <v>461</v>
      </c>
      <c r="BA8" s="10" t="s">
        <v>51</v>
      </c>
      <c r="BB8" s="29" t="s">
        <v>2501</v>
      </c>
      <c r="BC8" s="29" t="s">
        <v>1611</v>
      </c>
      <c r="BD8" s="29" t="s">
        <v>1611</v>
      </c>
      <c r="BE8" s="29" t="s">
        <v>2502</v>
      </c>
      <c r="BF8" s="29" t="s">
        <v>2503</v>
      </c>
      <c r="BG8" s="29" t="s">
        <v>1762</v>
      </c>
      <c r="BH8" s="29" t="s">
        <v>2504</v>
      </c>
      <c r="BI8" s="29" t="s">
        <v>52</v>
      </c>
      <c r="BJ8" s="29" t="s">
        <v>2505</v>
      </c>
      <c r="BK8" s="29" t="s">
        <v>53</v>
      </c>
      <c r="BL8" s="29" t="s">
        <v>2506</v>
      </c>
      <c r="BM8" s="29" t="s">
        <v>1611</v>
      </c>
      <c r="BN8" s="29" t="s">
        <v>1611</v>
      </c>
      <c r="BO8" s="29" t="s">
        <v>1611</v>
      </c>
      <c r="BP8" s="29" t="s">
        <v>1611</v>
      </c>
      <c r="BQ8" s="29" t="s">
        <v>1611</v>
      </c>
      <c r="BR8" s="29" t="s">
        <v>1611</v>
      </c>
      <c r="BS8" s="29" t="s">
        <v>1611</v>
      </c>
      <c r="BT8" s="29" t="s">
        <v>1611</v>
      </c>
      <c r="BU8" s="29" t="s">
        <v>54</v>
      </c>
      <c r="BV8" s="29" t="s">
        <v>2507</v>
      </c>
      <c r="BW8" s="29" t="s">
        <v>55</v>
      </c>
      <c r="BX8" s="29" t="s">
        <v>2508</v>
      </c>
      <c r="BY8" s="29" t="s">
        <v>1611</v>
      </c>
      <c r="BZ8" s="29" t="s">
        <v>1611</v>
      </c>
      <c r="CA8" s="29" t="s">
        <v>1611</v>
      </c>
      <c r="CB8" s="29" t="s">
        <v>1611</v>
      </c>
      <c r="CC8" s="29" t="s">
        <v>1611</v>
      </c>
      <c r="CD8" s="29" t="s">
        <v>1611</v>
      </c>
      <c r="CE8" s="29" t="s">
        <v>1611</v>
      </c>
      <c r="CF8" s="29" t="s">
        <v>1611</v>
      </c>
      <c r="CG8" s="29" t="s">
        <v>2509</v>
      </c>
      <c r="CH8" s="29" t="s">
        <v>2510</v>
      </c>
      <c r="CI8" s="29" t="s">
        <v>1611</v>
      </c>
      <c r="CJ8" s="29" t="s">
        <v>1611</v>
      </c>
      <c r="CK8" s="29" t="s">
        <v>2511</v>
      </c>
      <c r="CL8" s="29" t="s">
        <v>2512</v>
      </c>
      <c r="CM8" s="29" t="s">
        <v>3457</v>
      </c>
      <c r="CN8" s="29" t="s">
        <v>3456</v>
      </c>
      <c r="CO8" s="29" t="s">
        <v>1611</v>
      </c>
      <c r="CP8" s="29" t="s">
        <v>1611</v>
      </c>
      <c r="CQ8" s="29" t="s">
        <v>1611</v>
      </c>
      <c r="CR8" s="29" t="s">
        <v>1611</v>
      </c>
      <c r="CS8" s="29" t="s">
        <v>1611</v>
      </c>
      <c r="CT8" s="29" t="s">
        <v>1611</v>
      </c>
      <c r="CU8" s="29" t="s">
        <v>1611</v>
      </c>
      <c r="CV8" s="29" t="s">
        <v>1611</v>
      </c>
      <c r="CW8" s="29"/>
      <c r="CX8" s="29"/>
      <c r="CY8" s="151" t="s">
        <v>3099</v>
      </c>
      <c r="CZ8" t="s">
        <v>3585</v>
      </c>
      <c r="DA8" t="s">
        <v>3636</v>
      </c>
      <c r="DD8" s="96" t="str">
        <f t="shared" ref="DD8:DD71" si="0">IF(AF8="제외요청", "V","")</f>
        <v/>
      </c>
      <c r="DF8" s="96" t="s">
        <v>3753</v>
      </c>
    </row>
    <row r="9" spans="1:111" ht="16.5" customHeight="1" x14ac:dyDescent="0.3">
      <c r="A9" t="s">
        <v>3761</v>
      </c>
      <c r="B9" t="s">
        <v>3778</v>
      </c>
      <c r="C9" s="105">
        <v>1698103</v>
      </c>
      <c r="D9" s="27">
        <v>2</v>
      </c>
      <c r="E9" s="28" t="s">
        <v>613</v>
      </c>
      <c r="F9" s="28">
        <v>1000317342</v>
      </c>
      <c r="G9" s="29" t="s">
        <v>614</v>
      </c>
      <c r="H9" s="28">
        <v>1698103</v>
      </c>
      <c r="I9" s="29" t="s">
        <v>624</v>
      </c>
      <c r="J9" s="28" t="s">
        <v>625</v>
      </c>
      <c r="K9" s="7" t="s">
        <v>510</v>
      </c>
      <c r="L9" s="104" t="s">
        <v>642</v>
      </c>
      <c r="M9" s="29" t="s">
        <v>633</v>
      </c>
      <c r="N9" s="29" t="s">
        <v>1944</v>
      </c>
      <c r="O9" s="127">
        <v>240745021</v>
      </c>
      <c r="P9" s="28" t="s">
        <v>1301</v>
      </c>
      <c r="Q9" s="28" t="s">
        <v>1301</v>
      </c>
      <c r="R9" s="28" t="s">
        <v>1341</v>
      </c>
      <c r="S9" s="28" t="s">
        <v>1341</v>
      </c>
      <c r="T9" s="28" t="s">
        <v>1343</v>
      </c>
      <c r="U9" s="28" t="s">
        <v>1344</v>
      </c>
      <c r="V9" s="28" t="s">
        <v>1341</v>
      </c>
      <c r="W9" s="28" t="s">
        <v>1341</v>
      </c>
      <c r="X9" s="28" t="s">
        <v>1341</v>
      </c>
      <c r="Y9" s="28" t="s">
        <v>1341</v>
      </c>
      <c r="Z9" s="28" t="s">
        <v>1301</v>
      </c>
      <c r="AA9" s="28" t="s">
        <v>1301</v>
      </c>
      <c r="AB9" s="104" t="s">
        <v>663</v>
      </c>
      <c r="AC9" s="104" t="s">
        <v>664</v>
      </c>
      <c r="AD9" s="9" t="s">
        <v>626</v>
      </c>
      <c r="AE9" s="9"/>
      <c r="AF9" s="9"/>
      <c r="AG9" s="34"/>
      <c r="AH9" s="9" t="s">
        <v>654</v>
      </c>
      <c r="AI9" s="9"/>
      <c r="AJ9" s="9"/>
      <c r="AK9" s="45"/>
      <c r="AL9" s="45" t="s">
        <v>461</v>
      </c>
      <c r="AM9" s="45" t="s">
        <v>461</v>
      </c>
      <c r="AN9" s="45" t="s">
        <v>461</v>
      </c>
      <c r="AO9" s="45" t="s">
        <v>461</v>
      </c>
      <c r="AP9" s="45" t="s">
        <v>461</v>
      </c>
      <c r="AQ9" s="45" t="s">
        <v>461</v>
      </c>
      <c r="AR9" s="45" t="s">
        <v>461</v>
      </c>
      <c r="AS9" s="45"/>
      <c r="AT9" s="45" t="s">
        <v>461</v>
      </c>
      <c r="AU9" s="45" t="s">
        <v>461</v>
      </c>
      <c r="AV9" s="45"/>
      <c r="AW9" s="9" t="s">
        <v>461</v>
      </c>
      <c r="AX9" s="9" t="s">
        <v>461</v>
      </c>
      <c r="AY9" s="9" t="s">
        <v>461</v>
      </c>
      <c r="AZ9" s="9" t="s">
        <v>461</v>
      </c>
      <c r="BA9" s="10" t="s">
        <v>100</v>
      </c>
      <c r="BB9" s="29" t="s">
        <v>2513</v>
      </c>
      <c r="BC9" s="29" t="s">
        <v>1611</v>
      </c>
      <c r="BD9" s="29" t="s">
        <v>1611</v>
      </c>
      <c r="BE9" s="29" t="s">
        <v>2514</v>
      </c>
      <c r="BF9" s="29" t="s">
        <v>2515</v>
      </c>
      <c r="BG9" s="29" t="s">
        <v>2516</v>
      </c>
      <c r="BH9" s="29" t="s">
        <v>2517</v>
      </c>
      <c r="BI9" s="29" t="s">
        <v>2518</v>
      </c>
      <c r="BJ9" s="29" t="s">
        <v>2519</v>
      </c>
      <c r="BK9" s="29" t="s">
        <v>330</v>
      </c>
      <c r="BL9" s="29" t="s">
        <v>2520</v>
      </c>
      <c r="BM9" s="29" t="s">
        <v>1611</v>
      </c>
      <c r="BN9" s="29" t="s">
        <v>1611</v>
      </c>
      <c r="BO9" s="29" t="s">
        <v>1611</v>
      </c>
      <c r="BP9" s="29" t="s">
        <v>1611</v>
      </c>
      <c r="BQ9" s="29" t="s">
        <v>1611</v>
      </c>
      <c r="BR9" s="29" t="s">
        <v>1611</v>
      </c>
      <c r="BS9" s="29" t="s">
        <v>1611</v>
      </c>
      <c r="BT9" s="29" t="s">
        <v>1611</v>
      </c>
      <c r="BU9" s="29" t="s">
        <v>337</v>
      </c>
      <c r="BV9" s="29" t="s">
        <v>2521</v>
      </c>
      <c r="BW9" s="29" t="s">
        <v>1611</v>
      </c>
      <c r="BX9" s="29" t="s">
        <v>1611</v>
      </c>
      <c r="BY9" s="29" t="s">
        <v>1611</v>
      </c>
      <c r="BZ9" s="29" t="s">
        <v>1611</v>
      </c>
      <c r="CA9" s="29" t="s">
        <v>1611</v>
      </c>
      <c r="CB9" s="29" t="s">
        <v>1611</v>
      </c>
      <c r="CC9" s="29" t="s">
        <v>1611</v>
      </c>
      <c r="CD9" s="29" t="s">
        <v>1611</v>
      </c>
      <c r="CE9" s="29" t="s">
        <v>1611</v>
      </c>
      <c r="CF9" s="29" t="s">
        <v>1611</v>
      </c>
      <c r="CG9" s="29" t="s">
        <v>3061</v>
      </c>
      <c r="CH9" s="29" t="s">
        <v>3060</v>
      </c>
      <c r="CI9" s="29" t="s">
        <v>1611</v>
      </c>
      <c r="CJ9" s="29" t="s">
        <v>1611</v>
      </c>
      <c r="CK9" s="29" t="s">
        <v>2522</v>
      </c>
      <c r="CL9" s="29" t="s">
        <v>2523</v>
      </c>
      <c r="CM9" s="29" t="s">
        <v>3051</v>
      </c>
      <c r="CN9" s="29" t="s">
        <v>3050</v>
      </c>
      <c r="CO9" s="29" t="s">
        <v>1611</v>
      </c>
      <c r="CP9" s="29" t="s">
        <v>1611</v>
      </c>
      <c r="CQ9" s="29" t="s">
        <v>1611</v>
      </c>
      <c r="CR9" s="29" t="s">
        <v>1611</v>
      </c>
      <c r="CS9" s="29" t="s">
        <v>1611</v>
      </c>
      <c r="CT9" s="29" t="s">
        <v>1611</v>
      </c>
      <c r="CU9" s="29" t="s">
        <v>1611</v>
      </c>
      <c r="CV9" s="29" t="s">
        <v>1611</v>
      </c>
      <c r="CW9" s="29"/>
      <c r="CX9" s="29"/>
      <c r="CY9" s="151"/>
      <c r="CZ9" t="s">
        <v>635</v>
      </c>
      <c r="DA9" t="s">
        <v>3634</v>
      </c>
      <c r="DD9" s="96" t="str">
        <f t="shared" si="0"/>
        <v/>
      </c>
      <c r="DF9" s="96" t="s">
        <v>3753</v>
      </c>
    </row>
    <row r="10" spans="1:111" ht="16.5" customHeight="1" x14ac:dyDescent="0.3">
      <c r="C10" s="105">
        <v>1698595</v>
      </c>
      <c r="D10" s="27">
        <v>3</v>
      </c>
      <c r="E10" s="28" t="s">
        <v>613</v>
      </c>
      <c r="F10" s="28">
        <v>1000314674</v>
      </c>
      <c r="G10" s="29" t="s">
        <v>628</v>
      </c>
      <c r="H10" s="28">
        <v>1698595</v>
      </c>
      <c r="I10" s="29" t="s">
        <v>627</v>
      </c>
      <c r="J10" s="28" t="s">
        <v>429</v>
      </c>
      <c r="K10" s="7" t="s">
        <v>510</v>
      </c>
      <c r="L10" s="104"/>
      <c r="M10" s="29" t="s">
        <v>634</v>
      </c>
      <c r="N10" s="29" t="s">
        <v>128</v>
      </c>
      <c r="O10" s="127">
        <v>1701147</v>
      </c>
      <c r="P10" s="113" t="s">
        <v>1342</v>
      </c>
      <c r="Q10" s="28" t="s">
        <v>1344</v>
      </c>
      <c r="R10" s="28" t="s">
        <v>1341</v>
      </c>
      <c r="S10" s="28" t="s">
        <v>1341</v>
      </c>
      <c r="T10" s="28" t="s">
        <v>1343</v>
      </c>
      <c r="U10" s="28" t="s">
        <v>1344</v>
      </c>
      <c r="V10" s="28" t="s">
        <v>1341</v>
      </c>
      <c r="W10" s="28" t="s">
        <v>1341</v>
      </c>
      <c r="X10" s="28" t="s">
        <v>1341</v>
      </c>
      <c r="Y10" s="28" t="s">
        <v>1341</v>
      </c>
      <c r="Z10" s="28" t="s">
        <v>1301</v>
      </c>
      <c r="AA10" s="28" t="s">
        <v>1301</v>
      </c>
      <c r="AB10" s="104" t="s">
        <v>663</v>
      </c>
      <c r="AC10" s="104" t="s">
        <v>664</v>
      </c>
      <c r="AD10" s="9" t="s">
        <v>626</v>
      </c>
      <c r="AE10" s="39">
        <v>46036</v>
      </c>
      <c r="AF10" s="9" t="s">
        <v>1276</v>
      </c>
      <c r="AG10" s="34" t="s">
        <v>3497</v>
      </c>
      <c r="AH10" s="9" t="s">
        <v>654</v>
      </c>
      <c r="AI10" s="9"/>
      <c r="AJ10" s="9"/>
      <c r="AK10" s="45"/>
      <c r="AL10" s="45" t="s">
        <v>461</v>
      </c>
      <c r="AM10" s="45" t="s">
        <v>461</v>
      </c>
      <c r="AN10" s="45" t="s">
        <v>461</v>
      </c>
      <c r="AO10" s="45" t="s">
        <v>461</v>
      </c>
      <c r="AP10" s="45" t="s">
        <v>461</v>
      </c>
      <c r="AQ10" s="45" t="s">
        <v>461</v>
      </c>
      <c r="AR10" s="45" t="s">
        <v>461</v>
      </c>
      <c r="AS10" s="45"/>
      <c r="AT10" s="45" t="s">
        <v>461</v>
      </c>
      <c r="AU10" s="45" t="s">
        <v>461</v>
      </c>
      <c r="AV10" s="45"/>
      <c r="AW10" s="9"/>
      <c r="AX10" s="9"/>
      <c r="AY10" s="9"/>
      <c r="AZ10" s="9"/>
      <c r="BA10" s="10" t="s">
        <v>100</v>
      </c>
      <c r="BB10" s="29" t="s">
        <v>2513</v>
      </c>
      <c r="BC10" s="29" t="s">
        <v>1611</v>
      </c>
      <c r="BD10" s="29" t="s">
        <v>1611</v>
      </c>
      <c r="BE10" s="29" t="s">
        <v>2502</v>
      </c>
      <c r="BF10" s="29" t="s">
        <v>2503</v>
      </c>
      <c r="BG10" s="29" t="s">
        <v>2516</v>
      </c>
      <c r="BH10" s="29" t="s">
        <v>2517</v>
      </c>
      <c r="BI10" s="29" t="s">
        <v>2518</v>
      </c>
      <c r="BJ10" s="29" t="s">
        <v>2519</v>
      </c>
      <c r="BK10" s="29" t="s">
        <v>207</v>
      </c>
      <c r="BL10" s="29" t="s">
        <v>2524</v>
      </c>
      <c r="BM10" s="29" t="s">
        <v>1611</v>
      </c>
      <c r="BN10" s="29" t="s">
        <v>1611</v>
      </c>
      <c r="BO10" s="29" t="s">
        <v>1611</v>
      </c>
      <c r="BP10" s="29" t="s">
        <v>1611</v>
      </c>
      <c r="BQ10" s="29" t="s">
        <v>1611</v>
      </c>
      <c r="BR10" s="29" t="s">
        <v>1611</v>
      </c>
      <c r="BS10" s="29" t="s">
        <v>1611</v>
      </c>
      <c r="BT10" s="29" t="s">
        <v>1611</v>
      </c>
      <c r="BU10" s="29" t="s">
        <v>277</v>
      </c>
      <c r="BV10" s="29" t="s">
        <v>2525</v>
      </c>
      <c r="BW10" s="29" t="s">
        <v>1611</v>
      </c>
      <c r="BX10" s="29" t="s">
        <v>1611</v>
      </c>
      <c r="BY10" s="29" t="s">
        <v>1611</v>
      </c>
      <c r="BZ10" s="29" t="s">
        <v>1611</v>
      </c>
      <c r="CA10" s="29" t="s">
        <v>1611</v>
      </c>
      <c r="CB10" s="29" t="s">
        <v>1611</v>
      </c>
      <c r="CC10" s="29" t="s">
        <v>1611</v>
      </c>
      <c r="CD10" s="29" t="s">
        <v>1611</v>
      </c>
      <c r="CE10" s="29" t="s">
        <v>1611</v>
      </c>
      <c r="CF10" s="29" t="s">
        <v>1611</v>
      </c>
      <c r="CG10" s="29" t="s">
        <v>2367</v>
      </c>
      <c r="CH10" s="29" t="s">
        <v>2410</v>
      </c>
      <c r="CI10" s="29" t="s">
        <v>2526</v>
      </c>
      <c r="CJ10" s="29" t="s">
        <v>2527</v>
      </c>
      <c r="CK10" s="29" t="s">
        <v>2528</v>
      </c>
      <c r="CL10" s="29" t="s">
        <v>2529</v>
      </c>
      <c r="CM10" s="29" t="s">
        <v>3493</v>
      </c>
      <c r="CN10" s="29" t="s">
        <v>2530</v>
      </c>
      <c r="CO10" s="29" t="s">
        <v>1611</v>
      </c>
      <c r="CP10" s="29" t="s">
        <v>1611</v>
      </c>
      <c r="CQ10" s="29" t="s">
        <v>1611</v>
      </c>
      <c r="CR10" s="29" t="s">
        <v>1611</v>
      </c>
      <c r="CS10" s="29" t="s">
        <v>1611</v>
      </c>
      <c r="CT10" s="29" t="s">
        <v>1611</v>
      </c>
      <c r="CU10" s="29" t="s">
        <v>1611</v>
      </c>
      <c r="CV10" s="29" t="s">
        <v>1611</v>
      </c>
      <c r="CW10" s="29"/>
      <c r="CX10" s="29"/>
      <c r="CY10" s="151"/>
      <c r="CZ10" t="s">
        <v>636</v>
      </c>
      <c r="DA10" t="s">
        <v>3634</v>
      </c>
      <c r="DD10" s="96" t="str">
        <f t="shared" si="0"/>
        <v>V</v>
      </c>
    </row>
    <row r="11" spans="1:111" ht="16.5" customHeight="1" x14ac:dyDescent="0.3">
      <c r="C11" s="105">
        <v>1683891</v>
      </c>
      <c r="D11" s="27">
        <v>4</v>
      </c>
      <c r="E11" s="28" t="s">
        <v>637</v>
      </c>
      <c r="F11" s="28">
        <v>1000315445</v>
      </c>
      <c r="G11" s="29" t="s">
        <v>638</v>
      </c>
      <c r="H11" s="28">
        <v>1683891</v>
      </c>
      <c r="I11" s="29" t="s">
        <v>639</v>
      </c>
      <c r="J11" s="28" t="s">
        <v>640</v>
      </c>
      <c r="K11" s="7" t="s">
        <v>510</v>
      </c>
      <c r="L11" s="104" t="s">
        <v>641</v>
      </c>
      <c r="M11" s="29"/>
      <c r="N11" s="29"/>
      <c r="O11" s="127">
        <v>2823049</v>
      </c>
      <c r="P11" s="113" t="s">
        <v>1947</v>
      </c>
      <c r="Q11" s="28" t="s">
        <v>612</v>
      </c>
      <c r="R11" s="28" t="s">
        <v>1301</v>
      </c>
      <c r="S11" s="28" t="s">
        <v>1301</v>
      </c>
      <c r="T11" s="28" t="s">
        <v>1329</v>
      </c>
      <c r="U11" s="28" t="s">
        <v>612</v>
      </c>
      <c r="V11" s="28" t="s">
        <v>1301</v>
      </c>
      <c r="W11" s="28" t="s">
        <v>1301</v>
      </c>
      <c r="X11" s="28" t="s">
        <v>1301</v>
      </c>
      <c r="Y11" s="28" t="s">
        <v>1301</v>
      </c>
      <c r="Z11" s="28" t="s">
        <v>1301</v>
      </c>
      <c r="AA11" s="28" t="s">
        <v>1301</v>
      </c>
      <c r="AB11" s="104" t="s">
        <v>653</v>
      </c>
      <c r="AC11" s="104" t="s">
        <v>645</v>
      </c>
      <c r="AD11" s="9" t="s">
        <v>626</v>
      </c>
      <c r="AE11" s="9"/>
      <c r="AF11" s="9"/>
      <c r="AG11" s="34"/>
      <c r="AH11" s="9" t="s">
        <v>654</v>
      </c>
      <c r="AI11" s="9"/>
      <c r="AJ11" s="9"/>
      <c r="AK11" s="45"/>
      <c r="AL11" s="45" t="s">
        <v>461</v>
      </c>
      <c r="AM11" s="45" t="s">
        <v>461</v>
      </c>
      <c r="AN11" s="45" t="s">
        <v>461</v>
      </c>
      <c r="AO11" s="45" t="s">
        <v>461</v>
      </c>
      <c r="AP11" s="45" t="s">
        <v>461</v>
      </c>
      <c r="AQ11" s="45" t="s">
        <v>461</v>
      </c>
      <c r="AR11" s="45" t="s">
        <v>461</v>
      </c>
      <c r="AS11" s="45"/>
      <c r="AT11" s="45"/>
      <c r="AU11" s="45"/>
      <c r="AV11" s="45"/>
      <c r="AW11" s="45" t="s">
        <v>461</v>
      </c>
      <c r="AX11" s="45" t="s">
        <v>461</v>
      </c>
      <c r="AY11" s="45" t="s">
        <v>461</v>
      </c>
      <c r="AZ11" s="9" t="s">
        <v>461</v>
      </c>
      <c r="BA11" s="10" t="s">
        <v>51</v>
      </c>
      <c r="BB11" s="29" t="s">
        <v>2501</v>
      </c>
      <c r="BC11" s="29" t="s">
        <v>1611</v>
      </c>
      <c r="BD11" s="29" t="s">
        <v>1611</v>
      </c>
      <c r="BE11" s="29" t="s">
        <v>2502</v>
      </c>
      <c r="BF11" s="29" t="s">
        <v>2503</v>
      </c>
      <c r="BG11" s="29" t="s">
        <v>2516</v>
      </c>
      <c r="BH11" s="29" t="s">
        <v>2517</v>
      </c>
      <c r="BI11" s="29" t="s">
        <v>174</v>
      </c>
      <c r="BJ11" s="29" t="s">
        <v>2531</v>
      </c>
      <c r="BK11" s="29" t="s">
        <v>216</v>
      </c>
      <c r="BL11" s="29" t="s">
        <v>3553</v>
      </c>
      <c r="BM11" s="29" t="s">
        <v>1611</v>
      </c>
      <c r="BN11" s="29" t="s">
        <v>1611</v>
      </c>
      <c r="BO11" s="29" t="s">
        <v>1611</v>
      </c>
      <c r="BP11" s="29" t="s">
        <v>1611</v>
      </c>
      <c r="BQ11" s="29" t="s">
        <v>1611</v>
      </c>
      <c r="BR11" s="29" t="s">
        <v>1611</v>
      </c>
      <c r="BS11" s="29" t="s">
        <v>1611</v>
      </c>
      <c r="BT11" s="29" t="s">
        <v>1611</v>
      </c>
      <c r="BU11" s="29" t="s">
        <v>2533</v>
      </c>
      <c r="BV11" s="29" t="s">
        <v>2534</v>
      </c>
      <c r="BW11" s="29" t="s">
        <v>1611</v>
      </c>
      <c r="BX11" s="29" t="s">
        <v>1611</v>
      </c>
      <c r="BY11" s="29" t="s">
        <v>1611</v>
      </c>
      <c r="BZ11" s="29" t="s">
        <v>1611</v>
      </c>
      <c r="CA11" s="29" t="s">
        <v>1611</v>
      </c>
      <c r="CB11" s="29" t="s">
        <v>1611</v>
      </c>
      <c r="CC11" s="29" t="s">
        <v>1611</v>
      </c>
      <c r="CD11" s="29" t="s">
        <v>1611</v>
      </c>
      <c r="CE11" s="29" t="s">
        <v>1611</v>
      </c>
      <c r="CF11" s="29" t="s">
        <v>1611</v>
      </c>
      <c r="CG11" s="29" t="s">
        <v>3564</v>
      </c>
      <c r="CH11" s="29" t="s">
        <v>3544</v>
      </c>
      <c r="CI11" s="29" t="s">
        <v>1611</v>
      </c>
      <c r="CJ11" s="29" t="s">
        <v>1611</v>
      </c>
      <c r="CK11" s="29" t="s">
        <v>2535</v>
      </c>
      <c r="CL11" s="29" t="s">
        <v>3965</v>
      </c>
      <c r="CM11" s="29" t="s">
        <v>2536</v>
      </c>
      <c r="CN11" s="29" t="s">
        <v>2537</v>
      </c>
      <c r="CO11" s="29" t="s">
        <v>1611</v>
      </c>
      <c r="CP11" s="29" t="s">
        <v>1611</v>
      </c>
      <c r="CQ11" s="29" t="s">
        <v>1611</v>
      </c>
      <c r="CR11" s="29" t="s">
        <v>1611</v>
      </c>
      <c r="CS11" s="29" t="s">
        <v>1611</v>
      </c>
      <c r="CT11" s="29" t="s">
        <v>1611</v>
      </c>
      <c r="CU11" s="29" t="s">
        <v>1611</v>
      </c>
      <c r="CV11" s="29" t="s">
        <v>1611</v>
      </c>
      <c r="CW11" s="29"/>
      <c r="CX11" s="29"/>
      <c r="CY11" s="151"/>
      <c r="CZ11" t="s">
        <v>655</v>
      </c>
      <c r="DA11" t="s">
        <v>3634</v>
      </c>
      <c r="DD11" s="96" t="str">
        <f t="shared" si="0"/>
        <v/>
      </c>
      <c r="DF11" s="96" t="s">
        <v>3753</v>
      </c>
    </row>
    <row r="12" spans="1:111" ht="16.5" customHeight="1" x14ac:dyDescent="0.3">
      <c r="C12" s="105">
        <v>1658093</v>
      </c>
      <c r="D12" s="27">
        <v>5</v>
      </c>
      <c r="E12" s="28" t="s">
        <v>647</v>
      </c>
      <c r="F12" s="28">
        <v>1000316943</v>
      </c>
      <c r="G12" s="29" t="s">
        <v>649</v>
      </c>
      <c r="H12" s="28">
        <v>1658093</v>
      </c>
      <c r="I12" s="29" t="s">
        <v>651</v>
      </c>
      <c r="J12" s="28" t="s">
        <v>429</v>
      </c>
      <c r="K12" s="7"/>
      <c r="L12" s="104" t="s">
        <v>157</v>
      </c>
      <c r="M12" s="29" t="s">
        <v>633</v>
      </c>
      <c r="N12" s="29"/>
      <c r="O12" s="127">
        <v>892475</v>
      </c>
      <c r="P12" s="28" t="s">
        <v>1624</v>
      </c>
      <c r="Q12" s="28" t="s">
        <v>612</v>
      </c>
      <c r="R12" s="28" t="s">
        <v>1301</v>
      </c>
      <c r="S12" s="28" t="s">
        <v>1301</v>
      </c>
      <c r="T12" s="28" t="s">
        <v>1329</v>
      </c>
      <c r="U12" s="28" t="s">
        <v>612</v>
      </c>
      <c r="V12" s="28" t="s">
        <v>1301</v>
      </c>
      <c r="W12" s="28" t="s">
        <v>1301</v>
      </c>
      <c r="X12" s="28" t="s">
        <v>1301</v>
      </c>
      <c r="Y12" s="28" t="s">
        <v>1301</v>
      </c>
      <c r="Z12" s="28" t="s">
        <v>1301</v>
      </c>
      <c r="AA12" s="28" t="s">
        <v>1301</v>
      </c>
      <c r="AB12" s="104" t="s">
        <v>663</v>
      </c>
      <c r="AC12" s="104" t="s">
        <v>1340</v>
      </c>
      <c r="AD12" s="9" t="s">
        <v>45</v>
      </c>
      <c r="AE12" s="9"/>
      <c r="AF12" s="9"/>
      <c r="AG12" s="34"/>
      <c r="AH12" s="9"/>
      <c r="AI12" s="9" t="s">
        <v>654</v>
      </c>
      <c r="AJ12" s="9"/>
      <c r="AK12" s="45"/>
      <c r="AL12" s="45" t="s">
        <v>461</v>
      </c>
      <c r="AM12" s="45" t="s">
        <v>461</v>
      </c>
      <c r="AN12" s="45" t="s">
        <v>461</v>
      </c>
      <c r="AO12" s="45" t="s">
        <v>461</v>
      </c>
      <c r="AP12" s="45" t="s">
        <v>461</v>
      </c>
      <c r="AQ12" s="45" t="s">
        <v>461</v>
      </c>
      <c r="AR12" s="45" t="s">
        <v>461</v>
      </c>
      <c r="AS12" s="45" t="s">
        <v>461</v>
      </c>
      <c r="AT12" s="45"/>
      <c r="AU12" s="45"/>
      <c r="AV12" s="45"/>
      <c r="AW12" s="45" t="s">
        <v>461</v>
      </c>
      <c r="AX12" s="45" t="s">
        <v>461</v>
      </c>
      <c r="AY12" s="45" t="s">
        <v>461</v>
      </c>
      <c r="AZ12" s="45" t="s">
        <v>461</v>
      </c>
      <c r="BA12" s="10" t="s">
        <v>158</v>
      </c>
      <c r="BB12" s="29" t="s">
        <v>2538</v>
      </c>
      <c r="BC12" s="29" t="s">
        <v>1611</v>
      </c>
      <c r="BD12" s="29" t="s">
        <v>1611</v>
      </c>
      <c r="BE12" s="29" t="s">
        <v>2514</v>
      </c>
      <c r="BF12" s="29" t="s">
        <v>2515</v>
      </c>
      <c r="BG12" s="29" t="s">
        <v>2539</v>
      </c>
      <c r="BH12" s="29" t="s">
        <v>2540</v>
      </c>
      <c r="BI12" s="29" t="s">
        <v>1611</v>
      </c>
      <c r="BJ12" s="29" t="s">
        <v>1611</v>
      </c>
      <c r="BK12" s="29" t="s">
        <v>160</v>
      </c>
      <c r="BL12" s="29" t="s">
        <v>2541</v>
      </c>
      <c r="BM12" s="29" t="s">
        <v>1611</v>
      </c>
      <c r="BN12" s="29" t="s">
        <v>1611</v>
      </c>
      <c r="BO12" s="29" t="s">
        <v>1611</v>
      </c>
      <c r="BP12" s="29" t="s">
        <v>1611</v>
      </c>
      <c r="BQ12" s="29" t="s">
        <v>1611</v>
      </c>
      <c r="BR12" s="29" t="s">
        <v>1611</v>
      </c>
      <c r="BS12" s="29" t="s">
        <v>1611</v>
      </c>
      <c r="BT12" s="29" t="s">
        <v>1611</v>
      </c>
      <c r="BU12" s="29" t="s">
        <v>161</v>
      </c>
      <c r="BV12" s="29" t="s">
        <v>2417</v>
      </c>
      <c r="BW12" s="29" t="s">
        <v>1611</v>
      </c>
      <c r="BX12" s="29" t="s">
        <v>1611</v>
      </c>
      <c r="BY12" s="29" t="s">
        <v>1611</v>
      </c>
      <c r="BZ12" s="29" t="s">
        <v>1611</v>
      </c>
      <c r="CA12" s="29" t="s">
        <v>1611</v>
      </c>
      <c r="CB12" s="29" t="s">
        <v>1611</v>
      </c>
      <c r="CC12" s="29" t="s">
        <v>1611</v>
      </c>
      <c r="CD12" s="29" t="s">
        <v>1611</v>
      </c>
      <c r="CE12" s="29" t="s">
        <v>1611</v>
      </c>
      <c r="CF12" s="29" t="s">
        <v>1611</v>
      </c>
      <c r="CG12" s="29" t="s">
        <v>162</v>
      </c>
      <c r="CH12" s="29" t="s">
        <v>2542</v>
      </c>
      <c r="CI12" s="29" t="s">
        <v>1611</v>
      </c>
      <c r="CJ12" s="29" t="s">
        <v>1611</v>
      </c>
      <c r="CK12" s="29" t="s">
        <v>163</v>
      </c>
      <c r="CL12" s="29" t="s">
        <v>2543</v>
      </c>
      <c r="CM12" s="29" t="s">
        <v>2544</v>
      </c>
      <c r="CN12" s="29" t="s">
        <v>2545</v>
      </c>
      <c r="CO12" s="29" t="s">
        <v>194</v>
      </c>
      <c r="CP12" s="29" t="s">
        <v>2546</v>
      </c>
      <c r="CQ12" s="29" t="s">
        <v>2547</v>
      </c>
      <c r="CR12" s="29" t="s">
        <v>2548</v>
      </c>
      <c r="CS12" s="29" t="s">
        <v>2549</v>
      </c>
      <c r="CT12" s="29" t="s">
        <v>3193</v>
      </c>
      <c r="CU12" s="29" t="s">
        <v>1611</v>
      </c>
      <c r="CV12" s="29" t="s">
        <v>1611</v>
      </c>
      <c r="CW12" s="29"/>
      <c r="CX12" s="29"/>
      <c r="CY12" s="151"/>
      <c r="CZ12" t="s">
        <v>650</v>
      </c>
      <c r="DA12" t="s">
        <v>3634</v>
      </c>
      <c r="DD12" s="96" t="str">
        <f t="shared" si="0"/>
        <v/>
      </c>
      <c r="DF12" s="96" t="s">
        <v>3753</v>
      </c>
    </row>
    <row r="13" spans="1:111" ht="16.5" customHeight="1" x14ac:dyDescent="0.3">
      <c r="C13" s="105">
        <v>1683431</v>
      </c>
      <c r="D13" s="27">
        <v>7</v>
      </c>
      <c r="E13" s="28" t="s">
        <v>656</v>
      </c>
      <c r="F13" s="28">
        <v>1000325286</v>
      </c>
      <c r="G13" s="29" t="s">
        <v>657</v>
      </c>
      <c r="H13" s="28">
        <v>1683431</v>
      </c>
      <c r="I13" s="29" t="s">
        <v>658</v>
      </c>
      <c r="J13" s="28" t="s">
        <v>659</v>
      </c>
      <c r="K13" s="7"/>
      <c r="L13" s="104" t="s">
        <v>157</v>
      </c>
      <c r="M13" s="110" t="s">
        <v>1305</v>
      </c>
      <c r="N13" s="110" t="s">
        <v>1945</v>
      </c>
      <c r="O13" s="127">
        <v>20333929</v>
      </c>
      <c r="P13" s="113" t="s">
        <v>1317</v>
      </c>
      <c r="Q13" s="113" t="s">
        <v>1319</v>
      </c>
      <c r="R13" s="28" t="s">
        <v>1341</v>
      </c>
      <c r="S13" s="28" t="s">
        <v>1341</v>
      </c>
      <c r="T13" s="28" t="s">
        <v>1341</v>
      </c>
      <c r="U13" s="28" t="s">
        <v>1341</v>
      </c>
      <c r="V13" s="28" t="s">
        <v>1341</v>
      </c>
      <c r="W13" s="28" t="s">
        <v>1341</v>
      </c>
      <c r="X13" s="28" t="s">
        <v>1341</v>
      </c>
      <c r="Y13" s="28" t="s">
        <v>1341</v>
      </c>
      <c r="Z13" s="28" t="s">
        <v>1301</v>
      </c>
      <c r="AA13" s="28" t="s">
        <v>1301</v>
      </c>
      <c r="AB13" s="104" t="s">
        <v>652</v>
      </c>
      <c r="AC13" s="104" t="s">
        <v>1340</v>
      </c>
      <c r="AD13" s="9" t="s">
        <v>45</v>
      </c>
      <c r="AE13" s="9"/>
      <c r="AF13" s="9"/>
      <c r="AG13" s="34"/>
      <c r="AH13" s="9"/>
      <c r="AI13" s="9" t="s">
        <v>46</v>
      </c>
      <c r="AJ13" s="9"/>
      <c r="AK13" s="45"/>
      <c r="AL13" s="45" t="s">
        <v>461</v>
      </c>
      <c r="AM13" s="45" t="s">
        <v>461</v>
      </c>
      <c r="AN13" s="45" t="s">
        <v>461</v>
      </c>
      <c r="AO13" s="45" t="s">
        <v>461</v>
      </c>
      <c r="AP13" s="45" t="s">
        <v>461</v>
      </c>
      <c r="AQ13" s="45" t="s">
        <v>461</v>
      </c>
      <c r="AR13" s="45" t="s">
        <v>461</v>
      </c>
      <c r="AS13" s="45" t="s">
        <v>461</v>
      </c>
      <c r="AT13" s="45"/>
      <c r="AU13" s="45"/>
      <c r="AV13" s="45"/>
      <c r="AW13" s="45" t="s">
        <v>461</v>
      </c>
      <c r="AX13" s="45" t="s">
        <v>461</v>
      </c>
      <c r="AY13" s="45" t="s">
        <v>461</v>
      </c>
      <c r="AZ13" s="9" t="s">
        <v>461</v>
      </c>
      <c r="BA13" s="10"/>
      <c r="BB13" s="29"/>
      <c r="BC13" s="29" t="s">
        <v>1611</v>
      </c>
      <c r="BD13" s="29" t="s">
        <v>1611</v>
      </c>
      <c r="BE13" s="29" t="s">
        <v>1611</v>
      </c>
      <c r="BF13" s="29" t="s">
        <v>1611</v>
      </c>
      <c r="BG13" s="29" t="s">
        <v>2539</v>
      </c>
      <c r="BH13" s="29" t="s">
        <v>2540</v>
      </c>
      <c r="BI13" s="29" t="s">
        <v>355</v>
      </c>
      <c r="BJ13" s="29" t="s">
        <v>2551</v>
      </c>
      <c r="BK13" s="29" t="s">
        <v>356</v>
      </c>
      <c r="BL13" s="29" t="s">
        <v>2552</v>
      </c>
      <c r="BM13" s="29" t="s">
        <v>1611</v>
      </c>
      <c r="BN13" s="29" t="s">
        <v>1611</v>
      </c>
      <c r="BO13" s="29" t="s">
        <v>1611</v>
      </c>
      <c r="BP13" s="29" t="s">
        <v>1611</v>
      </c>
      <c r="BQ13" s="29" t="s">
        <v>1611</v>
      </c>
      <c r="BR13" s="29" t="s">
        <v>1611</v>
      </c>
      <c r="BS13" s="29" t="s">
        <v>1611</v>
      </c>
      <c r="BT13" s="29" t="s">
        <v>1611</v>
      </c>
      <c r="BU13" s="29" t="s">
        <v>3582</v>
      </c>
      <c r="BV13" s="29" t="s">
        <v>3583</v>
      </c>
      <c r="BW13" s="29" t="s">
        <v>1611</v>
      </c>
      <c r="BX13" s="29" t="s">
        <v>1611</v>
      </c>
      <c r="BY13" s="29" t="s">
        <v>1611</v>
      </c>
      <c r="BZ13" s="29" t="s">
        <v>1611</v>
      </c>
      <c r="CA13" s="29" t="s">
        <v>1611</v>
      </c>
      <c r="CB13" s="29" t="s">
        <v>1611</v>
      </c>
      <c r="CC13" s="29" t="s">
        <v>1611</v>
      </c>
      <c r="CD13" s="29" t="s">
        <v>1611</v>
      </c>
      <c r="CE13" s="29" t="s">
        <v>1611</v>
      </c>
      <c r="CF13" s="29" t="s">
        <v>1611</v>
      </c>
      <c r="CG13" s="29" t="s">
        <v>2553</v>
      </c>
      <c r="CH13" s="29" t="s">
        <v>2554</v>
      </c>
      <c r="CI13" s="29" t="s">
        <v>1611</v>
      </c>
      <c r="CJ13" s="29" t="s">
        <v>1611</v>
      </c>
      <c r="CK13" s="29" t="s">
        <v>2555</v>
      </c>
      <c r="CL13" s="29" t="s">
        <v>2556</v>
      </c>
      <c r="CM13" s="29" t="s">
        <v>2557</v>
      </c>
      <c r="CN13" s="29" t="s">
        <v>2558</v>
      </c>
      <c r="CO13" s="29" t="s">
        <v>2559</v>
      </c>
      <c r="CP13" s="29" t="s">
        <v>2560</v>
      </c>
      <c r="CQ13" s="29" t="s">
        <v>2561</v>
      </c>
      <c r="CR13" s="29" t="s">
        <v>2562</v>
      </c>
      <c r="CS13" s="29" t="s">
        <v>2563</v>
      </c>
      <c r="CT13" s="29" t="s">
        <v>2564</v>
      </c>
      <c r="CU13" s="29" t="s">
        <v>2565</v>
      </c>
      <c r="CV13" s="29" t="s">
        <v>2566</v>
      </c>
      <c r="CW13" s="29"/>
      <c r="CX13" s="29"/>
      <c r="CY13" s="151"/>
      <c r="CZ13" t="s">
        <v>1302</v>
      </c>
      <c r="DA13" t="s">
        <v>3634</v>
      </c>
      <c r="DD13" s="96" t="str">
        <f t="shared" si="0"/>
        <v/>
      </c>
      <c r="DF13" s="96" t="s">
        <v>3753</v>
      </c>
    </row>
    <row r="14" spans="1:111" ht="16.5" customHeight="1" x14ac:dyDescent="0.3">
      <c r="C14" s="105">
        <v>1669411</v>
      </c>
      <c r="D14" s="27">
        <v>8</v>
      </c>
      <c r="E14" s="28" t="s">
        <v>784</v>
      </c>
      <c r="F14" s="28">
        <v>1000314822</v>
      </c>
      <c r="G14" s="29" t="s">
        <v>1572</v>
      </c>
      <c r="H14" s="28">
        <v>1669411</v>
      </c>
      <c r="I14" s="29" t="s">
        <v>785</v>
      </c>
      <c r="J14" s="28" t="s">
        <v>429</v>
      </c>
      <c r="K14" s="7"/>
      <c r="L14" s="104" t="s">
        <v>1626</v>
      </c>
      <c r="M14" s="29"/>
      <c r="N14" s="29"/>
      <c r="O14" s="127">
        <v>104049452</v>
      </c>
      <c r="P14" s="113" t="s">
        <v>1317</v>
      </c>
      <c r="Q14" s="113" t="s">
        <v>612</v>
      </c>
      <c r="R14" s="28" t="s">
        <v>1301</v>
      </c>
      <c r="S14" s="28" t="s">
        <v>1301</v>
      </c>
      <c r="T14" s="28" t="s">
        <v>1329</v>
      </c>
      <c r="U14" s="28" t="s">
        <v>612</v>
      </c>
      <c r="V14" s="28" t="s">
        <v>1301</v>
      </c>
      <c r="W14" s="28" t="s">
        <v>1301</v>
      </c>
      <c r="X14" s="28" t="s">
        <v>1301</v>
      </c>
      <c r="Y14" s="28" t="s">
        <v>1301</v>
      </c>
      <c r="Z14" s="28" t="s">
        <v>1301</v>
      </c>
      <c r="AA14" s="28" t="s">
        <v>1301</v>
      </c>
      <c r="AB14" s="104" t="s">
        <v>1339</v>
      </c>
      <c r="AC14" s="104" t="s">
        <v>1340</v>
      </c>
      <c r="AD14" s="9" t="s">
        <v>45</v>
      </c>
      <c r="AE14" s="9"/>
      <c r="AF14" s="9"/>
      <c r="AG14" s="34"/>
      <c r="AH14" s="9"/>
      <c r="AI14" s="9" t="s">
        <v>46</v>
      </c>
      <c r="AJ14" s="9"/>
      <c r="AK14" s="45"/>
      <c r="AL14" s="45" t="s">
        <v>1646</v>
      </c>
      <c r="AM14" s="45" t="s">
        <v>461</v>
      </c>
      <c r="AN14" s="45" t="s">
        <v>46</v>
      </c>
      <c r="AO14" s="45" t="s">
        <v>46</v>
      </c>
      <c r="AP14" s="45" t="s">
        <v>46</v>
      </c>
      <c r="AQ14" s="45" t="s">
        <v>46</v>
      </c>
      <c r="AR14" s="45" t="s">
        <v>46</v>
      </c>
      <c r="AS14" s="45" t="s">
        <v>461</v>
      </c>
      <c r="AT14" s="45"/>
      <c r="AU14" s="45"/>
      <c r="AV14" s="45"/>
      <c r="AW14" s="45" t="s">
        <v>461</v>
      </c>
      <c r="AX14" s="45" t="s">
        <v>461</v>
      </c>
      <c r="AY14" s="45" t="s">
        <v>461</v>
      </c>
      <c r="AZ14" s="9" t="s">
        <v>461</v>
      </c>
      <c r="BA14" s="10" t="s">
        <v>2497</v>
      </c>
      <c r="BB14" s="29" t="s">
        <v>2567</v>
      </c>
      <c r="BC14" s="29" t="s">
        <v>184</v>
      </c>
      <c r="BD14" s="29" t="s">
        <v>2568</v>
      </c>
      <c r="BE14" s="29" t="s">
        <v>2514</v>
      </c>
      <c r="BF14" s="29" t="s">
        <v>2515</v>
      </c>
      <c r="BG14" s="29" t="s">
        <v>2569</v>
      </c>
      <c r="BH14" s="29" t="s">
        <v>2570</v>
      </c>
      <c r="BI14" s="29" t="s">
        <v>39</v>
      </c>
      <c r="BJ14" s="29" t="s">
        <v>2571</v>
      </c>
      <c r="BK14" s="29" t="s">
        <v>40</v>
      </c>
      <c r="BL14" s="29" t="s">
        <v>2572</v>
      </c>
      <c r="BM14" s="29" t="s">
        <v>2573</v>
      </c>
      <c r="BN14" s="29" t="s">
        <v>2574</v>
      </c>
      <c r="BO14" s="29" t="s">
        <v>2575</v>
      </c>
      <c r="BP14" s="29" t="s">
        <v>2576</v>
      </c>
      <c r="BQ14" s="29" t="s">
        <v>2577</v>
      </c>
      <c r="BR14" s="29" t="s">
        <v>2578</v>
      </c>
      <c r="BS14" s="29" t="s">
        <v>2579</v>
      </c>
      <c r="BT14" s="29" t="s">
        <v>2580</v>
      </c>
      <c r="BU14" s="29" t="s">
        <v>41</v>
      </c>
      <c r="BV14" s="29" t="s">
        <v>2581</v>
      </c>
      <c r="BW14" s="29" t="s">
        <v>2582</v>
      </c>
      <c r="BX14" s="29" t="s">
        <v>2583</v>
      </c>
      <c r="BY14" s="29" t="s">
        <v>2584</v>
      </c>
      <c r="BZ14" s="29" t="s">
        <v>2585</v>
      </c>
      <c r="CA14" s="29" t="s">
        <v>2390</v>
      </c>
      <c r="CB14" s="29" t="s">
        <v>2438</v>
      </c>
      <c r="CC14" s="29" t="s">
        <v>291</v>
      </c>
      <c r="CD14" s="29" t="s">
        <v>2586</v>
      </c>
      <c r="CE14" s="29" t="s">
        <v>2587</v>
      </c>
      <c r="CF14" s="29" t="s">
        <v>2588</v>
      </c>
      <c r="CG14" s="29" t="s">
        <v>2589</v>
      </c>
      <c r="CH14" s="29" t="s">
        <v>2590</v>
      </c>
      <c r="CI14" s="29" t="s">
        <v>1611</v>
      </c>
      <c r="CJ14" s="29" t="s">
        <v>1611</v>
      </c>
      <c r="CK14" s="29" t="s">
        <v>3467</v>
      </c>
      <c r="CL14" s="29" t="s">
        <v>3466</v>
      </c>
      <c r="CM14" s="29" t="s">
        <v>1611</v>
      </c>
      <c r="CN14" s="29" t="s">
        <v>1611</v>
      </c>
      <c r="CO14" s="29" t="s">
        <v>1611</v>
      </c>
      <c r="CP14" s="29" t="s">
        <v>1611</v>
      </c>
      <c r="CQ14" s="29" t="s">
        <v>1611</v>
      </c>
      <c r="CR14" s="29" t="s">
        <v>1611</v>
      </c>
      <c r="CS14" s="29" t="s">
        <v>1611</v>
      </c>
      <c r="CT14" s="29" t="s">
        <v>1611</v>
      </c>
      <c r="CU14" s="29" t="s">
        <v>1611</v>
      </c>
      <c r="CV14" s="29" t="s">
        <v>1611</v>
      </c>
      <c r="CW14" s="29"/>
      <c r="CX14" s="29"/>
      <c r="CY14" s="151"/>
      <c r="CZ14" t="s">
        <v>2061</v>
      </c>
      <c r="DA14" t="s">
        <v>3634</v>
      </c>
      <c r="DD14" s="96" t="str">
        <f t="shared" si="0"/>
        <v/>
      </c>
      <c r="DF14" s="96" t="s">
        <v>3753</v>
      </c>
    </row>
    <row r="15" spans="1:111" ht="16.5" customHeight="1" x14ac:dyDescent="0.3">
      <c r="C15" s="105">
        <v>1658135</v>
      </c>
      <c r="D15" s="27">
        <v>9</v>
      </c>
      <c r="E15" s="28" t="s">
        <v>786</v>
      </c>
      <c r="F15" s="28">
        <v>1000326113</v>
      </c>
      <c r="G15" s="29" t="s">
        <v>787</v>
      </c>
      <c r="H15" s="28">
        <v>1658135</v>
      </c>
      <c r="I15" s="29" t="s">
        <v>788</v>
      </c>
      <c r="J15" s="28" t="s">
        <v>429</v>
      </c>
      <c r="K15" s="7"/>
      <c r="L15" s="104" t="s">
        <v>665</v>
      </c>
      <c r="M15" s="29"/>
      <c r="N15" s="29"/>
      <c r="O15" s="127"/>
      <c r="P15" s="28"/>
      <c r="Q15" s="28"/>
      <c r="R15" s="28"/>
      <c r="S15" s="28"/>
      <c r="T15" s="28"/>
      <c r="U15" s="28"/>
      <c r="V15" s="28"/>
      <c r="W15" s="28"/>
      <c r="X15" s="28"/>
      <c r="Y15" s="28"/>
      <c r="Z15" s="28"/>
      <c r="AA15" s="28"/>
      <c r="AB15" s="104"/>
      <c r="AC15" s="28"/>
      <c r="AD15" s="9" t="s">
        <v>1269</v>
      </c>
      <c r="AE15" s="39">
        <v>45862</v>
      </c>
      <c r="AF15" s="9" t="s">
        <v>1276</v>
      </c>
      <c r="AG15" s="34" t="s">
        <v>1287</v>
      </c>
      <c r="AH15" s="9"/>
      <c r="AI15" s="9"/>
      <c r="AJ15" s="9"/>
      <c r="AK15" s="45"/>
      <c r="AL15" s="45" t="s">
        <v>1611</v>
      </c>
      <c r="AM15" s="45"/>
      <c r="AN15" s="45"/>
      <c r="AO15" s="45"/>
      <c r="AP15" s="45"/>
      <c r="AQ15" s="45"/>
      <c r="AR15" s="45"/>
      <c r="AS15" s="45"/>
      <c r="AT15" s="45"/>
      <c r="AU15" s="45"/>
      <c r="AV15" s="45"/>
      <c r="AW15" s="9"/>
      <c r="AX15" s="9"/>
      <c r="AY15" s="9"/>
      <c r="AZ15" s="9"/>
      <c r="BA15" s="10" t="s">
        <v>158</v>
      </c>
      <c r="BB15" s="29" t="s">
        <v>2538</v>
      </c>
      <c r="BC15" s="29" t="s">
        <v>1611</v>
      </c>
      <c r="BD15" s="29" t="s">
        <v>1611</v>
      </c>
      <c r="BE15" s="29" t="s">
        <v>2514</v>
      </c>
      <c r="BF15" s="29" t="s">
        <v>2515</v>
      </c>
      <c r="BG15" s="29" t="s">
        <v>2539</v>
      </c>
      <c r="BH15" s="29" t="s">
        <v>2540</v>
      </c>
      <c r="BI15" s="29" t="s">
        <v>2518</v>
      </c>
      <c r="BJ15" s="29" t="s">
        <v>2519</v>
      </c>
      <c r="BK15" s="29" t="s">
        <v>329</v>
      </c>
      <c r="BL15" s="29" t="s">
        <v>2591</v>
      </c>
      <c r="BM15" s="29" t="s">
        <v>590</v>
      </c>
      <c r="BN15" s="29" t="s">
        <v>2592</v>
      </c>
      <c r="BO15" s="29" t="s">
        <v>1611</v>
      </c>
      <c r="BP15" s="29" t="s">
        <v>1611</v>
      </c>
      <c r="BQ15" s="29" t="s">
        <v>1611</v>
      </c>
      <c r="BR15" s="29" t="s">
        <v>1611</v>
      </c>
      <c r="BS15" s="29" t="s">
        <v>1611</v>
      </c>
      <c r="BT15" s="29" t="s">
        <v>1611</v>
      </c>
      <c r="BU15" s="29" t="s">
        <v>2593</v>
      </c>
      <c r="BV15" s="29" t="s">
        <v>2594</v>
      </c>
      <c r="BW15" s="29" t="s">
        <v>2595</v>
      </c>
      <c r="BX15" s="29" t="s">
        <v>2596</v>
      </c>
      <c r="BY15" s="29" t="s">
        <v>1611</v>
      </c>
      <c r="BZ15" s="29" t="s">
        <v>1611</v>
      </c>
      <c r="CA15" s="29" t="s">
        <v>1611</v>
      </c>
      <c r="CB15" s="29" t="s">
        <v>1611</v>
      </c>
      <c r="CC15" s="29" t="s">
        <v>1611</v>
      </c>
      <c r="CD15" s="29" t="s">
        <v>1611</v>
      </c>
      <c r="CE15" s="29" t="s">
        <v>1611</v>
      </c>
      <c r="CF15" s="29" t="s">
        <v>1611</v>
      </c>
      <c r="CG15" s="29" t="s">
        <v>2597</v>
      </c>
      <c r="CH15" s="29" t="s">
        <v>2598</v>
      </c>
      <c r="CI15" s="29" t="s">
        <v>1611</v>
      </c>
      <c r="CJ15" s="29" t="s">
        <v>1611</v>
      </c>
      <c r="CK15" s="29" t="s">
        <v>1611</v>
      </c>
      <c r="CL15" s="29" t="s">
        <v>1611</v>
      </c>
      <c r="CM15" s="29" t="s">
        <v>1611</v>
      </c>
      <c r="CN15" s="29" t="s">
        <v>1611</v>
      </c>
      <c r="CO15" s="29" t="s">
        <v>1611</v>
      </c>
      <c r="CP15" s="29" t="s">
        <v>1611</v>
      </c>
      <c r="CQ15" s="29" t="s">
        <v>1611</v>
      </c>
      <c r="CR15" s="29" t="s">
        <v>1611</v>
      </c>
      <c r="CS15" s="29" t="s">
        <v>1611</v>
      </c>
      <c r="CT15" s="29" t="s">
        <v>1611</v>
      </c>
      <c r="CU15" s="29" t="s">
        <v>1611</v>
      </c>
      <c r="CV15" s="29" t="s">
        <v>1611</v>
      </c>
      <c r="CW15" s="29"/>
      <c r="CX15" s="29"/>
      <c r="CY15" s="151"/>
      <c r="CZ15" t="e">
        <v>#N/A</v>
      </c>
      <c r="DA15" t="e">
        <v>#N/A</v>
      </c>
      <c r="DD15" s="96" t="str">
        <f t="shared" si="0"/>
        <v>V</v>
      </c>
    </row>
    <row r="16" spans="1:111" ht="16.5" customHeight="1" x14ac:dyDescent="0.3">
      <c r="A16" t="s">
        <v>3798</v>
      </c>
      <c r="B16" t="s">
        <v>3778</v>
      </c>
      <c r="C16" s="105">
        <v>1666520</v>
      </c>
      <c r="D16" s="27">
        <v>10</v>
      </c>
      <c r="E16" s="28" t="s">
        <v>784</v>
      </c>
      <c r="F16" s="28">
        <v>1000317527</v>
      </c>
      <c r="G16" s="29" t="s">
        <v>1573</v>
      </c>
      <c r="H16" s="28">
        <v>1666520</v>
      </c>
      <c r="I16" s="29" t="s">
        <v>789</v>
      </c>
      <c r="J16" s="28" t="s">
        <v>429</v>
      </c>
      <c r="K16" s="7"/>
      <c r="L16" s="104" t="s">
        <v>666</v>
      </c>
      <c r="M16" s="29" t="s">
        <v>3844</v>
      </c>
      <c r="N16" s="29" t="s">
        <v>3845</v>
      </c>
      <c r="O16" s="127">
        <v>36413933</v>
      </c>
      <c r="P16" s="113" t="s">
        <v>1947</v>
      </c>
      <c r="Q16" s="28" t="s">
        <v>3911</v>
      </c>
      <c r="R16" s="28" t="s">
        <v>1301</v>
      </c>
      <c r="S16" s="28" t="s">
        <v>1301</v>
      </c>
      <c r="T16" s="28" t="s">
        <v>1301</v>
      </c>
      <c r="U16" s="28" t="s">
        <v>1301</v>
      </c>
      <c r="V16" s="28" t="s">
        <v>1301</v>
      </c>
      <c r="W16" s="28" t="s">
        <v>1301</v>
      </c>
      <c r="X16" s="28" t="s">
        <v>1301</v>
      </c>
      <c r="Y16" s="28" t="s">
        <v>1301</v>
      </c>
      <c r="Z16" s="28" t="s">
        <v>1301</v>
      </c>
      <c r="AA16" s="28" t="s">
        <v>1301</v>
      </c>
      <c r="AB16" s="104" t="s">
        <v>1544</v>
      </c>
      <c r="AC16" s="104" t="s">
        <v>645</v>
      </c>
      <c r="AD16" s="9" t="s">
        <v>1269</v>
      </c>
      <c r="AE16" s="9"/>
      <c r="AF16" s="9" t="s">
        <v>3780</v>
      </c>
      <c r="AG16" s="34"/>
      <c r="AH16" s="9"/>
      <c r="AI16" s="9"/>
      <c r="AJ16" s="9"/>
      <c r="AK16" s="45"/>
      <c r="AL16" s="45" t="s">
        <v>3171</v>
      </c>
      <c r="AM16" s="45"/>
      <c r="AN16" s="45"/>
      <c r="AO16" s="45"/>
      <c r="AP16" s="45"/>
      <c r="AQ16" s="45"/>
      <c r="AR16" s="45"/>
      <c r="AS16" s="45"/>
      <c r="AT16" s="45"/>
      <c r="AU16" s="45"/>
      <c r="AV16" s="45"/>
      <c r="AW16" s="9" t="s">
        <v>46</v>
      </c>
      <c r="AX16" s="9" t="s">
        <v>46</v>
      </c>
      <c r="AY16" s="9" t="s">
        <v>46</v>
      </c>
      <c r="AZ16" s="9" t="s">
        <v>461</v>
      </c>
      <c r="BA16" s="10" t="s">
        <v>184</v>
      </c>
      <c r="BB16" s="29" t="s">
        <v>2568</v>
      </c>
      <c r="BC16" s="29"/>
      <c r="BD16" s="29"/>
      <c r="BE16" s="29" t="s">
        <v>2514</v>
      </c>
      <c r="BF16" s="29" t="s">
        <v>2515</v>
      </c>
      <c r="BG16" s="29" t="s">
        <v>2599</v>
      </c>
      <c r="BH16" s="29" t="s">
        <v>2600</v>
      </c>
      <c r="BI16" s="29" t="s">
        <v>3840</v>
      </c>
      <c r="BJ16" s="29" t="s">
        <v>2601</v>
      </c>
      <c r="BK16" s="29" t="s">
        <v>2602</v>
      </c>
      <c r="BL16" s="29" t="s">
        <v>2603</v>
      </c>
      <c r="BM16" s="29" t="s">
        <v>2579</v>
      </c>
      <c r="BN16" s="29" t="s">
        <v>2580</v>
      </c>
      <c r="BO16" s="29" t="s">
        <v>2604</v>
      </c>
      <c r="BP16" s="29" t="s">
        <v>2605</v>
      </c>
      <c r="BQ16" s="29" t="s">
        <v>1611</v>
      </c>
      <c r="BR16" s="29" t="s">
        <v>1611</v>
      </c>
      <c r="BS16" s="29" t="s">
        <v>1611</v>
      </c>
      <c r="BT16" s="29" t="s">
        <v>1611</v>
      </c>
      <c r="BU16" s="29" t="s">
        <v>2358</v>
      </c>
      <c r="BV16" s="29" t="s">
        <v>2396</v>
      </c>
      <c r="BW16" s="29" t="s">
        <v>1611</v>
      </c>
      <c r="BX16" s="29" t="s">
        <v>1611</v>
      </c>
      <c r="BY16" s="29" t="s">
        <v>1611</v>
      </c>
      <c r="BZ16" s="29" t="s">
        <v>1611</v>
      </c>
      <c r="CA16" s="29" t="s">
        <v>1611</v>
      </c>
      <c r="CB16" s="29" t="s">
        <v>1611</v>
      </c>
      <c r="CC16" s="29" t="s">
        <v>1611</v>
      </c>
      <c r="CD16" s="29" t="s">
        <v>1611</v>
      </c>
      <c r="CE16" s="29" t="s">
        <v>1611</v>
      </c>
      <c r="CF16" s="29" t="s">
        <v>1611</v>
      </c>
      <c r="CG16" s="29" t="s">
        <v>153</v>
      </c>
      <c r="CH16" s="29" t="s">
        <v>1801</v>
      </c>
      <c r="CI16" s="29" t="s">
        <v>1611</v>
      </c>
      <c r="CJ16" s="29" t="s">
        <v>1611</v>
      </c>
      <c r="CK16" s="29" t="s">
        <v>3846</v>
      </c>
      <c r="CL16" s="29" t="s">
        <v>3853</v>
      </c>
      <c r="CM16" s="29" t="s">
        <v>3847</v>
      </c>
      <c r="CN16" s="29" t="s">
        <v>3854</v>
      </c>
      <c r="CO16" s="29" t="s">
        <v>3848</v>
      </c>
      <c r="CP16" s="29" t="s">
        <v>1915</v>
      </c>
      <c r="CQ16" s="29" t="s">
        <v>3850</v>
      </c>
      <c r="CR16" s="29" t="s">
        <v>3855</v>
      </c>
      <c r="CS16" s="29" t="s">
        <v>3852</v>
      </c>
      <c r="CT16" s="29" t="s">
        <v>3856</v>
      </c>
      <c r="CU16" s="29" t="s">
        <v>1611</v>
      </c>
      <c r="CV16" s="29" t="s">
        <v>1611</v>
      </c>
      <c r="CW16" s="29"/>
      <c r="CX16" s="29"/>
      <c r="CY16" s="151"/>
      <c r="CZ16" t="s">
        <v>3586</v>
      </c>
      <c r="DA16" t="s">
        <v>3634</v>
      </c>
      <c r="DC16" s="96" t="s">
        <v>3700</v>
      </c>
      <c r="DD16" s="96" t="str">
        <f t="shared" si="0"/>
        <v/>
      </c>
      <c r="DF16" s="96" t="s">
        <v>46</v>
      </c>
    </row>
    <row r="17" spans="1:110" ht="16.5" customHeight="1" x14ac:dyDescent="0.3">
      <c r="C17" s="105">
        <v>1669406</v>
      </c>
      <c r="D17" s="27">
        <v>11</v>
      </c>
      <c r="E17" s="28" t="s">
        <v>792</v>
      </c>
      <c r="F17" s="28">
        <v>1000317244</v>
      </c>
      <c r="G17" s="29" t="s">
        <v>1574</v>
      </c>
      <c r="H17" s="28">
        <v>1669406</v>
      </c>
      <c r="I17" s="29" t="s">
        <v>793</v>
      </c>
      <c r="J17" s="28" t="s">
        <v>429</v>
      </c>
      <c r="K17" s="7"/>
      <c r="L17" s="104" t="s">
        <v>666</v>
      </c>
      <c r="M17" s="110" t="s">
        <v>3062</v>
      </c>
      <c r="N17" s="29" t="s">
        <v>3063</v>
      </c>
      <c r="O17" s="127">
        <v>5875231</v>
      </c>
      <c r="P17" s="113" t="s">
        <v>2296</v>
      </c>
      <c r="Q17" s="113" t="s">
        <v>612</v>
      </c>
      <c r="R17" s="28" t="s">
        <v>1301</v>
      </c>
      <c r="S17" s="28" t="s">
        <v>1301</v>
      </c>
      <c r="T17" s="28" t="s">
        <v>1329</v>
      </c>
      <c r="U17" s="28" t="s">
        <v>612</v>
      </c>
      <c r="V17" s="28" t="s">
        <v>1301</v>
      </c>
      <c r="W17" s="28" t="s">
        <v>1301</v>
      </c>
      <c r="X17" s="28" t="s">
        <v>1301</v>
      </c>
      <c r="Y17" s="28" t="s">
        <v>1301</v>
      </c>
      <c r="Z17" s="28" t="s">
        <v>1301</v>
      </c>
      <c r="AA17" s="28" t="s">
        <v>1301</v>
      </c>
      <c r="AB17" s="104" t="s">
        <v>1544</v>
      </c>
      <c r="AC17" s="104" t="s">
        <v>645</v>
      </c>
      <c r="AD17" s="9" t="s">
        <v>1269</v>
      </c>
      <c r="AE17" s="9"/>
      <c r="AF17" s="9"/>
      <c r="AG17" s="34"/>
      <c r="AH17" s="9"/>
      <c r="AI17" s="45" t="s">
        <v>46</v>
      </c>
      <c r="AJ17" s="9"/>
      <c r="AK17" s="45"/>
      <c r="AL17" s="45" t="s">
        <v>2278</v>
      </c>
      <c r="AM17" s="45" t="s">
        <v>461</v>
      </c>
      <c r="AN17" s="45" t="s">
        <v>461</v>
      </c>
      <c r="AO17" s="45" t="s">
        <v>461</v>
      </c>
      <c r="AP17" s="45" t="s">
        <v>461</v>
      </c>
      <c r="AQ17" s="45" t="s">
        <v>461</v>
      </c>
      <c r="AR17" s="45" t="s">
        <v>461</v>
      </c>
      <c r="AS17" s="45"/>
      <c r="AT17" s="45"/>
      <c r="AU17" s="45"/>
      <c r="AV17" s="45"/>
      <c r="AW17" s="45" t="s">
        <v>461</v>
      </c>
      <c r="AX17" s="45" t="s">
        <v>461</v>
      </c>
      <c r="AY17" s="45" t="s">
        <v>461</v>
      </c>
      <c r="AZ17" s="45" t="s">
        <v>461</v>
      </c>
      <c r="BA17" s="10" t="s">
        <v>184</v>
      </c>
      <c r="BB17" s="29" t="s">
        <v>2568</v>
      </c>
      <c r="BC17" s="29" t="s">
        <v>1611</v>
      </c>
      <c r="BD17" s="29" t="s">
        <v>1611</v>
      </c>
      <c r="BE17" s="29" t="s">
        <v>2514</v>
      </c>
      <c r="BF17" s="29" t="s">
        <v>2515</v>
      </c>
      <c r="BG17" s="29" t="s">
        <v>40</v>
      </c>
      <c r="BH17" s="29" t="s">
        <v>2572</v>
      </c>
      <c r="BI17" s="29" t="s">
        <v>217</v>
      </c>
      <c r="BJ17" s="29" t="s">
        <v>2606</v>
      </c>
      <c r="BK17" s="29" t="s">
        <v>2575</v>
      </c>
      <c r="BL17" s="29" t="s">
        <v>2576</v>
      </c>
      <c r="BM17" s="29" t="s">
        <v>1611</v>
      </c>
      <c r="BN17" s="29" t="s">
        <v>1611</v>
      </c>
      <c r="BO17" s="29" t="s">
        <v>1611</v>
      </c>
      <c r="BP17" s="29" t="s">
        <v>1611</v>
      </c>
      <c r="BQ17" s="29" t="s">
        <v>1611</v>
      </c>
      <c r="BR17" s="29" t="s">
        <v>1611</v>
      </c>
      <c r="BS17" s="29" t="s">
        <v>1611</v>
      </c>
      <c r="BT17" s="29" t="s">
        <v>1611</v>
      </c>
      <c r="BU17" s="29" t="s">
        <v>371</v>
      </c>
      <c r="BV17" s="29" t="s">
        <v>2607</v>
      </c>
      <c r="BW17" s="29" t="s">
        <v>1611</v>
      </c>
      <c r="BX17" s="29" t="s">
        <v>1611</v>
      </c>
      <c r="BY17" s="29" t="s">
        <v>1611</v>
      </c>
      <c r="BZ17" s="29" t="s">
        <v>1611</v>
      </c>
      <c r="CA17" s="29" t="s">
        <v>1611</v>
      </c>
      <c r="CB17" s="29" t="s">
        <v>1611</v>
      </c>
      <c r="CC17" s="29" t="s">
        <v>1611</v>
      </c>
      <c r="CD17" s="29" t="s">
        <v>1611</v>
      </c>
      <c r="CE17" s="29" t="s">
        <v>1611</v>
      </c>
      <c r="CF17" s="29" t="s">
        <v>1611</v>
      </c>
      <c r="CG17" s="29" t="s">
        <v>1703</v>
      </c>
      <c r="CH17" s="29" t="s">
        <v>1802</v>
      </c>
      <c r="CI17" s="29" t="s">
        <v>1611</v>
      </c>
      <c r="CJ17" s="29" t="s">
        <v>1611</v>
      </c>
      <c r="CK17" s="29" t="s">
        <v>3064</v>
      </c>
      <c r="CL17" s="29" t="s">
        <v>3066</v>
      </c>
      <c r="CM17" s="29" t="s">
        <v>3065</v>
      </c>
      <c r="CN17" s="29" t="s">
        <v>3067</v>
      </c>
      <c r="CO17" s="29" t="s">
        <v>3142</v>
      </c>
      <c r="CP17" s="29" t="s">
        <v>3141</v>
      </c>
      <c r="CQ17" s="29" t="s">
        <v>3144</v>
      </c>
      <c r="CR17" s="29" t="s">
        <v>3143</v>
      </c>
      <c r="CS17" s="29" t="s">
        <v>3145</v>
      </c>
      <c r="CT17" s="29" t="s">
        <v>3146</v>
      </c>
      <c r="CU17" s="29" t="s">
        <v>3147</v>
      </c>
      <c r="CV17" s="29" t="s">
        <v>3148</v>
      </c>
      <c r="CW17" s="29" t="s">
        <v>3149</v>
      </c>
      <c r="CX17" s="29" t="s">
        <v>3150</v>
      </c>
      <c r="CY17" s="151"/>
      <c r="CZ17" t="s">
        <v>3259</v>
      </c>
      <c r="DA17" t="s">
        <v>3634</v>
      </c>
      <c r="DD17" s="96" t="str">
        <f t="shared" si="0"/>
        <v/>
      </c>
      <c r="DF17" s="96" t="s">
        <v>3753</v>
      </c>
    </row>
    <row r="18" spans="1:110" ht="16.5" customHeight="1" x14ac:dyDescent="0.3">
      <c r="A18" t="s">
        <v>3779</v>
      </c>
      <c r="B18" t="s">
        <v>3778</v>
      </c>
      <c r="C18" s="105">
        <v>1668904</v>
      </c>
      <c r="D18" s="27">
        <v>12</v>
      </c>
      <c r="E18" s="28" t="s">
        <v>794</v>
      </c>
      <c r="F18" s="28">
        <v>1000317488</v>
      </c>
      <c r="G18" s="29" t="s">
        <v>1575</v>
      </c>
      <c r="H18" s="28">
        <v>1668904</v>
      </c>
      <c r="I18" s="29" t="s">
        <v>795</v>
      </c>
      <c r="J18" s="28" t="s">
        <v>429</v>
      </c>
      <c r="K18" s="7"/>
      <c r="L18" s="104" t="s">
        <v>667</v>
      </c>
      <c r="M18" s="29"/>
      <c r="N18" s="29"/>
      <c r="O18" s="127">
        <v>700851222</v>
      </c>
      <c r="P18" s="113" t="s">
        <v>1317</v>
      </c>
      <c r="Q18" s="113" t="s">
        <v>612</v>
      </c>
      <c r="R18" s="28" t="s">
        <v>1301</v>
      </c>
      <c r="S18" s="28" t="s">
        <v>1301</v>
      </c>
      <c r="T18" s="28" t="s">
        <v>1301</v>
      </c>
      <c r="U18" s="28" t="s">
        <v>1301</v>
      </c>
      <c r="V18" s="28" t="s">
        <v>1301</v>
      </c>
      <c r="W18" s="28" t="s">
        <v>1301</v>
      </c>
      <c r="X18" s="28" t="s">
        <v>1301</v>
      </c>
      <c r="Y18" s="28" t="s">
        <v>1301</v>
      </c>
      <c r="Z18" s="28" t="s">
        <v>1301</v>
      </c>
      <c r="AA18" s="28" t="s">
        <v>1301</v>
      </c>
      <c r="AB18" s="104" t="s">
        <v>663</v>
      </c>
      <c r="AC18" s="104" t="s">
        <v>1340</v>
      </c>
      <c r="AD18" s="9" t="s">
        <v>1269</v>
      </c>
      <c r="AE18" s="9"/>
      <c r="AF18" s="9"/>
      <c r="AG18" s="34"/>
      <c r="AH18" s="9"/>
      <c r="AI18" s="9"/>
      <c r="AJ18" s="45" t="s">
        <v>46</v>
      </c>
      <c r="AK18" s="45"/>
      <c r="AL18" s="45" t="s">
        <v>3455</v>
      </c>
      <c r="AM18" s="45" t="s">
        <v>46</v>
      </c>
      <c r="AN18" s="45" t="s">
        <v>46</v>
      </c>
      <c r="AO18" s="45" t="s">
        <v>46</v>
      </c>
      <c r="AP18" s="45" t="s">
        <v>46</v>
      </c>
      <c r="AQ18" s="45" t="s">
        <v>46</v>
      </c>
      <c r="AR18" s="45" t="s">
        <v>46</v>
      </c>
      <c r="AS18" s="45"/>
      <c r="AT18" s="45"/>
      <c r="AU18" s="45"/>
      <c r="AV18" s="45"/>
      <c r="AW18" s="45" t="s">
        <v>46</v>
      </c>
      <c r="AX18" s="45" t="s">
        <v>46</v>
      </c>
      <c r="AY18" s="45" t="s">
        <v>46</v>
      </c>
      <c r="AZ18" s="45" t="s">
        <v>46</v>
      </c>
      <c r="BA18" s="10" t="s">
        <v>268</v>
      </c>
      <c r="BB18" s="29" t="s">
        <v>2608</v>
      </c>
      <c r="BC18" s="29" t="s">
        <v>1611</v>
      </c>
      <c r="BD18" s="29" t="s">
        <v>1611</v>
      </c>
      <c r="BE18" s="29" t="s">
        <v>2514</v>
      </c>
      <c r="BF18" s="29" t="s">
        <v>2515</v>
      </c>
      <c r="BG18" s="29" t="s">
        <v>2539</v>
      </c>
      <c r="BH18" s="29" t="s">
        <v>2540</v>
      </c>
      <c r="BI18" s="29" t="s">
        <v>208</v>
      </c>
      <c r="BJ18" s="29" t="s">
        <v>2609</v>
      </c>
      <c r="BK18" s="29" t="s">
        <v>355</v>
      </c>
      <c r="BL18" s="29" t="s">
        <v>2551</v>
      </c>
      <c r="BM18" s="29" t="s">
        <v>1611</v>
      </c>
      <c r="BN18" s="29" t="s">
        <v>1611</v>
      </c>
      <c r="BO18" s="29" t="s">
        <v>1611</v>
      </c>
      <c r="BP18" s="29" t="s">
        <v>1611</v>
      </c>
      <c r="BQ18" s="29" t="s">
        <v>1611</v>
      </c>
      <c r="BR18" s="29" t="s">
        <v>1611</v>
      </c>
      <c r="BS18" s="29" t="s">
        <v>1611</v>
      </c>
      <c r="BT18" s="29" t="s">
        <v>1611</v>
      </c>
      <c r="BU18" s="29" t="s">
        <v>2610</v>
      </c>
      <c r="BV18" s="29" t="s">
        <v>2611</v>
      </c>
      <c r="BW18" s="29" t="s">
        <v>1611</v>
      </c>
      <c r="BX18" s="29" t="s">
        <v>1611</v>
      </c>
      <c r="BY18" s="29" t="s">
        <v>1611</v>
      </c>
      <c r="BZ18" s="29" t="s">
        <v>1611</v>
      </c>
      <c r="CA18" s="29" t="s">
        <v>1611</v>
      </c>
      <c r="CB18" s="29" t="s">
        <v>1611</v>
      </c>
      <c r="CC18" s="29" t="s">
        <v>1611</v>
      </c>
      <c r="CD18" s="29" t="s">
        <v>1611</v>
      </c>
      <c r="CE18" s="29" t="s">
        <v>1611</v>
      </c>
      <c r="CF18" s="29" t="s">
        <v>1611</v>
      </c>
      <c r="CG18" s="29" t="s">
        <v>1704</v>
      </c>
      <c r="CH18" s="29" t="s">
        <v>1803</v>
      </c>
      <c r="CI18" s="29" t="s">
        <v>1611</v>
      </c>
      <c r="CJ18" s="29" t="s">
        <v>1611</v>
      </c>
      <c r="CK18" s="29" t="s">
        <v>1611</v>
      </c>
      <c r="CL18" s="29" t="s">
        <v>1611</v>
      </c>
      <c r="CM18" s="29" t="s">
        <v>1611</v>
      </c>
      <c r="CN18" s="29" t="s">
        <v>1611</v>
      </c>
      <c r="CO18" s="29" t="s">
        <v>1611</v>
      </c>
      <c r="CP18" s="29" t="s">
        <v>1611</v>
      </c>
      <c r="CQ18" s="29" t="s">
        <v>1611</v>
      </c>
      <c r="CR18" s="29" t="s">
        <v>1611</v>
      </c>
      <c r="CS18" s="29" t="s">
        <v>1611</v>
      </c>
      <c r="CT18" s="29" t="s">
        <v>1611</v>
      </c>
      <c r="CU18" s="29" t="s">
        <v>1611</v>
      </c>
      <c r="CV18" s="29" t="s">
        <v>1611</v>
      </c>
      <c r="CW18" s="29"/>
      <c r="CX18" s="29"/>
      <c r="CY18" s="151"/>
      <c r="CZ18" t="s">
        <v>3588</v>
      </c>
      <c r="DA18" t="s">
        <v>3634</v>
      </c>
      <c r="DD18" s="96" t="str">
        <f t="shared" si="0"/>
        <v/>
      </c>
      <c r="DF18" s="96" t="s">
        <v>3753</v>
      </c>
    </row>
    <row r="19" spans="1:110" ht="16.5" customHeight="1" x14ac:dyDescent="0.3">
      <c r="C19" s="105">
        <v>1668870</v>
      </c>
      <c r="D19" s="27">
        <v>13</v>
      </c>
      <c r="E19" s="28" t="s">
        <v>794</v>
      </c>
      <c r="F19" s="28">
        <v>1000316588</v>
      </c>
      <c r="G19" s="29" t="s">
        <v>1576</v>
      </c>
      <c r="H19" s="28">
        <v>1668870</v>
      </c>
      <c r="I19" s="29" t="s">
        <v>797</v>
      </c>
      <c r="J19" s="28" t="s">
        <v>429</v>
      </c>
      <c r="K19" s="7"/>
      <c r="L19" s="104" t="s">
        <v>668</v>
      </c>
      <c r="M19" s="110" t="s">
        <v>2287</v>
      </c>
      <c r="N19" s="29" t="s">
        <v>2286</v>
      </c>
      <c r="O19" s="127">
        <v>30497511</v>
      </c>
      <c r="P19" s="113" t="s">
        <v>1624</v>
      </c>
      <c r="Q19" s="113" t="s">
        <v>612</v>
      </c>
      <c r="R19" s="28" t="s">
        <v>1301</v>
      </c>
      <c r="S19" s="28" t="s">
        <v>1301</v>
      </c>
      <c r="T19" s="28" t="s">
        <v>1301</v>
      </c>
      <c r="U19" s="28" t="s">
        <v>1301</v>
      </c>
      <c r="V19" s="28" t="s">
        <v>1301</v>
      </c>
      <c r="W19" s="28" t="s">
        <v>1301</v>
      </c>
      <c r="X19" s="28" t="s">
        <v>1301</v>
      </c>
      <c r="Y19" s="28" t="s">
        <v>1301</v>
      </c>
      <c r="Z19" s="28" t="s">
        <v>1301</v>
      </c>
      <c r="AA19" s="28" t="s">
        <v>1301</v>
      </c>
      <c r="AB19" s="104" t="s">
        <v>663</v>
      </c>
      <c r="AC19" s="104" t="s">
        <v>1545</v>
      </c>
      <c r="AD19" s="9" t="s">
        <v>1269</v>
      </c>
      <c r="AE19" s="9"/>
      <c r="AF19" s="9"/>
      <c r="AG19" s="34"/>
      <c r="AH19" s="9"/>
      <c r="AI19" s="45" t="s">
        <v>461</v>
      </c>
      <c r="AJ19" s="9"/>
      <c r="AK19" s="45"/>
      <c r="AL19" s="45" t="s">
        <v>461</v>
      </c>
      <c r="AM19" s="45" t="s">
        <v>461</v>
      </c>
      <c r="AN19" s="45" t="s">
        <v>461</v>
      </c>
      <c r="AO19" s="45" t="s">
        <v>461</v>
      </c>
      <c r="AP19" s="45" t="s">
        <v>461</v>
      </c>
      <c r="AQ19" s="45" t="s">
        <v>461</v>
      </c>
      <c r="AR19" s="45" t="s">
        <v>461</v>
      </c>
      <c r="AS19" s="45" t="s">
        <v>461</v>
      </c>
      <c r="AT19" s="45"/>
      <c r="AU19" s="45"/>
      <c r="AV19" s="45"/>
      <c r="AW19" s="45" t="s">
        <v>461</v>
      </c>
      <c r="AX19" s="45" t="s">
        <v>461</v>
      </c>
      <c r="AY19" s="45" t="s">
        <v>461</v>
      </c>
      <c r="AZ19" s="45" t="s">
        <v>461</v>
      </c>
      <c r="BA19" s="10" t="s">
        <v>79</v>
      </c>
      <c r="BB19" s="29" t="s">
        <v>2612</v>
      </c>
      <c r="BC19" s="29" t="s">
        <v>1611</v>
      </c>
      <c r="BD19" s="29" t="s">
        <v>1611</v>
      </c>
      <c r="BE19" s="29" t="s">
        <v>2514</v>
      </c>
      <c r="BF19" s="29" t="s">
        <v>2515</v>
      </c>
      <c r="BG19" s="29" t="s">
        <v>2569</v>
      </c>
      <c r="BH19" s="29" t="s">
        <v>2570</v>
      </c>
      <c r="BI19" s="29" t="s">
        <v>2518</v>
      </c>
      <c r="BJ19" s="29" t="s">
        <v>2519</v>
      </c>
      <c r="BK19" s="29" t="s">
        <v>342</v>
      </c>
      <c r="BL19" s="29" t="s">
        <v>2613</v>
      </c>
      <c r="BM19" s="29" t="s">
        <v>1611</v>
      </c>
      <c r="BN19" s="29" t="s">
        <v>1611</v>
      </c>
      <c r="BO19" s="29" t="s">
        <v>1611</v>
      </c>
      <c r="BP19" s="29" t="s">
        <v>1611</v>
      </c>
      <c r="BQ19" s="29" t="s">
        <v>1611</v>
      </c>
      <c r="BR19" s="29" t="s">
        <v>1611</v>
      </c>
      <c r="BS19" s="29" t="s">
        <v>1611</v>
      </c>
      <c r="BT19" s="29" t="s">
        <v>1611</v>
      </c>
      <c r="BU19" s="29" t="s">
        <v>2365</v>
      </c>
      <c r="BV19" s="29" t="s">
        <v>3661</v>
      </c>
      <c r="BW19" s="29" t="s">
        <v>1611</v>
      </c>
      <c r="BX19" s="29" t="s">
        <v>1611</v>
      </c>
      <c r="BY19" s="29" t="s">
        <v>1611</v>
      </c>
      <c r="BZ19" s="29" t="s">
        <v>1611</v>
      </c>
      <c r="CA19" s="29" t="s">
        <v>1611</v>
      </c>
      <c r="CB19" s="29" t="s">
        <v>1611</v>
      </c>
      <c r="CC19" s="29" t="s">
        <v>1611</v>
      </c>
      <c r="CD19" s="29" t="s">
        <v>1611</v>
      </c>
      <c r="CE19" s="29" t="s">
        <v>1611</v>
      </c>
      <c r="CF19" s="29" t="s">
        <v>1611</v>
      </c>
      <c r="CG19" s="29" t="s">
        <v>1705</v>
      </c>
      <c r="CH19" s="29" t="s">
        <v>1804</v>
      </c>
      <c r="CI19" s="29" t="s">
        <v>1611</v>
      </c>
      <c r="CJ19" s="29" t="s">
        <v>1611</v>
      </c>
      <c r="CK19" s="29"/>
      <c r="CL19" s="29"/>
      <c r="CM19" s="29" t="s">
        <v>2614</v>
      </c>
      <c r="CN19" s="29" t="s">
        <v>2615</v>
      </c>
      <c r="CO19" s="29" t="s">
        <v>1611</v>
      </c>
      <c r="CP19" s="29" t="s">
        <v>1611</v>
      </c>
      <c r="CQ19" s="29" t="s">
        <v>1611</v>
      </c>
      <c r="CR19" s="29" t="s">
        <v>1611</v>
      </c>
      <c r="CS19" s="29" t="s">
        <v>1611</v>
      </c>
      <c r="CT19" s="29" t="s">
        <v>1611</v>
      </c>
      <c r="CU19" s="29" t="s">
        <v>1611</v>
      </c>
      <c r="CV19" s="29" t="s">
        <v>1611</v>
      </c>
      <c r="CW19" s="29"/>
      <c r="CX19" s="29"/>
      <c r="CY19" s="151"/>
      <c r="CZ19" t="s">
        <v>2280</v>
      </c>
      <c r="DA19" t="s">
        <v>3634</v>
      </c>
      <c r="DD19" s="96" t="str">
        <f t="shared" si="0"/>
        <v/>
      </c>
      <c r="DF19" s="96" t="s">
        <v>3753</v>
      </c>
    </row>
    <row r="20" spans="1:110" ht="16.5" customHeight="1" x14ac:dyDescent="0.3">
      <c r="A20" t="s">
        <v>3798</v>
      </c>
      <c r="B20" t="s">
        <v>3778</v>
      </c>
      <c r="C20" s="105">
        <v>1668853</v>
      </c>
      <c r="D20" s="27">
        <v>14</v>
      </c>
      <c r="E20" s="28" t="s">
        <v>794</v>
      </c>
      <c r="F20" s="28">
        <v>1000316585</v>
      </c>
      <c r="G20" s="29" t="s">
        <v>1577</v>
      </c>
      <c r="H20" s="28">
        <v>1668853</v>
      </c>
      <c r="I20" s="29" t="s">
        <v>800</v>
      </c>
      <c r="J20" s="28" t="s">
        <v>429</v>
      </c>
      <c r="K20" s="7"/>
      <c r="L20" s="104" t="s">
        <v>668</v>
      </c>
      <c r="M20" s="29" t="s">
        <v>3138</v>
      </c>
      <c r="N20" s="29" t="s">
        <v>3137</v>
      </c>
      <c r="O20" s="127">
        <v>13817517</v>
      </c>
      <c r="P20" s="113" t="s">
        <v>2339</v>
      </c>
      <c r="Q20" s="113" t="s">
        <v>612</v>
      </c>
      <c r="R20" s="28" t="s">
        <v>1301</v>
      </c>
      <c r="S20" s="28" t="s">
        <v>1301</v>
      </c>
      <c r="T20" s="28" t="s">
        <v>1301</v>
      </c>
      <c r="U20" s="28" t="s">
        <v>1301</v>
      </c>
      <c r="V20" s="28" t="s">
        <v>1301</v>
      </c>
      <c r="W20" s="28" t="s">
        <v>1301</v>
      </c>
      <c r="X20" s="28" t="s">
        <v>1301</v>
      </c>
      <c r="Y20" s="28" t="s">
        <v>1301</v>
      </c>
      <c r="Z20" s="28" t="s">
        <v>1301</v>
      </c>
      <c r="AA20" s="28" t="s">
        <v>1301</v>
      </c>
      <c r="AB20" s="104" t="s">
        <v>663</v>
      </c>
      <c r="AC20" s="104" t="s">
        <v>1545</v>
      </c>
      <c r="AD20" s="9" t="s">
        <v>1269</v>
      </c>
      <c r="AE20" s="9"/>
      <c r="AF20" s="9"/>
      <c r="AG20" s="34"/>
      <c r="AH20" s="9"/>
      <c r="AI20" s="45" t="s">
        <v>461</v>
      </c>
      <c r="AJ20" s="9"/>
      <c r="AK20" s="9" t="s">
        <v>46</v>
      </c>
      <c r="AL20" s="45" t="s">
        <v>2342</v>
      </c>
      <c r="AM20" s="45" t="s">
        <v>46</v>
      </c>
      <c r="AN20" s="45" t="s">
        <v>46</v>
      </c>
      <c r="AO20" s="45" t="s">
        <v>46</v>
      </c>
      <c r="AP20" s="45" t="s">
        <v>46</v>
      </c>
      <c r="AQ20" s="45" t="s">
        <v>46</v>
      </c>
      <c r="AR20" s="45" t="s">
        <v>46</v>
      </c>
      <c r="AS20" s="45" t="s">
        <v>461</v>
      </c>
      <c r="AT20" s="45"/>
      <c r="AU20" s="45"/>
      <c r="AV20" s="45"/>
      <c r="AW20" s="45" t="s">
        <v>461</v>
      </c>
      <c r="AX20" s="9" t="s">
        <v>3800</v>
      </c>
      <c r="AY20" s="9" t="s">
        <v>3800</v>
      </c>
      <c r="AZ20" s="45" t="s">
        <v>461</v>
      </c>
      <c r="BA20" s="10" t="s">
        <v>70</v>
      </c>
      <c r="BB20" s="29" t="s">
        <v>2616</v>
      </c>
      <c r="BC20" s="29" t="s">
        <v>1611</v>
      </c>
      <c r="BD20" s="29" t="s">
        <v>1611</v>
      </c>
      <c r="BE20" s="29" t="s">
        <v>2514</v>
      </c>
      <c r="BF20" s="29" t="s">
        <v>2515</v>
      </c>
      <c r="BG20" s="29" t="s">
        <v>2569</v>
      </c>
      <c r="BH20" s="29" t="s">
        <v>2570</v>
      </c>
      <c r="BI20" s="29" t="s">
        <v>160</v>
      </c>
      <c r="BJ20" s="29" t="s">
        <v>2541</v>
      </c>
      <c r="BK20" s="29" t="s">
        <v>591</v>
      </c>
      <c r="BL20" s="29" t="s">
        <v>2617</v>
      </c>
      <c r="BM20" s="29" t="s">
        <v>1611</v>
      </c>
      <c r="BN20" s="29" t="s">
        <v>1611</v>
      </c>
      <c r="BO20" s="29" t="s">
        <v>1611</v>
      </c>
      <c r="BP20" s="29" t="s">
        <v>1611</v>
      </c>
      <c r="BQ20" s="29" t="s">
        <v>1611</v>
      </c>
      <c r="BR20" s="29" t="s">
        <v>1611</v>
      </c>
      <c r="BS20" s="29" t="s">
        <v>1611</v>
      </c>
      <c r="BT20" s="29" t="s">
        <v>1611</v>
      </c>
      <c r="BU20" s="29" t="s">
        <v>2618</v>
      </c>
      <c r="BV20" s="29" t="s">
        <v>2619</v>
      </c>
      <c r="BW20" s="29" t="s">
        <v>1611</v>
      </c>
      <c r="BX20" s="29" t="s">
        <v>1611</v>
      </c>
      <c r="BY20" s="29" t="s">
        <v>1611</v>
      </c>
      <c r="BZ20" s="29" t="s">
        <v>1611</v>
      </c>
      <c r="CA20" s="29" t="s">
        <v>1611</v>
      </c>
      <c r="CB20" s="29" t="s">
        <v>1611</v>
      </c>
      <c r="CC20" s="29" t="s">
        <v>1611</v>
      </c>
      <c r="CD20" s="29" t="s">
        <v>1611</v>
      </c>
      <c r="CE20" s="29" t="s">
        <v>1611</v>
      </c>
      <c r="CF20" s="29" t="s">
        <v>1611</v>
      </c>
      <c r="CG20" s="29" t="s">
        <v>3129</v>
      </c>
      <c r="CH20" s="29" t="s">
        <v>3130</v>
      </c>
      <c r="CI20" s="29" t="s">
        <v>1611</v>
      </c>
      <c r="CJ20" s="29" t="s">
        <v>1611</v>
      </c>
      <c r="CK20" s="29" t="s">
        <v>3127</v>
      </c>
      <c r="CL20" s="29" t="s">
        <v>3128</v>
      </c>
      <c r="CM20" s="29" t="s">
        <v>1611</v>
      </c>
      <c r="CN20" s="29" t="s">
        <v>1611</v>
      </c>
      <c r="CO20" s="29" t="s">
        <v>1611</v>
      </c>
      <c r="CP20" s="29" t="s">
        <v>1611</v>
      </c>
      <c r="CQ20" s="29" t="s">
        <v>1611</v>
      </c>
      <c r="CR20" s="29" t="s">
        <v>1611</v>
      </c>
      <c r="CS20" s="29" t="s">
        <v>1611</v>
      </c>
      <c r="CT20" s="29" t="s">
        <v>1611</v>
      </c>
      <c r="CU20" s="29" t="s">
        <v>1611</v>
      </c>
      <c r="CV20" s="29" t="s">
        <v>1611</v>
      </c>
      <c r="CW20" s="29"/>
      <c r="CX20" s="29"/>
      <c r="CY20" s="151"/>
      <c r="CZ20" t="s">
        <v>3589</v>
      </c>
      <c r="DA20" t="s">
        <v>3634</v>
      </c>
      <c r="DD20" s="96" t="str">
        <f t="shared" si="0"/>
        <v/>
      </c>
      <c r="DF20" s="96" t="s">
        <v>3753</v>
      </c>
    </row>
    <row r="21" spans="1:110" ht="16.5" customHeight="1" x14ac:dyDescent="0.3">
      <c r="C21" s="105">
        <v>1667371</v>
      </c>
      <c r="D21" s="27">
        <v>15</v>
      </c>
      <c r="E21" s="28" t="s">
        <v>656</v>
      </c>
      <c r="F21" s="28">
        <v>1000314665</v>
      </c>
      <c r="G21" s="29" t="s">
        <v>1578</v>
      </c>
      <c r="H21" s="28">
        <v>1667371</v>
      </c>
      <c r="I21" s="29" t="s">
        <v>801</v>
      </c>
      <c r="J21" s="28" t="s">
        <v>429</v>
      </c>
      <c r="K21" s="7"/>
      <c r="L21" s="104" t="s">
        <v>669</v>
      </c>
      <c r="M21" s="29" t="s">
        <v>2276</v>
      </c>
      <c r="N21" s="29" t="s">
        <v>2277</v>
      </c>
      <c r="O21" s="127">
        <v>1146540</v>
      </c>
      <c r="P21" s="113" t="s">
        <v>1346</v>
      </c>
      <c r="Q21" s="113" t="s">
        <v>612</v>
      </c>
      <c r="R21" s="28" t="s">
        <v>1301</v>
      </c>
      <c r="S21" s="28" t="s">
        <v>1301</v>
      </c>
      <c r="T21" s="28" t="s">
        <v>1329</v>
      </c>
      <c r="U21" s="28" t="s">
        <v>612</v>
      </c>
      <c r="V21" s="28" t="s">
        <v>1301</v>
      </c>
      <c r="W21" s="28" t="s">
        <v>1301</v>
      </c>
      <c r="X21" s="28" t="s">
        <v>1301</v>
      </c>
      <c r="Y21" s="28" t="s">
        <v>1301</v>
      </c>
      <c r="Z21" s="28" t="s">
        <v>1301</v>
      </c>
      <c r="AA21" s="28" t="s">
        <v>1301</v>
      </c>
      <c r="AB21" s="104" t="s">
        <v>1546</v>
      </c>
      <c r="AC21" s="104" t="s">
        <v>1340</v>
      </c>
      <c r="AD21" s="9" t="s">
        <v>1269</v>
      </c>
      <c r="AE21" s="9"/>
      <c r="AF21" s="9"/>
      <c r="AG21" s="34"/>
      <c r="AH21" s="9"/>
      <c r="AI21" s="9" t="s">
        <v>46</v>
      </c>
      <c r="AJ21" s="9"/>
      <c r="AK21" s="45"/>
      <c r="AL21" s="45" t="s">
        <v>461</v>
      </c>
      <c r="AM21" s="45" t="s">
        <v>461</v>
      </c>
      <c r="AN21" s="45" t="s">
        <v>461</v>
      </c>
      <c r="AO21" s="45" t="s">
        <v>461</v>
      </c>
      <c r="AP21" s="45" t="s">
        <v>461</v>
      </c>
      <c r="AQ21" s="45" t="s">
        <v>461</v>
      </c>
      <c r="AR21" s="45" t="s">
        <v>461</v>
      </c>
      <c r="AS21" s="45" t="s">
        <v>461</v>
      </c>
      <c r="AT21" s="45"/>
      <c r="AU21" s="45"/>
      <c r="AV21" s="45"/>
      <c r="AW21" s="45" t="s">
        <v>461</v>
      </c>
      <c r="AX21" s="45" t="s">
        <v>461</v>
      </c>
      <c r="AY21" s="45" t="s">
        <v>461</v>
      </c>
      <c r="AZ21" s="9" t="s">
        <v>461</v>
      </c>
      <c r="BA21" s="10" t="s">
        <v>79</v>
      </c>
      <c r="BB21" s="29" t="s">
        <v>2612</v>
      </c>
      <c r="BC21" s="29" t="s">
        <v>1611</v>
      </c>
      <c r="BD21" s="29" t="s">
        <v>1611</v>
      </c>
      <c r="BE21" s="29" t="s">
        <v>2502</v>
      </c>
      <c r="BF21" s="29" t="s">
        <v>2503</v>
      </c>
      <c r="BG21" s="29" t="s">
        <v>2599</v>
      </c>
      <c r="BH21" s="29" t="s">
        <v>2600</v>
      </c>
      <c r="BI21" s="29" t="s">
        <v>237</v>
      </c>
      <c r="BJ21" s="29" t="s">
        <v>2620</v>
      </c>
      <c r="BK21" s="29" t="s">
        <v>185</v>
      </c>
      <c r="BL21" s="29" t="s">
        <v>2621</v>
      </c>
      <c r="BM21" s="29" t="s">
        <v>1611</v>
      </c>
      <c r="BN21" s="29" t="s">
        <v>1611</v>
      </c>
      <c r="BO21" s="29" t="s">
        <v>1611</v>
      </c>
      <c r="BP21" s="29" t="s">
        <v>1611</v>
      </c>
      <c r="BQ21" s="29" t="s">
        <v>1611</v>
      </c>
      <c r="BR21" s="29" t="s">
        <v>1611</v>
      </c>
      <c r="BS21" s="29" t="s">
        <v>1611</v>
      </c>
      <c r="BT21" s="29" t="s">
        <v>1611</v>
      </c>
      <c r="BU21" s="29" t="s">
        <v>100</v>
      </c>
      <c r="BV21" s="29" t="s">
        <v>2622</v>
      </c>
      <c r="BW21" s="29" t="s">
        <v>1611</v>
      </c>
      <c r="BX21" s="29" t="s">
        <v>1611</v>
      </c>
      <c r="BY21" s="29" t="s">
        <v>1611</v>
      </c>
      <c r="BZ21" s="29" t="s">
        <v>1611</v>
      </c>
      <c r="CA21" s="29" t="s">
        <v>1611</v>
      </c>
      <c r="CB21" s="29" t="s">
        <v>1611</v>
      </c>
      <c r="CC21" s="29" t="s">
        <v>1611</v>
      </c>
      <c r="CD21" s="29" t="s">
        <v>1611</v>
      </c>
      <c r="CE21" s="29" t="s">
        <v>1611</v>
      </c>
      <c r="CF21" s="29" t="s">
        <v>1611</v>
      </c>
      <c r="CG21" s="29" t="s">
        <v>227</v>
      </c>
      <c r="CH21" s="29" t="s">
        <v>1877</v>
      </c>
      <c r="CI21" s="29" t="s">
        <v>1611</v>
      </c>
      <c r="CJ21" s="29" t="s">
        <v>1611</v>
      </c>
      <c r="CK21" s="29" t="s">
        <v>2623</v>
      </c>
      <c r="CL21" s="29" t="s">
        <v>2624</v>
      </c>
      <c r="CM21" s="29" t="s">
        <v>1611</v>
      </c>
      <c r="CN21" s="29" t="s">
        <v>1611</v>
      </c>
      <c r="CO21" s="29" t="s">
        <v>1611</v>
      </c>
      <c r="CP21" s="29" t="s">
        <v>1611</v>
      </c>
      <c r="CQ21" s="29" t="s">
        <v>1611</v>
      </c>
      <c r="CR21" s="29" t="s">
        <v>1611</v>
      </c>
      <c r="CS21" s="29" t="s">
        <v>1611</v>
      </c>
      <c r="CT21" s="29" t="s">
        <v>1611</v>
      </c>
      <c r="CU21" s="29" t="s">
        <v>1611</v>
      </c>
      <c r="CV21" s="29" t="s">
        <v>1611</v>
      </c>
      <c r="CW21" s="29"/>
      <c r="CX21" s="29"/>
      <c r="CY21" s="151"/>
      <c r="CZ21" t="s">
        <v>3590</v>
      </c>
      <c r="DA21" t="s">
        <v>3634</v>
      </c>
      <c r="DD21" s="96" t="str">
        <f t="shared" si="0"/>
        <v/>
      </c>
      <c r="DF21" s="96" t="s">
        <v>3753</v>
      </c>
    </row>
    <row r="22" spans="1:110" ht="16.5" customHeight="1" x14ac:dyDescent="0.3">
      <c r="C22" s="105">
        <v>1683436</v>
      </c>
      <c r="D22" s="27">
        <v>16</v>
      </c>
      <c r="E22" s="28" t="s">
        <v>792</v>
      </c>
      <c r="F22" s="28">
        <v>1000325445</v>
      </c>
      <c r="G22" s="29" t="s">
        <v>1579</v>
      </c>
      <c r="H22" s="28">
        <v>1683436</v>
      </c>
      <c r="I22" s="29" t="s">
        <v>802</v>
      </c>
      <c r="J22" s="28" t="s">
        <v>659</v>
      </c>
      <c r="K22" s="7"/>
      <c r="L22" s="104" t="s">
        <v>361</v>
      </c>
      <c r="M22" s="29"/>
      <c r="N22" s="29"/>
      <c r="O22" s="127"/>
      <c r="P22" s="28"/>
      <c r="Q22" s="28"/>
      <c r="R22" s="28"/>
      <c r="S22" s="28"/>
      <c r="T22" s="28"/>
      <c r="U22" s="28"/>
      <c r="V22" s="28"/>
      <c r="W22" s="28"/>
      <c r="X22" s="28"/>
      <c r="Y22" s="28"/>
      <c r="Z22" s="28"/>
      <c r="AA22" s="28"/>
      <c r="AB22" s="104" t="s">
        <v>1339</v>
      </c>
      <c r="AC22" s="104" t="s">
        <v>1340</v>
      </c>
      <c r="AD22" s="9" t="s">
        <v>45</v>
      </c>
      <c r="AE22" s="9"/>
      <c r="AF22" s="9" t="s">
        <v>3780</v>
      </c>
      <c r="AG22" s="34"/>
      <c r="AH22" s="9"/>
      <c r="AI22" s="9" t="s">
        <v>2491</v>
      </c>
      <c r="AJ22" s="9"/>
      <c r="AK22" s="45"/>
      <c r="AL22" s="9" t="s">
        <v>2491</v>
      </c>
      <c r="AM22" s="9" t="s">
        <v>46</v>
      </c>
      <c r="AN22" s="9" t="s">
        <v>46</v>
      </c>
      <c r="AO22" s="9" t="s">
        <v>46</v>
      </c>
      <c r="AP22" s="9" t="s">
        <v>46</v>
      </c>
      <c r="AQ22" s="9" t="s">
        <v>46</v>
      </c>
      <c r="AR22" s="9" t="s">
        <v>46</v>
      </c>
      <c r="AS22" s="45"/>
      <c r="AT22" s="45"/>
      <c r="AU22" s="45"/>
      <c r="AV22" s="45"/>
      <c r="AW22" s="9" t="s">
        <v>46</v>
      </c>
      <c r="AX22" s="9" t="s">
        <v>46</v>
      </c>
      <c r="AY22" s="9" t="s">
        <v>46</v>
      </c>
      <c r="AZ22" s="9" t="s">
        <v>46</v>
      </c>
      <c r="BA22" s="10" t="s">
        <v>1611</v>
      </c>
      <c r="BB22" s="29" t="s">
        <v>1611</v>
      </c>
      <c r="BC22" s="29" t="s">
        <v>1611</v>
      </c>
      <c r="BD22" s="29" t="s">
        <v>1611</v>
      </c>
      <c r="BE22" s="29" t="s">
        <v>1611</v>
      </c>
      <c r="BF22" s="29" t="s">
        <v>1611</v>
      </c>
      <c r="BG22" s="29" t="s">
        <v>1611</v>
      </c>
      <c r="BH22" s="29" t="s">
        <v>1611</v>
      </c>
      <c r="BI22" s="29" t="s">
        <v>2625</v>
      </c>
      <c r="BJ22" s="29" t="s">
        <v>2626</v>
      </c>
      <c r="BK22" s="29" t="s">
        <v>363</v>
      </c>
      <c r="BL22" s="29" t="s">
        <v>2627</v>
      </c>
      <c r="BM22" s="29" t="s">
        <v>1611</v>
      </c>
      <c r="BN22" s="29" t="s">
        <v>1611</v>
      </c>
      <c r="BO22" s="29" t="s">
        <v>1611</v>
      </c>
      <c r="BP22" s="29" t="s">
        <v>1611</v>
      </c>
      <c r="BQ22" s="29" t="s">
        <v>1611</v>
      </c>
      <c r="BR22" s="29" t="s">
        <v>1611</v>
      </c>
      <c r="BS22" s="29" t="s">
        <v>1611</v>
      </c>
      <c r="BT22" s="29" t="s">
        <v>1611</v>
      </c>
      <c r="BU22" s="29" t="s">
        <v>364</v>
      </c>
      <c r="BV22" s="29" t="s">
        <v>2397</v>
      </c>
      <c r="BW22" s="29" t="s">
        <v>1611</v>
      </c>
      <c r="BX22" s="29" t="s">
        <v>1611</v>
      </c>
      <c r="BY22" s="29" t="s">
        <v>1611</v>
      </c>
      <c r="BZ22" s="29" t="s">
        <v>1611</v>
      </c>
      <c r="CA22" s="29" t="s">
        <v>1611</v>
      </c>
      <c r="CB22" s="29" t="s">
        <v>1611</v>
      </c>
      <c r="CC22" s="29" t="s">
        <v>1611</v>
      </c>
      <c r="CD22" s="29" t="s">
        <v>1611</v>
      </c>
      <c r="CE22" s="29" t="s">
        <v>1611</v>
      </c>
      <c r="CF22" s="29" t="s">
        <v>1611</v>
      </c>
      <c r="CG22" s="29" t="s">
        <v>3480</v>
      </c>
      <c r="CH22" s="29" t="s">
        <v>3479</v>
      </c>
      <c r="CI22" s="29" t="s">
        <v>1611</v>
      </c>
      <c r="CJ22" s="29" t="s">
        <v>1611</v>
      </c>
      <c r="CK22" s="29" t="s">
        <v>1611</v>
      </c>
      <c r="CL22" s="29" t="s">
        <v>1611</v>
      </c>
      <c r="CM22" s="29" t="s">
        <v>1611</v>
      </c>
      <c r="CN22" s="29" t="s">
        <v>1611</v>
      </c>
      <c r="CO22" s="29" t="s">
        <v>1611</v>
      </c>
      <c r="CP22" s="29" t="s">
        <v>1611</v>
      </c>
      <c r="CQ22" s="29" t="s">
        <v>1611</v>
      </c>
      <c r="CR22" s="29" t="s">
        <v>1611</v>
      </c>
      <c r="CS22" s="29" t="s">
        <v>1611</v>
      </c>
      <c r="CT22" s="29" t="s">
        <v>1611</v>
      </c>
      <c r="CU22" s="29" t="s">
        <v>1611</v>
      </c>
      <c r="CV22" s="29" t="s">
        <v>1611</v>
      </c>
      <c r="CW22" s="29"/>
      <c r="CX22" s="29"/>
      <c r="CY22" s="151"/>
      <c r="CZ22" t="s">
        <v>3591</v>
      </c>
      <c r="DA22" t="s">
        <v>3634</v>
      </c>
      <c r="DC22" s="96" t="s">
        <v>3700</v>
      </c>
      <c r="DD22" s="96" t="str">
        <f t="shared" si="0"/>
        <v/>
      </c>
      <c r="DF22" s="96" t="s">
        <v>3753</v>
      </c>
    </row>
    <row r="23" spans="1:110" ht="16.5" customHeight="1" x14ac:dyDescent="0.3">
      <c r="A23" t="s">
        <v>3798</v>
      </c>
      <c r="B23" t="s">
        <v>3778</v>
      </c>
      <c r="C23" s="105">
        <v>1663086</v>
      </c>
      <c r="D23" s="27">
        <v>17</v>
      </c>
      <c r="E23" s="28" t="s">
        <v>656</v>
      </c>
      <c r="F23" s="28">
        <v>1000325538</v>
      </c>
      <c r="G23" s="29" t="s">
        <v>1580</v>
      </c>
      <c r="H23" s="28">
        <v>1663086</v>
      </c>
      <c r="I23" s="29" t="s">
        <v>805</v>
      </c>
      <c r="J23" s="28" t="s">
        <v>429</v>
      </c>
      <c r="K23" s="7"/>
      <c r="L23" s="104" t="s">
        <v>90</v>
      </c>
      <c r="M23" s="29" t="s">
        <v>2340</v>
      </c>
      <c r="N23" s="29" t="s">
        <v>2341</v>
      </c>
      <c r="O23" s="127">
        <v>3885124</v>
      </c>
      <c r="P23" s="113" t="s">
        <v>1345</v>
      </c>
      <c r="Q23" s="113" t="s">
        <v>612</v>
      </c>
      <c r="R23" s="28" t="s">
        <v>1301</v>
      </c>
      <c r="S23" s="28" t="s">
        <v>1301</v>
      </c>
      <c r="T23" s="28" t="s">
        <v>1301</v>
      </c>
      <c r="U23" s="28" t="s">
        <v>1301</v>
      </c>
      <c r="V23" s="28" t="s">
        <v>1301</v>
      </c>
      <c r="W23" s="28" t="s">
        <v>1301</v>
      </c>
      <c r="X23" s="28" t="s">
        <v>1301</v>
      </c>
      <c r="Y23" s="28" t="s">
        <v>1301</v>
      </c>
      <c r="Z23" s="28" t="s">
        <v>1301</v>
      </c>
      <c r="AA23" s="28" t="s">
        <v>1301</v>
      </c>
      <c r="AB23" s="104" t="s">
        <v>1334</v>
      </c>
      <c r="AC23" s="104" t="s">
        <v>1547</v>
      </c>
      <c r="AD23" s="9" t="s">
        <v>45</v>
      </c>
      <c r="AE23" s="9"/>
      <c r="AF23" s="9"/>
      <c r="AG23" s="34"/>
      <c r="AH23" s="9"/>
      <c r="AI23" s="45" t="s">
        <v>461</v>
      </c>
      <c r="AJ23" s="9"/>
      <c r="AK23" s="45"/>
      <c r="AL23" s="45" t="s">
        <v>461</v>
      </c>
      <c r="AM23" s="45" t="s">
        <v>461</v>
      </c>
      <c r="AN23" s="45" t="s">
        <v>461</v>
      </c>
      <c r="AO23" s="45" t="s">
        <v>461</v>
      </c>
      <c r="AP23" s="45" t="s">
        <v>461</v>
      </c>
      <c r="AQ23" s="45" t="s">
        <v>461</v>
      </c>
      <c r="AR23" s="45" t="s">
        <v>461</v>
      </c>
      <c r="AS23" s="45"/>
      <c r="AT23" s="45"/>
      <c r="AU23" s="45"/>
      <c r="AV23" s="45"/>
      <c r="AW23" s="45" t="s">
        <v>461</v>
      </c>
      <c r="AX23" s="45" t="s">
        <v>461</v>
      </c>
      <c r="AY23" s="45" t="s">
        <v>461</v>
      </c>
      <c r="AZ23" s="45" t="s">
        <v>461</v>
      </c>
      <c r="BA23" s="10" t="s">
        <v>92</v>
      </c>
      <c r="BB23" s="29" t="s">
        <v>2628</v>
      </c>
      <c r="BC23" s="29" t="s">
        <v>1611</v>
      </c>
      <c r="BD23" s="29" t="s">
        <v>1611</v>
      </c>
      <c r="BE23" s="29" t="s">
        <v>2502</v>
      </c>
      <c r="BF23" s="29" t="s">
        <v>2503</v>
      </c>
      <c r="BG23" s="29" t="s">
        <v>2539</v>
      </c>
      <c r="BH23" s="29" t="s">
        <v>2540</v>
      </c>
      <c r="BI23" s="29" t="s">
        <v>93</v>
      </c>
      <c r="BJ23" s="29" t="s">
        <v>2629</v>
      </c>
      <c r="BK23" s="29" t="s">
        <v>94</v>
      </c>
      <c r="BL23" s="29" t="s">
        <v>2630</v>
      </c>
      <c r="BM23" s="29" t="s">
        <v>1611</v>
      </c>
      <c r="BN23" s="29" t="s">
        <v>1611</v>
      </c>
      <c r="BO23" s="29" t="s">
        <v>1611</v>
      </c>
      <c r="BP23" s="29" t="s">
        <v>1611</v>
      </c>
      <c r="BQ23" s="29" t="s">
        <v>1611</v>
      </c>
      <c r="BR23" s="29" t="s">
        <v>1611</v>
      </c>
      <c r="BS23" s="29" t="s">
        <v>1611</v>
      </c>
      <c r="BT23" s="29" t="s">
        <v>1611</v>
      </c>
      <c r="BU23" s="29" t="s">
        <v>2375</v>
      </c>
      <c r="BV23" s="29" t="s">
        <v>2419</v>
      </c>
      <c r="BW23" s="29" t="s">
        <v>1611</v>
      </c>
      <c r="BX23" s="29" t="s">
        <v>1611</v>
      </c>
      <c r="BY23" s="29" t="s">
        <v>1611</v>
      </c>
      <c r="BZ23" s="29" t="s">
        <v>1611</v>
      </c>
      <c r="CA23" s="29" t="s">
        <v>1611</v>
      </c>
      <c r="CB23" s="29" t="s">
        <v>1611</v>
      </c>
      <c r="CC23" s="29" t="s">
        <v>1611</v>
      </c>
      <c r="CD23" s="29" t="s">
        <v>1611</v>
      </c>
      <c r="CE23" s="29" t="s">
        <v>1611</v>
      </c>
      <c r="CF23" s="29" t="s">
        <v>1611</v>
      </c>
      <c r="CG23" s="29" t="s">
        <v>96</v>
      </c>
      <c r="CH23" s="29" t="s">
        <v>2631</v>
      </c>
      <c r="CI23" s="29" t="s">
        <v>1611</v>
      </c>
      <c r="CJ23" s="29" t="s">
        <v>1611</v>
      </c>
      <c r="CK23" s="29" t="s">
        <v>2632</v>
      </c>
      <c r="CL23" s="29" t="s">
        <v>2633</v>
      </c>
      <c r="CM23" s="29" t="s">
        <v>2634</v>
      </c>
      <c r="CN23" s="29" t="s">
        <v>2635</v>
      </c>
      <c r="CO23" s="29" t="s">
        <v>2636</v>
      </c>
      <c r="CP23" s="29" t="s">
        <v>2637</v>
      </c>
      <c r="CQ23" s="29" t="s">
        <v>1611</v>
      </c>
      <c r="CR23" s="29" t="s">
        <v>1611</v>
      </c>
      <c r="CS23" s="29" t="s">
        <v>1611</v>
      </c>
      <c r="CT23" s="29" t="s">
        <v>1611</v>
      </c>
      <c r="CU23" s="29" t="s">
        <v>1611</v>
      </c>
      <c r="CV23" s="29" t="s">
        <v>1611</v>
      </c>
      <c r="CW23" s="29"/>
      <c r="CX23" s="29"/>
      <c r="CY23" s="151"/>
      <c r="CZ23" t="s">
        <v>3260</v>
      </c>
      <c r="DA23" t="s">
        <v>3634</v>
      </c>
      <c r="DD23" s="96" t="str">
        <f t="shared" si="0"/>
        <v/>
      </c>
      <c r="DF23" s="96" t="s">
        <v>3753</v>
      </c>
    </row>
    <row r="24" spans="1:110" ht="16.5" customHeight="1" x14ac:dyDescent="0.3">
      <c r="C24" s="105">
        <v>1683711</v>
      </c>
      <c r="D24" s="27">
        <v>18</v>
      </c>
      <c r="E24" s="28" t="s">
        <v>784</v>
      </c>
      <c r="F24" s="28">
        <v>1000844981</v>
      </c>
      <c r="G24" s="29" t="s">
        <v>1581</v>
      </c>
      <c r="H24" s="28">
        <v>1683711</v>
      </c>
      <c r="I24" s="29" t="s">
        <v>807</v>
      </c>
      <c r="J24" s="28" t="s">
        <v>659</v>
      </c>
      <c r="K24" s="7"/>
      <c r="L24" s="104" t="s">
        <v>670</v>
      </c>
      <c r="M24" s="29"/>
      <c r="N24" s="29"/>
      <c r="O24" s="127"/>
      <c r="P24" s="28"/>
      <c r="Q24" s="28"/>
      <c r="R24" s="28"/>
      <c r="S24" s="28"/>
      <c r="T24" s="28"/>
      <c r="U24" s="28"/>
      <c r="V24" s="28"/>
      <c r="W24" s="28"/>
      <c r="X24" s="28"/>
      <c r="Y24" s="28"/>
      <c r="Z24" s="28"/>
      <c r="AA24" s="28"/>
      <c r="AB24" s="104" t="s">
        <v>1548</v>
      </c>
      <c r="AC24" s="104" t="s">
        <v>1549</v>
      </c>
      <c r="AD24" s="9" t="s">
        <v>1269</v>
      </c>
      <c r="AE24" s="39">
        <v>45891</v>
      </c>
      <c r="AF24" s="9" t="s">
        <v>1276</v>
      </c>
      <c r="AG24" s="34" t="s">
        <v>1634</v>
      </c>
      <c r="AH24" s="9"/>
      <c r="AI24" s="9"/>
      <c r="AJ24" s="9"/>
      <c r="AK24" s="45"/>
      <c r="AL24" s="45" t="s">
        <v>1611</v>
      </c>
      <c r="AM24" s="45"/>
      <c r="AN24" s="45"/>
      <c r="AO24" s="45"/>
      <c r="AP24" s="45"/>
      <c r="AQ24" s="45"/>
      <c r="AR24" s="45"/>
      <c r="AS24" s="45"/>
      <c r="AT24" s="45"/>
      <c r="AU24" s="45"/>
      <c r="AV24" s="45"/>
      <c r="AW24" s="9"/>
      <c r="AX24" s="9"/>
      <c r="AY24" s="9"/>
      <c r="AZ24" s="9"/>
      <c r="BA24" s="10" t="s">
        <v>184</v>
      </c>
      <c r="BB24" s="29" t="s">
        <v>2568</v>
      </c>
      <c r="BC24" s="29" t="s">
        <v>1611</v>
      </c>
      <c r="BD24" s="29" t="s">
        <v>1611</v>
      </c>
      <c r="BE24" s="29" t="s">
        <v>2514</v>
      </c>
      <c r="BF24" s="29" t="s">
        <v>2515</v>
      </c>
      <c r="BG24" s="29" t="s">
        <v>2569</v>
      </c>
      <c r="BH24" s="29" t="s">
        <v>2570</v>
      </c>
      <c r="BI24" s="29" t="s">
        <v>2638</v>
      </c>
      <c r="BJ24" s="29" t="s">
        <v>2639</v>
      </c>
      <c r="BK24" s="29" t="s">
        <v>409</v>
      </c>
      <c r="BL24" s="29" t="s">
        <v>2640</v>
      </c>
      <c r="BM24" s="29" t="s">
        <v>2641</v>
      </c>
      <c r="BN24" t="s">
        <v>3010</v>
      </c>
      <c r="BO24" s="29" t="s">
        <v>1611</v>
      </c>
      <c r="BP24" s="29" t="s">
        <v>1611</v>
      </c>
      <c r="BQ24" s="29" t="s">
        <v>1611</v>
      </c>
      <c r="BR24" s="29" t="s">
        <v>1611</v>
      </c>
      <c r="BS24" s="29" t="s">
        <v>1611</v>
      </c>
      <c r="BT24" s="29" t="s">
        <v>1611</v>
      </c>
      <c r="BU24" s="29" t="s">
        <v>104</v>
      </c>
      <c r="BV24" s="29" t="s">
        <v>2642</v>
      </c>
      <c r="BW24" s="29" t="s">
        <v>1611</v>
      </c>
      <c r="BX24" s="29" t="s">
        <v>1611</v>
      </c>
      <c r="BY24" s="29" t="s">
        <v>1611</v>
      </c>
      <c r="BZ24" s="29" t="s">
        <v>1611</v>
      </c>
      <c r="CA24" s="29" t="s">
        <v>1611</v>
      </c>
      <c r="CB24" s="29" t="s">
        <v>1611</v>
      </c>
      <c r="CC24" s="29" t="s">
        <v>1611</v>
      </c>
      <c r="CD24" s="29" t="s">
        <v>1611</v>
      </c>
      <c r="CE24" s="29" t="s">
        <v>1611</v>
      </c>
      <c r="CF24" s="29" t="s">
        <v>1611</v>
      </c>
      <c r="CG24" s="29" t="s">
        <v>2643</v>
      </c>
      <c r="CH24" s="29" t="s">
        <v>2644</v>
      </c>
      <c r="CI24" s="29" t="s">
        <v>1611</v>
      </c>
      <c r="CJ24" s="29" t="s">
        <v>1611</v>
      </c>
      <c r="CK24" s="29" t="s">
        <v>1611</v>
      </c>
      <c r="CL24" s="29" t="s">
        <v>1611</v>
      </c>
      <c r="CM24" s="29" t="s">
        <v>1611</v>
      </c>
      <c r="CN24" s="29" t="s">
        <v>1611</v>
      </c>
      <c r="CO24" s="29" t="s">
        <v>1611</v>
      </c>
      <c r="CP24" s="29" t="s">
        <v>1611</v>
      </c>
      <c r="CQ24" s="29" t="s">
        <v>1611</v>
      </c>
      <c r="CR24" s="29" t="s">
        <v>1611</v>
      </c>
      <c r="CS24" s="29" t="s">
        <v>1611</v>
      </c>
      <c r="CT24" s="29" t="s">
        <v>1611</v>
      </c>
      <c r="CU24" s="29" t="s">
        <v>1611</v>
      </c>
      <c r="CV24" s="29" t="s">
        <v>1611</v>
      </c>
      <c r="CW24" s="29"/>
      <c r="CX24" s="29"/>
      <c r="CY24" s="151"/>
      <c r="CZ24" t="e">
        <v>#N/A</v>
      </c>
      <c r="DA24" t="e">
        <v>#N/A</v>
      </c>
      <c r="DD24" s="96" t="str">
        <f t="shared" si="0"/>
        <v>V</v>
      </c>
    </row>
    <row r="25" spans="1:110" ht="16.5" customHeight="1" x14ac:dyDescent="0.3">
      <c r="C25" s="105">
        <v>1667197</v>
      </c>
      <c r="D25" s="27">
        <v>19</v>
      </c>
      <c r="E25" s="28" t="s">
        <v>808</v>
      </c>
      <c r="F25" s="28">
        <v>1000314625</v>
      </c>
      <c r="G25" s="29" t="s">
        <v>1582</v>
      </c>
      <c r="H25" s="28">
        <v>1667197</v>
      </c>
      <c r="I25" s="29" t="s">
        <v>809</v>
      </c>
      <c r="J25" s="28" t="s">
        <v>429</v>
      </c>
      <c r="K25" s="7"/>
      <c r="L25" s="104" t="s">
        <v>665</v>
      </c>
      <c r="M25" s="29"/>
      <c r="N25" s="29"/>
      <c r="O25" s="127"/>
      <c r="P25" s="28"/>
      <c r="Q25" s="28"/>
      <c r="R25" s="28"/>
      <c r="S25" s="28"/>
      <c r="T25" s="28"/>
      <c r="U25" s="28"/>
      <c r="V25" s="28"/>
      <c r="W25" s="28"/>
      <c r="X25" s="28"/>
      <c r="Y25" s="28"/>
      <c r="Z25" s="28"/>
      <c r="AA25" s="28"/>
      <c r="AB25" s="104" t="s">
        <v>1548</v>
      </c>
      <c r="AC25" s="104" t="s">
        <v>1551</v>
      </c>
      <c r="AD25" s="9" t="s">
        <v>1269</v>
      </c>
      <c r="AE25" s="39">
        <v>45902</v>
      </c>
      <c r="AF25" s="9" t="s">
        <v>1276</v>
      </c>
      <c r="AG25" s="34" t="s">
        <v>1932</v>
      </c>
      <c r="AH25" s="9"/>
      <c r="AI25" s="9"/>
      <c r="AJ25" s="9"/>
      <c r="AK25" s="45"/>
      <c r="AL25" s="45" t="s">
        <v>1611</v>
      </c>
      <c r="AM25" s="45"/>
      <c r="AN25" s="45"/>
      <c r="AO25" s="45"/>
      <c r="AP25" s="45"/>
      <c r="AQ25" s="45"/>
      <c r="AR25" s="45"/>
      <c r="AS25" s="45"/>
      <c r="AT25" s="45"/>
      <c r="AU25" s="45"/>
      <c r="AV25" s="45"/>
      <c r="AW25" s="9"/>
      <c r="AX25" s="9"/>
      <c r="AY25" s="9"/>
      <c r="AZ25" s="9"/>
      <c r="BA25" s="10" t="s">
        <v>268</v>
      </c>
      <c r="BB25" s="29" t="s">
        <v>2608</v>
      </c>
      <c r="BC25" s="29" t="s">
        <v>1611</v>
      </c>
      <c r="BD25" s="29" t="s">
        <v>1611</v>
      </c>
      <c r="BE25" s="29" t="s">
        <v>2502</v>
      </c>
      <c r="BF25" s="29" t="s">
        <v>2503</v>
      </c>
      <c r="BG25" s="29" t="s">
        <v>2569</v>
      </c>
      <c r="BH25" s="29" t="s">
        <v>2570</v>
      </c>
      <c r="BI25" s="29" t="s">
        <v>275</v>
      </c>
      <c r="BJ25" s="29" t="s">
        <v>2645</v>
      </c>
      <c r="BK25" s="29" t="s">
        <v>292</v>
      </c>
      <c r="BL25" s="29" t="s">
        <v>2646</v>
      </c>
      <c r="BM25" s="29" t="s">
        <v>1611</v>
      </c>
      <c r="BN25" s="29" t="s">
        <v>1611</v>
      </c>
      <c r="BO25" s="29" t="s">
        <v>1611</v>
      </c>
      <c r="BP25" s="29" t="s">
        <v>1611</v>
      </c>
      <c r="BQ25" s="29" t="s">
        <v>1611</v>
      </c>
      <c r="BR25" s="29" t="s">
        <v>1611</v>
      </c>
      <c r="BS25" s="29" t="s">
        <v>1611</v>
      </c>
      <c r="BT25" s="29" t="s">
        <v>1611</v>
      </c>
      <c r="BU25" s="29" t="s">
        <v>2647</v>
      </c>
      <c r="BV25" s="29" t="s">
        <v>2648</v>
      </c>
      <c r="BW25" s="29" t="s">
        <v>1611</v>
      </c>
      <c r="BX25" s="29" t="s">
        <v>1611</v>
      </c>
      <c r="BY25" s="29" t="s">
        <v>1611</v>
      </c>
      <c r="BZ25" s="29" t="s">
        <v>1611</v>
      </c>
      <c r="CA25" s="29" t="s">
        <v>1611</v>
      </c>
      <c r="CB25" s="29" t="s">
        <v>1611</v>
      </c>
      <c r="CC25" s="29" t="s">
        <v>1611</v>
      </c>
      <c r="CD25" s="29" t="s">
        <v>1611</v>
      </c>
      <c r="CE25" s="29" t="s">
        <v>1611</v>
      </c>
      <c r="CF25" s="29" t="s">
        <v>1611</v>
      </c>
      <c r="CG25" s="29" t="s">
        <v>1706</v>
      </c>
      <c r="CH25" s="29" t="s">
        <v>1806</v>
      </c>
      <c r="CI25" s="29" t="s">
        <v>1611</v>
      </c>
      <c r="CJ25" s="29" t="s">
        <v>1611</v>
      </c>
      <c r="CK25" s="29" t="s">
        <v>1611</v>
      </c>
      <c r="CL25" s="29" t="s">
        <v>1611</v>
      </c>
      <c r="CM25" s="29" t="s">
        <v>1611</v>
      </c>
      <c r="CN25" s="29" t="s">
        <v>1611</v>
      </c>
      <c r="CO25" s="29" t="s">
        <v>1611</v>
      </c>
      <c r="CP25" s="29" t="s">
        <v>1611</v>
      </c>
      <c r="CQ25" s="29" t="s">
        <v>1611</v>
      </c>
      <c r="CR25" s="29" t="s">
        <v>1611</v>
      </c>
      <c r="CS25" s="29" t="s">
        <v>1611</v>
      </c>
      <c r="CT25" s="29" t="s">
        <v>1611</v>
      </c>
      <c r="CU25" s="29" t="s">
        <v>1611</v>
      </c>
      <c r="CV25" s="29" t="s">
        <v>1611</v>
      </c>
      <c r="CW25" s="29"/>
      <c r="CX25" s="29"/>
      <c r="CY25" s="151"/>
      <c r="CZ25" t="e">
        <v>#N/A</v>
      </c>
      <c r="DA25" t="e">
        <v>#N/A</v>
      </c>
      <c r="DD25" s="96" t="str">
        <f t="shared" si="0"/>
        <v>V</v>
      </c>
    </row>
    <row r="26" spans="1:110" ht="16.5" customHeight="1" x14ac:dyDescent="0.3">
      <c r="C26" s="105">
        <v>1670326</v>
      </c>
      <c r="D26" s="27">
        <v>20</v>
      </c>
      <c r="E26" s="28" t="s">
        <v>792</v>
      </c>
      <c r="F26" s="28">
        <v>1000314621</v>
      </c>
      <c r="G26" s="29" t="s">
        <v>1583</v>
      </c>
      <c r="H26" s="28">
        <v>1670326</v>
      </c>
      <c r="I26" s="29" t="s">
        <v>811</v>
      </c>
      <c r="J26" s="28" t="s">
        <v>429</v>
      </c>
      <c r="K26" s="7"/>
      <c r="L26" s="104" t="s">
        <v>671</v>
      </c>
      <c r="M26" s="110" t="s">
        <v>3502</v>
      </c>
      <c r="N26" s="29" t="s">
        <v>3503</v>
      </c>
      <c r="O26" s="127">
        <v>400432</v>
      </c>
      <c r="P26" s="28" t="s">
        <v>3504</v>
      </c>
      <c r="Q26" s="113" t="s">
        <v>612</v>
      </c>
      <c r="R26" s="28" t="s">
        <v>1301</v>
      </c>
      <c r="S26" s="28" t="s">
        <v>1301</v>
      </c>
      <c r="T26" s="28" t="s">
        <v>1329</v>
      </c>
      <c r="U26" s="28" t="s">
        <v>612</v>
      </c>
      <c r="V26" s="28" t="s">
        <v>1301</v>
      </c>
      <c r="W26" s="28" t="s">
        <v>1301</v>
      </c>
      <c r="X26" s="28" t="s">
        <v>1301</v>
      </c>
      <c r="Y26" s="28" t="s">
        <v>1301</v>
      </c>
      <c r="Z26" s="28" t="s">
        <v>1301</v>
      </c>
      <c r="AA26" s="28" t="s">
        <v>1301</v>
      </c>
      <c r="AB26" s="104" t="s">
        <v>1544</v>
      </c>
      <c r="AC26" s="104" t="s">
        <v>645</v>
      </c>
      <c r="AD26" s="9" t="s">
        <v>1269</v>
      </c>
      <c r="AE26" s="9"/>
      <c r="AF26" s="9"/>
      <c r="AG26" s="34"/>
      <c r="AH26" s="9"/>
      <c r="AI26" s="9"/>
      <c r="AJ26" s="9"/>
      <c r="AK26" s="45"/>
      <c r="AL26" s="45" t="s">
        <v>3059</v>
      </c>
      <c r="AM26" s="45" t="s">
        <v>46</v>
      </c>
      <c r="AN26" s="45" t="s">
        <v>46</v>
      </c>
      <c r="AO26" s="45" t="s">
        <v>46</v>
      </c>
      <c r="AP26" s="45" t="s">
        <v>46</v>
      </c>
      <c r="AQ26" s="45" t="s">
        <v>46</v>
      </c>
      <c r="AR26" s="45" t="s">
        <v>46</v>
      </c>
      <c r="AS26" s="45" t="s">
        <v>46</v>
      </c>
      <c r="AT26" s="45"/>
      <c r="AU26" s="45"/>
      <c r="AV26" s="45"/>
      <c r="AW26" s="45" t="s">
        <v>46</v>
      </c>
      <c r="AX26" s="45" t="s">
        <v>46</v>
      </c>
      <c r="AY26" s="45" t="s">
        <v>46</v>
      </c>
      <c r="AZ26" s="45" t="s">
        <v>46</v>
      </c>
      <c r="BA26" s="10" t="s">
        <v>2497</v>
      </c>
      <c r="BB26" s="29" t="s">
        <v>2567</v>
      </c>
      <c r="BC26" s="29" t="s">
        <v>1611</v>
      </c>
      <c r="BD26" s="29" t="s">
        <v>1611</v>
      </c>
      <c r="BE26" s="29" t="s">
        <v>2514</v>
      </c>
      <c r="BF26" s="29" t="s">
        <v>2515</v>
      </c>
      <c r="BG26" s="29" t="s">
        <v>2569</v>
      </c>
      <c r="BH26" s="29" t="s">
        <v>2570</v>
      </c>
      <c r="BI26" s="29" t="s">
        <v>53</v>
      </c>
      <c r="BJ26" s="29" t="s">
        <v>2506</v>
      </c>
      <c r="BK26" s="29" t="s">
        <v>175</v>
      </c>
      <c r="BL26" s="29" t="s">
        <v>2649</v>
      </c>
      <c r="BM26" s="29" t="s">
        <v>1611</v>
      </c>
      <c r="BN26" s="29" t="s">
        <v>1611</v>
      </c>
      <c r="BO26" s="29" t="s">
        <v>1611</v>
      </c>
      <c r="BP26" s="29" t="s">
        <v>1611</v>
      </c>
      <c r="BQ26" s="29" t="s">
        <v>1611</v>
      </c>
      <c r="BR26" s="29" t="s">
        <v>1611</v>
      </c>
      <c r="BS26" s="29" t="s">
        <v>1611</v>
      </c>
      <c r="BT26" s="29" t="s">
        <v>1611</v>
      </c>
      <c r="BU26" s="29" t="s">
        <v>2359</v>
      </c>
      <c r="BV26" s="29" t="s">
        <v>2398</v>
      </c>
      <c r="BW26" s="29" t="s">
        <v>1611</v>
      </c>
      <c r="BX26" s="29" t="s">
        <v>1611</v>
      </c>
      <c r="BY26" s="29" t="s">
        <v>1611</v>
      </c>
      <c r="BZ26" s="29" t="s">
        <v>1611</v>
      </c>
      <c r="CA26" s="29" t="s">
        <v>1611</v>
      </c>
      <c r="CB26" s="29" t="s">
        <v>1611</v>
      </c>
      <c r="CC26" s="29" t="s">
        <v>1611</v>
      </c>
      <c r="CD26" s="29" t="s">
        <v>1611</v>
      </c>
      <c r="CE26" s="29" t="s">
        <v>1611</v>
      </c>
      <c r="CF26" s="29" t="s">
        <v>1611</v>
      </c>
      <c r="CG26" s="29" t="s">
        <v>3475</v>
      </c>
      <c r="CH26" s="29" t="s">
        <v>1807</v>
      </c>
      <c r="CI26" s="29" t="s">
        <v>1611</v>
      </c>
      <c r="CJ26" s="29" t="s">
        <v>1611</v>
      </c>
      <c r="CK26" s="29" t="s">
        <v>3505</v>
      </c>
      <c r="CL26" s="29" t="s">
        <v>3507</v>
      </c>
      <c r="CM26" s="29" t="s">
        <v>3506</v>
      </c>
      <c r="CN26" s="29" t="s">
        <v>3508</v>
      </c>
      <c r="CO26" s="29" t="s">
        <v>1611</v>
      </c>
      <c r="CP26" s="29" t="s">
        <v>1611</v>
      </c>
      <c r="CQ26" s="29" t="s">
        <v>1611</v>
      </c>
      <c r="CR26" s="29" t="s">
        <v>1611</v>
      </c>
      <c r="CS26" s="29" t="s">
        <v>1611</v>
      </c>
      <c r="CT26" s="29" t="s">
        <v>1611</v>
      </c>
      <c r="CU26" s="29" t="s">
        <v>1611</v>
      </c>
      <c r="CV26" s="29" t="s">
        <v>1611</v>
      </c>
      <c r="CW26" s="29"/>
      <c r="CX26" s="29"/>
      <c r="CY26" s="151"/>
      <c r="CZ26" t="s">
        <v>3592</v>
      </c>
      <c r="DA26" t="s">
        <v>3634</v>
      </c>
      <c r="DD26" s="96" t="str">
        <f t="shared" si="0"/>
        <v/>
      </c>
      <c r="DF26" s="96" t="s">
        <v>3753</v>
      </c>
    </row>
    <row r="27" spans="1:110" ht="16.5" customHeight="1" x14ac:dyDescent="0.3">
      <c r="C27" s="105">
        <v>1669412</v>
      </c>
      <c r="D27" s="27">
        <v>21</v>
      </c>
      <c r="E27" s="28" t="s">
        <v>656</v>
      </c>
      <c r="F27" s="28">
        <v>1000953186</v>
      </c>
      <c r="G27" s="29" t="s">
        <v>814</v>
      </c>
      <c r="H27" s="28">
        <v>1669412</v>
      </c>
      <c r="I27" s="29" t="s">
        <v>815</v>
      </c>
      <c r="J27" s="28" t="s">
        <v>429</v>
      </c>
      <c r="K27" s="7"/>
      <c r="L27" s="104" t="s">
        <v>672</v>
      </c>
      <c r="M27" s="29"/>
      <c r="N27" s="29"/>
      <c r="O27" s="127"/>
      <c r="P27" s="28"/>
      <c r="Q27" s="28"/>
      <c r="R27" s="28"/>
      <c r="S27" s="28"/>
      <c r="T27" s="28"/>
      <c r="U27" s="28"/>
      <c r="V27" s="28"/>
      <c r="W27" s="28"/>
      <c r="X27" s="28"/>
      <c r="Y27" s="28"/>
      <c r="Z27" s="28"/>
      <c r="AA27" s="28"/>
      <c r="AB27" s="104"/>
      <c r="AC27" s="28"/>
      <c r="AD27" s="9" t="s">
        <v>1269</v>
      </c>
      <c r="AE27" s="39">
        <v>45873</v>
      </c>
      <c r="AF27" s="9" t="s">
        <v>1276</v>
      </c>
      <c r="AG27" s="108" t="s">
        <v>1314</v>
      </c>
      <c r="AH27" s="9"/>
      <c r="AI27" s="9"/>
      <c r="AJ27" s="9"/>
      <c r="AK27" s="45"/>
      <c r="AL27" s="45" t="s">
        <v>1611</v>
      </c>
      <c r="AM27" s="45"/>
      <c r="AN27" s="45"/>
      <c r="AO27" s="45"/>
      <c r="AP27" s="45"/>
      <c r="AQ27" s="45"/>
      <c r="AR27" s="45"/>
      <c r="AS27" s="45"/>
      <c r="AT27" s="45"/>
      <c r="AU27" s="45"/>
      <c r="AV27" s="45"/>
      <c r="AW27" s="9"/>
      <c r="AX27" s="9"/>
      <c r="AY27" s="9"/>
      <c r="AZ27" s="9"/>
      <c r="BA27" s="10" t="s">
        <v>268</v>
      </c>
      <c r="BB27" s="29" t="s">
        <v>2608</v>
      </c>
      <c r="BC27" s="29" t="s">
        <v>1611</v>
      </c>
      <c r="BD27" s="29" t="s">
        <v>1611</v>
      </c>
      <c r="BE27" s="29" t="s">
        <v>2502</v>
      </c>
      <c r="BF27" s="29" t="s">
        <v>2503</v>
      </c>
      <c r="BG27" s="29" t="s">
        <v>2650</v>
      </c>
      <c r="BH27" s="29" t="s">
        <v>2651</v>
      </c>
      <c r="BI27" s="29" t="s">
        <v>129</v>
      </c>
      <c r="BJ27" s="29" t="s">
        <v>2652</v>
      </c>
      <c r="BK27" s="29" t="s">
        <v>2653</v>
      </c>
      <c r="BL27" s="29" t="s">
        <v>2654</v>
      </c>
      <c r="BM27" s="29" t="s">
        <v>1611</v>
      </c>
      <c r="BN27" s="29" t="s">
        <v>1611</v>
      </c>
      <c r="BO27" s="29" t="s">
        <v>1611</v>
      </c>
      <c r="BP27" s="29" t="s">
        <v>1611</v>
      </c>
      <c r="BQ27" s="29" t="s">
        <v>1611</v>
      </c>
      <c r="BR27" s="29" t="s">
        <v>1611</v>
      </c>
      <c r="BS27" s="29" t="s">
        <v>1611</v>
      </c>
      <c r="BT27" s="29" t="s">
        <v>1611</v>
      </c>
      <c r="BU27" s="29" t="s">
        <v>2655</v>
      </c>
      <c r="BV27" s="29" t="s">
        <v>2656</v>
      </c>
      <c r="BW27" s="29" t="s">
        <v>2657</v>
      </c>
      <c r="BX27" s="29" t="s">
        <v>2658</v>
      </c>
      <c r="BY27" s="29" t="s">
        <v>1611</v>
      </c>
      <c r="BZ27" s="29" t="s">
        <v>1611</v>
      </c>
      <c r="CA27" s="29" t="s">
        <v>1611</v>
      </c>
      <c r="CB27" s="29" t="s">
        <v>1611</v>
      </c>
      <c r="CC27" s="29" t="s">
        <v>1611</v>
      </c>
      <c r="CD27" s="29" t="s">
        <v>1611</v>
      </c>
      <c r="CE27" s="29" t="s">
        <v>1611</v>
      </c>
      <c r="CF27" s="29" t="s">
        <v>1611</v>
      </c>
      <c r="CG27" s="29" t="s">
        <v>2553</v>
      </c>
      <c r="CH27" s="29" t="s">
        <v>2554</v>
      </c>
      <c r="CI27" s="29" t="s">
        <v>1611</v>
      </c>
      <c r="CJ27" s="29" t="s">
        <v>1611</v>
      </c>
      <c r="CK27" s="29" t="s">
        <v>1611</v>
      </c>
      <c r="CL27" s="29" t="s">
        <v>1611</v>
      </c>
      <c r="CM27" s="29" t="s">
        <v>1611</v>
      </c>
      <c r="CN27" s="29" t="s">
        <v>1611</v>
      </c>
      <c r="CO27" s="29" t="s">
        <v>1611</v>
      </c>
      <c r="CP27" s="29" t="s">
        <v>1611</v>
      </c>
      <c r="CQ27" s="29" t="s">
        <v>1611</v>
      </c>
      <c r="CR27" s="29" t="s">
        <v>1611</v>
      </c>
      <c r="CS27" s="29" t="s">
        <v>1611</v>
      </c>
      <c r="CT27" s="29" t="s">
        <v>1611</v>
      </c>
      <c r="CU27" s="29" t="s">
        <v>1611</v>
      </c>
      <c r="CV27" s="29" t="s">
        <v>1611</v>
      </c>
      <c r="CW27" s="29"/>
      <c r="CX27" s="29"/>
      <c r="CY27" s="151"/>
      <c r="CZ27" t="e">
        <v>#N/A</v>
      </c>
      <c r="DA27" t="e">
        <v>#N/A</v>
      </c>
      <c r="DD27" s="96" t="str">
        <f t="shared" si="0"/>
        <v>V</v>
      </c>
    </row>
    <row r="28" spans="1:110" ht="16.5" customHeight="1" x14ac:dyDescent="0.3">
      <c r="C28" s="105">
        <v>1668586</v>
      </c>
      <c r="D28" s="27">
        <v>22</v>
      </c>
      <c r="E28" s="28" t="s">
        <v>808</v>
      </c>
      <c r="F28" s="28">
        <v>1000810814</v>
      </c>
      <c r="G28" s="29" t="s">
        <v>1584</v>
      </c>
      <c r="H28" s="28">
        <v>1668586</v>
      </c>
      <c r="I28" s="29" t="s">
        <v>816</v>
      </c>
      <c r="J28" s="28" t="s">
        <v>429</v>
      </c>
      <c r="K28" s="7"/>
      <c r="L28" s="104" t="s">
        <v>673</v>
      </c>
      <c r="M28" s="29"/>
      <c r="N28" s="29"/>
      <c r="O28" s="127"/>
      <c r="P28" s="28"/>
      <c r="Q28" s="28"/>
      <c r="R28" s="28"/>
      <c r="S28" s="28"/>
      <c r="T28" s="28"/>
      <c r="U28" s="28"/>
      <c r="V28" s="28"/>
      <c r="W28" s="28"/>
      <c r="X28" s="28"/>
      <c r="Y28" s="28"/>
      <c r="Z28" s="28"/>
      <c r="AA28" s="28"/>
      <c r="AB28" s="104" t="s">
        <v>663</v>
      </c>
      <c r="AC28" s="104" t="s">
        <v>1340</v>
      </c>
      <c r="AD28" s="9" t="s">
        <v>1269</v>
      </c>
      <c r="AE28" s="39">
        <v>45874</v>
      </c>
      <c r="AF28" s="9" t="s">
        <v>1276</v>
      </c>
      <c r="AG28" s="108" t="s">
        <v>1940</v>
      </c>
      <c r="AH28" s="9"/>
      <c r="AI28" s="9"/>
      <c r="AJ28" s="9"/>
      <c r="AK28" s="45"/>
      <c r="AL28" s="45" t="s">
        <v>1611</v>
      </c>
      <c r="AM28" s="45"/>
      <c r="AN28" s="45"/>
      <c r="AO28" s="45"/>
      <c r="AP28" s="45"/>
      <c r="AQ28" s="45"/>
      <c r="AR28" s="45"/>
      <c r="AS28" s="45"/>
      <c r="AT28" s="45"/>
      <c r="AU28" s="45"/>
      <c r="AV28" s="45"/>
      <c r="AW28" s="9"/>
      <c r="AX28" s="9"/>
      <c r="AY28" s="9"/>
      <c r="AZ28" s="9"/>
      <c r="BA28" s="10" t="s">
        <v>268</v>
      </c>
      <c r="BB28" s="29" t="s">
        <v>2608</v>
      </c>
      <c r="BC28" s="29" t="s">
        <v>1611</v>
      </c>
      <c r="BD28" s="29" t="s">
        <v>1611</v>
      </c>
      <c r="BE28" s="29" t="s">
        <v>2502</v>
      </c>
      <c r="BF28" s="29" t="s">
        <v>2503</v>
      </c>
      <c r="BG28" s="29" t="s">
        <v>1762</v>
      </c>
      <c r="BH28" s="29" t="s">
        <v>2504</v>
      </c>
      <c r="BI28" s="29" t="s">
        <v>275</v>
      </c>
      <c r="BJ28" s="29" t="s">
        <v>2645</v>
      </c>
      <c r="BK28" s="29" t="s">
        <v>139</v>
      </c>
      <c r="BL28" s="29" t="s">
        <v>2659</v>
      </c>
      <c r="BM28" s="29" t="s">
        <v>1611</v>
      </c>
      <c r="BN28" s="29" t="s">
        <v>1611</v>
      </c>
      <c r="BO28" s="29" t="s">
        <v>1611</v>
      </c>
      <c r="BP28" s="29" t="s">
        <v>1611</v>
      </c>
      <c r="BQ28" s="29" t="s">
        <v>1611</v>
      </c>
      <c r="BR28" s="29" t="s">
        <v>1611</v>
      </c>
      <c r="BS28" s="29" t="s">
        <v>1611</v>
      </c>
      <c r="BT28" s="29" t="s">
        <v>1611</v>
      </c>
      <c r="BU28" s="29" t="s">
        <v>2392</v>
      </c>
      <c r="BV28" s="29" t="s">
        <v>2440</v>
      </c>
      <c r="BW28" s="29" t="s">
        <v>1611</v>
      </c>
      <c r="BX28" s="29" t="s">
        <v>1611</v>
      </c>
      <c r="BY28" s="29" t="s">
        <v>1611</v>
      </c>
      <c r="BZ28" s="29" t="s">
        <v>1611</v>
      </c>
      <c r="CA28" s="29" t="s">
        <v>1611</v>
      </c>
      <c r="CB28" s="29" t="s">
        <v>1611</v>
      </c>
      <c r="CC28" s="29" t="s">
        <v>1611</v>
      </c>
      <c r="CD28" s="29" t="s">
        <v>1611</v>
      </c>
      <c r="CE28" s="29" t="s">
        <v>1611</v>
      </c>
      <c r="CF28" s="29" t="s">
        <v>1611</v>
      </c>
      <c r="CG28" s="29" t="s">
        <v>1708</v>
      </c>
      <c r="CH28" s="29" t="s">
        <v>1808</v>
      </c>
      <c r="CI28" s="29" t="s">
        <v>1611</v>
      </c>
      <c r="CJ28" s="29" t="s">
        <v>1611</v>
      </c>
      <c r="CK28" s="29" t="s">
        <v>1611</v>
      </c>
      <c r="CL28" s="29"/>
      <c r="CM28" s="29" t="s">
        <v>1611</v>
      </c>
      <c r="CN28" s="29" t="s">
        <v>1611</v>
      </c>
      <c r="CO28" s="29" t="s">
        <v>1611</v>
      </c>
      <c r="CP28" s="29" t="s">
        <v>1611</v>
      </c>
      <c r="CQ28" s="29" t="s">
        <v>1611</v>
      </c>
      <c r="CR28" s="29" t="s">
        <v>1611</v>
      </c>
      <c r="CS28" s="29" t="s">
        <v>1611</v>
      </c>
      <c r="CT28" s="29" t="s">
        <v>1611</v>
      </c>
      <c r="CU28" s="29" t="s">
        <v>1611</v>
      </c>
      <c r="CV28" s="29" t="s">
        <v>1611</v>
      </c>
      <c r="CW28" s="29"/>
      <c r="CX28" s="29"/>
      <c r="CY28" s="151"/>
      <c r="CZ28" t="e">
        <v>#N/A</v>
      </c>
      <c r="DA28" t="e">
        <v>#N/A</v>
      </c>
      <c r="DD28" s="96" t="str">
        <f t="shared" si="0"/>
        <v>V</v>
      </c>
    </row>
    <row r="29" spans="1:110" ht="16.5" customHeight="1" x14ac:dyDescent="0.3">
      <c r="C29" s="105">
        <v>1660660</v>
      </c>
      <c r="D29" s="27">
        <v>23</v>
      </c>
      <c r="E29" s="28" t="s">
        <v>818</v>
      </c>
      <c r="F29" s="28">
        <v>1000326094</v>
      </c>
      <c r="G29" s="29" t="s">
        <v>1585</v>
      </c>
      <c r="H29" s="28">
        <v>1660660</v>
      </c>
      <c r="I29" s="29" t="s">
        <v>819</v>
      </c>
      <c r="J29" s="28" t="s">
        <v>429</v>
      </c>
      <c r="K29" s="7"/>
      <c r="L29" s="104" t="s">
        <v>674</v>
      </c>
      <c r="M29" s="29" t="s">
        <v>3327</v>
      </c>
      <c r="N29" s="29" t="s">
        <v>3326</v>
      </c>
      <c r="O29" s="127">
        <v>5158962</v>
      </c>
      <c r="P29" s="113" t="s">
        <v>1624</v>
      </c>
      <c r="Q29" s="113" t="s">
        <v>612</v>
      </c>
      <c r="R29" s="28" t="s">
        <v>1301</v>
      </c>
      <c r="S29" s="28" t="s">
        <v>1301</v>
      </c>
      <c r="T29" s="28" t="s">
        <v>1301</v>
      </c>
      <c r="U29" s="28" t="s">
        <v>1301</v>
      </c>
      <c r="V29" s="28" t="s">
        <v>1301</v>
      </c>
      <c r="W29" s="28" t="s">
        <v>1301</v>
      </c>
      <c r="X29" s="28" t="s">
        <v>1301</v>
      </c>
      <c r="Y29" s="28" t="s">
        <v>1301</v>
      </c>
      <c r="Z29" s="28" t="s">
        <v>1301</v>
      </c>
      <c r="AA29" s="28" t="s">
        <v>1301</v>
      </c>
      <c r="AB29" s="104" t="s">
        <v>663</v>
      </c>
      <c r="AC29" s="104" t="s">
        <v>1545</v>
      </c>
      <c r="AD29" s="9" t="s">
        <v>1269</v>
      </c>
      <c r="AE29" s="9"/>
      <c r="AF29" s="9"/>
      <c r="AG29" s="34"/>
      <c r="AH29" s="9"/>
      <c r="AI29" s="9"/>
      <c r="AJ29" s="9"/>
      <c r="AK29" s="45"/>
      <c r="AL29" s="45" t="s">
        <v>3059</v>
      </c>
      <c r="AM29" s="45" t="s">
        <v>46</v>
      </c>
      <c r="AN29" s="45" t="s">
        <v>46</v>
      </c>
      <c r="AO29" s="45" t="s">
        <v>46</v>
      </c>
      <c r="AP29" s="45" t="s">
        <v>46</v>
      </c>
      <c r="AQ29" s="45" t="s">
        <v>46</v>
      </c>
      <c r="AR29" s="45" t="s">
        <v>46</v>
      </c>
      <c r="AS29" s="45"/>
      <c r="AT29" s="45"/>
      <c r="AU29" s="45"/>
      <c r="AV29" s="45"/>
      <c r="AW29" s="9"/>
      <c r="AX29" s="9"/>
      <c r="AY29" s="9"/>
      <c r="AZ29" s="9"/>
      <c r="BA29" s="10" t="s">
        <v>268</v>
      </c>
      <c r="BB29" s="29" t="s">
        <v>2608</v>
      </c>
      <c r="BC29" s="29" t="s">
        <v>1611</v>
      </c>
      <c r="BD29" s="29" t="s">
        <v>1611</v>
      </c>
      <c r="BE29" s="29" t="s">
        <v>2502</v>
      </c>
      <c r="BF29" s="29" t="s">
        <v>2503</v>
      </c>
      <c r="BG29" s="29" t="s">
        <v>2660</v>
      </c>
      <c r="BH29" s="29" t="s">
        <v>2661</v>
      </c>
      <c r="BI29" s="29" t="s">
        <v>336</v>
      </c>
      <c r="BJ29" s="29" t="s">
        <v>2662</v>
      </c>
      <c r="BK29" s="29" t="s">
        <v>579</v>
      </c>
      <c r="BL29" s="29" t="s">
        <v>2663</v>
      </c>
      <c r="BM29" s="29" t="s">
        <v>1611</v>
      </c>
      <c r="BN29" s="29" t="s">
        <v>1611</v>
      </c>
      <c r="BO29" s="29" t="s">
        <v>1611</v>
      </c>
      <c r="BP29" s="29" t="s">
        <v>1611</v>
      </c>
      <c r="BQ29" s="29" t="s">
        <v>1611</v>
      </c>
      <c r="BR29" s="29" t="s">
        <v>1611</v>
      </c>
      <c r="BS29" s="29" t="s">
        <v>1611</v>
      </c>
      <c r="BT29" s="29" t="s">
        <v>1611</v>
      </c>
      <c r="BU29" s="29" t="s">
        <v>2360</v>
      </c>
      <c r="BV29" s="29" t="s">
        <v>3325</v>
      </c>
      <c r="BW29" s="29" t="s">
        <v>1611</v>
      </c>
      <c r="BX29" s="29" t="s">
        <v>1611</v>
      </c>
      <c r="BY29" s="29" t="s">
        <v>1611</v>
      </c>
      <c r="BZ29" s="29" t="s">
        <v>1611</v>
      </c>
      <c r="CA29" s="29" t="s">
        <v>1611</v>
      </c>
      <c r="CB29" s="29" t="s">
        <v>1611</v>
      </c>
      <c r="CC29" s="29" t="s">
        <v>1611</v>
      </c>
      <c r="CD29" s="29" t="s">
        <v>1611</v>
      </c>
      <c r="CE29" s="29" t="s">
        <v>1611</v>
      </c>
      <c r="CF29" s="29" t="s">
        <v>1611</v>
      </c>
      <c r="CG29" s="29" t="s">
        <v>1709</v>
      </c>
      <c r="CH29" s="29" t="s">
        <v>1809</v>
      </c>
      <c r="CI29" s="29" t="s">
        <v>1611</v>
      </c>
      <c r="CJ29" s="29" t="s">
        <v>1611</v>
      </c>
      <c r="CK29" s="29" t="s">
        <v>3328</v>
      </c>
      <c r="CL29" s="29" t="s">
        <v>3329</v>
      </c>
      <c r="CM29" s="29" t="s">
        <v>1611</v>
      </c>
      <c r="CN29" s="29" t="s">
        <v>1611</v>
      </c>
      <c r="CO29" s="29" t="s">
        <v>1611</v>
      </c>
      <c r="CP29" s="29" t="s">
        <v>1611</v>
      </c>
      <c r="CQ29" s="29" t="s">
        <v>1611</v>
      </c>
      <c r="CR29" s="29" t="s">
        <v>1611</v>
      </c>
      <c r="CS29" s="29" t="s">
        <v>1611</v>
      </c>
      <c r="CT29" s="29" t="s">
        <v>1611</v>
      </c>
      <c r="CU29" s="29" t="s">
        <v>1611</v>
      </c>
      <c r="CV29" s="29" t="s">
        <v>1611</v>
      </c>
      <c r="CW29" s="29"/>
      <c r="CX29" s="29"/>
      <c r="CY29" s="151"/>
      <c r="CZ29" t="s">
        <v>3261</v>
      </c>
      <c r="DA29" t="s">
        <v>3634</v>
      </c>
      <c r="DD29" s="96" t="str">
        <f t="shared" si="0"/>
        <v/>
      </c>
      <c r="DF29" s="96" t="s">
        <v>3753</v>
      </c>
    </row>
    <row r="30" spans="1:110" ht="16.5" customHeight="1" x14ac:dyDescent="0.3">
      <c r="C30" s="105">
        <v>1682164</v>
      </c>
      <c r="D30" s="27">
        <v>24</v>
      </c>
      <c r="E30" s="28" t="s">
        <v>794</v>
      </c>
      <c r="F30" s="28">
        <v>1000314559</v>
      </c>
      <c r="G30" s="29" t="s">
        <v>1586</v>
      </c>
      <c r="H30" s="28">
        <v>1682164</v>
      </c>
      <c r="I30" s="29" t="s">
        <v>821</v>
      </c>
      <c r="J30" s="28" t="s">
        <v>659</v>
      </c>
      <c r="K30" s="7"/>
      <c r="L30" s="104" t="s">
        <v>114</v>
      </c>
      <c r="M30" s="29" t="s">
        <v>2298</v>
      </c>
      <c r="N30" s="29" t="s">
        <v>2299</v>
      </c>
      <c r="O30" s="127">
        <v>3311595</v>
      </c>
      <c r="P30" s="113" t="s">
        <v>1960</v>
      </c>
      <c r="Q30" s="113" t="s">
        <v>612</v>
      </c>
      <c r="R30" s="28" t="s">
        <v>1301</v>
      </c>
      <c r="S30" s="28" t="s">
        <v>1301</v>
      </c>
      <c r="T30" s="28" t="s">
        <v>1301</v>
      </c>
      <c r="U30" s="28" t="s">
        <v>1301</v>
      </c>
      <c r="V30" s="28" t="s">
        <v>1301</v>
      </c>
      <c r="W30" s="28" t="s">
        <v>1301</v>
      </c>
      <c r="X30" s="28" t="s">
        <v>1301</v>
      </c>
      <c r="Y30" s="28" t="s">
        <v>1301</v>
      </c>
      <c r="Z30" s="28" t="s">
        <v>1301</v>
      </c>
      <c r="AA30" s="28" t="s">
        <v>1301</v>
      </c>
      <c r="AB30" s="104" t="s">
        <v>652</v>
      </c>
      <c r="AC30" s="104" t="s">
        <v>1340</v>
      </c>
      <c r="AD30" s="9" t="s">
        <v>1269</v>
      </c>
      <c r="AE30" s="39">
        <v>45965</v>
      </c>
      <c r="AF30" s="9" t="s">
        <v>1276</v>
      </c>
      <c r="AG30" s="34" t="s">
        <v>3049</v>
      </c>
      <c r="AH30" s="9"/>
      <c r="AI30" s="9"/>
      <c r="AJ30" s="9"/>
      <c r="AK30" s="45"/>
      <c r="AL30" s="149" t="s">
        <v>461</v>
      </c>
      <c r="AM30" s="45" t="s">
        <v>461</v>
      </c>
      <c r="AN30" s="45" t="s">
        <v>461</v>
      </c>
      <c r="AO30" s="45" t="s">
        <v>461</v>
      </c>
      <c r="AP30" s="45" t="s">
        <v>461</v>
      </c>
      <c r="AQ30" s="45" t="s">
        <v>461</v>
      </c>
      <c r="AR30" s="45" t="s">
        <v>461</v>
      </c>
      <c r="AS30" s="45" t="s">
        <v>461</v>
      </c>
      <c r="AT30" s="45"/>
      <c r="AU30" s="45"/>
      <c r="AV30" s="45"/>
      <c r="AW30" s="9"/>
      <c r="AX30" s="9"/>
      <c r="AY30" s="9"/>
      <c r="AZ30" s="9"/>
      <c r="BA30" s="10" t="s">
        <v>92</v>
      </c>
      <c r="BB30" s="29" t="s">
        <v>2628</v>
      </c>
      <c r="BC30" s="29" t="s">
        <v>1611</v>
      </c>
      <c r="BD30" s="29" t="s">
        <v>1611</v>
      </c>
      <c r="BE30" s="29" t="s">
        <v>1611</v>
      </c>
      <c r="BF30" s="29" t="s">
        <v>1611</v>
      </c>
      <c r="BG30" s="29" t="s">
        <v>2539</v>
      </c>
      <c r="BH30" s="29" t="s">
        <v>2540</v>
      </c>
      <c r="BI30" s="29" t="s">
        <v>2664</v>
      </c>
      <c r="BJ30" s="29" t="s">
        <v>2665</v>
      </c>
      <c r="BK30" s="29" t="s">
        <v>2666</v>
      </c>
      <c r="BL30" s="29" t="s">
        <v>2667</v>
      </c>
      <c r="BM30" s="29" t="s">
        <v>1611</v>
      </c>
      <c r="BN30" s="29" t="s">
        <v>1611</v>
      </c>
      <c r="BO30" s="29" t="s">
        <v>1611</v>
      </c>
      <c r="BP30" s="29" t="s">
        <v>1611</v>
      </c>
      <c r="BQ30" s="29" t="s">
        <v>1611</v>
      </c>
      <c r="BR30" s="29" t="s">
        <v>1611</v>
      </c>
      <c r="BS30" s="29" t="s">
        <v>1611</v>
      </c>
      <c r="BT30" s="29" t="s">
        <v>1611</v>
      </c>
      <c r="BU30" s="29" t="s">
        <v>2668</v>
      </c>
      <c r="BV30" s="29" t="s">
        <v>2669</v>
      </c>
      <c r="BW30" s="29" t="s">
        <v>1611</v>
      </c>
      <c r="BX30" s="29" t="s">
        <v>1611</v>
      </c>
      <c r="BY30" s="29" t="s">
        <v>1611</v>
      </c>
      <c r="BZ30" s="29" t="s">
        <v>1611</v>
      </c>
      <c r="CA30" s="29" t="s">
        <v>1611</v>
      </c>
      <c r="CB30" s="29" t="s">
        <v>1611</v>
      </c>
      <c r="CC30" s="29" t="s">
        <v>1611</v>
      </c>
      <c r="CD30" s="29" t="s">
        <v>1611</v>
      </c>
      <c r="CE30" s="29" t="s">
        <v>1611</v>
      </c>
      <c r="CF30" s="29" t="s">
        <v>1611</v>
      </c>
      <c r="CG30" s="29" t="s">
        <v>2670</v>
      </c>
      <c r="CH30" s="29" t="s">
        <v>2671</v>
      </c>
      <c r="CI30" s="29" t="s">
        <v>1611</v>
      </c>
      <c r="CJ30" s="29" t="s">
        <v>1611</v>
      </c>
      <c r="CK30" s="29" t="s">
        <v>2672</v>
      </c>
      <c r="CL30" s="29" t="s">
        <v>2673</v>
      </c>
      <c r="CM30" s="29" t="s">
        <v>1611</v>
      </c>
      <c r="CN30" s="29" t="s">
        <v>1611</v>
      </c>
      <c r="CO30" s="29" t="s">
        <v>1611</v>
      </c>
      <c r="CP30" s="29" t="s">
        <v>1611</v>
      </c>
      <c r="CQ30" s="29" t="s">
        <v>1611</v>
      </c>
      <c r="CR30" s="29" t="s">
        <v>1611</v>
      </c>
      <c r="CS30" s="29" t="s">
        <v>1611</v>
      </c>
      <c r="CT30" s="29" t="s">
        <v>1611</v>
      </c>
      <c r="CU30" s="29" t="s">
        <v>1611</v>
      </c>
      <c r="CV30" s="29" t="s">
        <v>1611</v>
      </c>
      <c r="CW30" s="29"/>
      <c r="CX30" s="29"/>
      <c r="CY30" s="151"/>
      <c r="CZ30" t="s">
        <v>3593</v>
      </c>
      <c r="DA30" t="s">
        <v>3634</v>
      </c>
      <c r="DD30" s="96" t="str">
        <f t="shared" si="0"/>
        <v>V</v>
      </c>
    </row>
    <row r="31" spans="1:110" ht="16.5" customHeight="1" x14ac:dyDescent="0.3">
      <c r="A31" t="s">
        <v>3873</v>
      </c>
      <c r="B31" t="s">
        <v>3778</v>
      </c>
      <c r="C31" s="105">
        <v>1659929</v>
      </c>
      <c r="D31" s="27">
        <v>25</v>
      </c>
      <c r="E31" s="28" t="s">
        <v>822</v>
      </c>
      <c r="F31" s="28">
        <v>1000326018</v>
      </c>
      <c r="G31" s="29" t="s">
        <v>1587</v>
      </c>
      <c r="H31" s="28">
        <v>1659929</v>
      </c>
      <c r="I31" s="29" t="s">
        <v>823</v>
      </c>
      <c r="J31" s="28" t="s">
        <v>429</v>
      </c>
      <c r="K31" s="7"/>
      <c r="L31" s="104" t="s">
        <v>3895</v>
      </c>
      <c r="M31" s="29" t="s">
        <v>138</v>
      </c>
      <c r="N31" s="29" t="s">
        <v>69</v>
      </c>
      <c r="O31" s="127">
        <v>15703604</v>
      </c>
      <c r="P31" s="113" t="s">
        <v>1317</v>
      </c>
      <c r="Q31" s="28" t="s">
        <v>612</v>
      </c>
      <c r="R31" s="28" t="s">
        <v>1301</v>
      </c>
      <c r="S31" s="28" t="s">
        <v>1301</v>
      </c>
      <c r="T31" s="28" t="s">
        <v>1301</v>
      </c>
      <c r="U31" s="28" t="s">
        <v>1301</v>
      </c>
      <c r="V31" s="28" t="s">
        <v>1301</v>
      </c>
      <c r="W31" s="28" t="s">
        <v>1301</v>
      </c>
      <c r="X31" s="28" t="s">
        <v>1301</v>
      </c>
      <c r="Y31" s="28" t="s">
        <v>1301</v>
      </c>
      <c r="Z31" s="28" t="s">
        <v>1301</v>
      </c>
      <c r="AA31" s="28" t="s">
        <v>1301</v>
      </c>
      <c r="AB31" s="104" t="s">
        <v>1334</v>
      </c>
      <c r="AC31" s="104" t="s">
        <v>1340</v>
      </c>
      <c r="AD31" s="9" t="s">
        <v>45</v>
      </c>
      <c r="AE31" s="9"/>
      <c r="AF31" s="9"/>
      <c r="AG31" s="34"/>
      <c r="AH31" s="9"/>
      <c r="AI31" s="9"/>
      <c r="AJ31" s="9"/>
      <c r="AK31" s="45"/>
      <c r="AL31" s="45" t="s">
        <v>3171</v>
      </c>
      <c r="AM31" s="45" t="s">
        <v>46</v>
      </c>
      <c r="AN31" s="45" t="s">
        <v>1928</v>
      </c>
      <c r="AO31" s="45" t="s">
        <v>1928</v>
      </c>
      <c r="AP31" s="45" t="s">
        <v>1928</v>
      </c>
      <c r="AQ31" s="45" t="s">
        <v>461</v>
      </c>
      <c r="AR31" s="45" t="s">
        <v>461</v>
      </c>
      <c r="AS31" s="45"/>
      <c r="AT31" s="45" t="s">
        <v>1928</v>
      </c>
      <c r="AU31" s="45" t="s">
        <v>1928</v>
      </c>
      <c r="AV31" s="45"/>
      <c r="AW31" s="9" t="s">
        <v>461</v>
      </c>
      <c r="AX31" s="9" t="s">
        <v>461</v>
      </c>
      <c r="AY31" s="9" t="s">
        <v>461</v>
      </c>
      <c r="AZ31" s="9" t="s">
        <v>461</v>
      </c>
      <c r="BA31" s="10" t="s">
        <v>2496</v>
      </c>
      <c r="BB31" s="29" t="s">
        <v>2550</v>
      </c>
      <c r="BC31" s="29" t="s">
        <v>1611</v>
      </c>
      <c r="BD31" s="29" t="s">
        <v>1611</v>
      </c>
      <c r="BE31" s="29" t="s">
        <v>2502</v>
      </c>
      <c r="BF31" s="29" t="s">
        <v>2503</v>
      </c>
      <c r="BG31" s="29" t="s">
        <v>2599</v>
      </c>
      <c r="BH31" s="29" t="s">
        <v>2600</v>
      </c>
      <c r="BI31" s="29" t="s">
        <v>139</v>
      </c>
      <c r="BJ31" s="29" t="s">
        <v>2659</v>
      </c>
      <c r="BK31" s="29" t="s">
        <v>3894</v>
      </c>
      <c r="BL31" s="29" t="s">
        <v>2674</v>
      </c>
      <c r="BM31" s="29" t="s">
        <v>1611</v>
      </c>
      <c r="BN31" s="29" t="s">
        <v>1611</v>
      </c>
      <c r="BO31" s="29" t="s">
        <v>1611</v>
      </c>
      <c r="BP31" s="29" t="s">
        <v>1611</v>
      </c>
      <c r="BQ31" s="29" t="s">
        <v>1611</v>
      </c>
      <c r="BR31" s="29" t="s">
        <v>1611</v>
      </c>
      <c r="BS31" s="29" t="s">
        <v>1611</v>
      </c>
      <c r="BT31" s="29" t="s">
        <v>1611</v>
      </c>
      <c r="BU31" s="29" t="s">
        <v>141</v>
      </c>
      <c r="BV31" s="29" t="s">
        <v>2675</v>
      </c>
      <c r="BW31" s="29" t="s">
        <v>1611</v>
      </c>
      <c r="BX31" s="29" t="s">
        <v>1611</v>
      </c>
      <c r="BY31" s="29" t="s">
        <v>1611</v>
      </c>
      <c r="BZ31" s="29" t="s">
        <v>1611</v>
      </c>
      <c r="CA31" s="29" t="s">
        <v>1611</v>
      </c>
      <c r="CB31" s="29" t="s">
        <v>1611</v>
      </c>
      <c r="CC31" s="29" t="s">
        <v>1611</v>
      </c>
      <c r="CD31" s="29" t="s">
        <v>1611</v>
      </c>
      <c r="CE31" s="29" t="s">
        <v>1611</v>
      </c>
      <c r="CF31" s="29" t="s">
        <v>1611</v>
      </c>
      <c r="CG31" s="29" t="s">
        <v>142</v>
      </c>
      <c r="CH31" s="29" t="s">
        <v>1810</v>
      </c>
      <c r="CI31" s="29" t="s">
        <v>1611</v>
      </c>
      <c r="CJ31" s="29" t="s">
        <v>1611</v>
      </c>
      <c r="CK31" s="29" t="s">
        <v>3896</v>
      </c>
      <c r="CL31" s="29" t="s">
        <v>3898</v>
      </c>
      <c r="CM31" s="29" t="s">
        <v>3897</v>
      </c>
      <c r="CN31" s="29" t="s">
        <v>3899</v>
      </c>
      <c r="CO31" s="29" t="s">
        <v>1611</v>
      </c>
      <c r="CP31" s="29" t="s">
        <v>1611</v>
      </c>
      <c r="CQ31" s="29" t="s">
        <v>1611</v>
      </c>
      <c r="CR31" s="29" t="s">
        <v>1611</v>
      </c>
      <c r="CS31" s="29" t="s">
        <v>1611</v>
      </c>
      <c r="CT31" s="29" t="s">
        <v>1611</v>
      </c>
      <c r="CU31" s="29" t="s">
        <v>1611</v>
      </c>
      <c r="CV31" s="29" t="s">
        <v>1611</v>
      </c>
      <c r="CW31" s="29"/>
      <c r="CX31" s="29"/>
      <c r="CY31" s="151"/>
      <c r="CZ31" t="s">
        <v>3262</v>
      </c>
      <c r="DA31" t="s">
        <v>3634</v>
      </c>
      <c r="DD31" s="96" t="str">
        <f t="shared" si="0"/>
        <v/>
      </c>
      <c r="DF31" s="96" t="s">
        <v>3753</v>
      </c>
    </row>
    <row r="32" spans="1:110" ht="16.5" customHeight="1" x14ac:dyDescent="0.3">
      <c r="C32" s="105">
        <v>1684186</v>
      </c>
      <c r="D32" s="27">
        <v>26</v>
      </c>
      <c r="E32" s="28" t="s">
        <v>786</v>
      </c>
      <c r="F32" s="28">
        <v>1000315539</v>
      </c>
      <c r="G32" s="29" t="s">
        <v>1588</v>
      </c>
      <c r="H32" s="28">
        <v>1684186</v>
      </c>
      <c r="I32" s="29" t="s">
        <v>825</v>
      </c>
      <c r="J32" s="28" t="s">
        <v>659</v>
      </c>
      <c r="K32" s="7"/>
      <c r="L32" s="104" t="s">
        <v>675</v>
      </c>
      <c r="M32" s="29" t="s">
        <v>633</v>
      </c>
      <c r="N32" s="29" t="s">
        <v>3533</v>
      </c>
      <c r="O32" s="127">
        <v>25626995</v>
      </c>
      <c r="P32" s="113" t="s">
        <v>1317</v>
      </c>
      <c r="Q32" s="113" t="s">
        <v>612</v>
      </c>
      <c r="R32" s="28" t="s">
        <v>1301</v>
      </c>
      <c r="S32" s="28" t="s">
        <v>1301</v>
      </c>
      <c r="T32" s="28" t="s">
        <v>1329</v>
      </c>
      <c r="U32" s="28" t="s">
        <v>612</v>
      </c>
      <c r="V32" s="28" t="s">
        <v>1301</v>
      </c>
      <c r="W32" s="28" t="s">
        <v>1301</v>
      </c>
      <c r="X32" s="28" t="s">
        <v>1301</v>
      </c>
      <c r="Y32" s="28" t="s">
        <v>1301</v>
      </c>
      <c r="Z32" s="28" t="s">
        <v>1301</v>
      </c>
      <c r="AA32" s="28" t="s">
        <v>1301</v>
      </c>
      <c r="AB32" s="104" t="s">
        <v>652</v>
      </c>
      <c r="AC32" s="104" t="s">
        <v>1340</v>
      </c>
      <c r="AD32" s="9" t="s">
        <v>1269</v>
      </c>
      <c r="AE32" s="9"/>
      <c r="AF32" s="9"/>
      <c r="AG32" s="34"/>
      <c r="AH32" s="9"/>
      <c r="AI32" s="9" t="s">
        <v>2491</v>
      </c>
      <c r="AJ32" s="9"/>
      <c r="AK32" s="45"/>
      <c r="AL32" s="9" t="s">
        <v>2491</v>
      </c>
      <c r="AM32" s="9" t="s">
        <v>46</v>
      </c>
      <c r="AN32" s="9" t="s">
        <v>46</v>
      </c>
      <c r="AO32" s="9" t="s">
        <v>46</v>
      </c>
      <c r="AP32" s="9" t="s">
        <v>46</v>
      </c>
      <c r="AQ32" s="9" t="s">
        <v>46</v>
      </c>
      <c r="AR32" s="9" t="s">
        <v>46</v>
      </c>
      <c r="AS32" s="9" t="s">
        <v>46</v>
      </c>
      <c r="AT32" s="45"/>
      <c r="AU32" s="45"/>
      <c r="AV32" s="45"/>
      <c r="AW32" s="9"/>
      <c r="AX32" s="9"/>
      <c r="AY32" s="9"/>
      <c r="AZ32" s="9"/>
      <c r="BA32" s="10" t="s">
        <v>2496</v>
      </c>
      <c r="BB32" s="29" t="s">
        <v>2550</v>
      </c>
      <c r="BC32" s="29" t="s">
        <v>1611</v>
      </c>
      <c r="BD32" s="29" t="s">
        <v>1611</v>
      </c>
      <c r="BE32" s="29" t="s">
        <v>2502</v>
      </c>
      <c r="BF32" s="29" t="s">
        <v>2503</v>
      </c>
      <c r="BG32" s="29" t="s">
        <v>2599</v>
      </c>
      <c r="BH32" s="29" t="s">
        <v>2600</v>
      </c>
      <c r="BI32" s="29" t="s">
        <v>185</v>
      </c>
      <c r="BJ32" s="29" t="s">
        <v>2621</v>
      </c>
      <c r="BK32" s="29" t="s">
        <v>575</v>
      </c>
      <c r="BL32" s="29" t="s">
        <v>2676</v>
      </c>
      <c r="BM32" s="29" t="s">
        <v>1611</v>
      </c>
      <c r="BN32" s="29" t="s">
        <v>1611</v>
      </c>
      <c r="BO32" s="29" t="s">
        <v>1611</v>
      </c>
      <c r="BP32" s="29" t="s">
        <v>1611</v>
      </c>
      <c r="BQ32" s="29" t="s">
        <v>1611</v>
      </c>
      <c r="BR32" s="29" t="s">
        <v>1611</v>
      </c>
      <c r="BS32" s="29" t="s">
        <v>1611</v>
      </c>
      <c r="BT32" s="29" t="s">
        <v>1611</v>
      </c>
      <c r="BU32" s="29" t="s">
        <v>232</v>
      </c>
      <c r="BV32" s="29" t="s">
        <v>2400</v>
      </c>
      <c r="BW32" s="29" t="s">
        <v>1611</v>
      </c>
      <c r="BX32" s="29" t="s">
        <v>1611</v>
      </c>
      <c r="BY32" s="29" t="s">
        <v>1611</v>
      </c>
      <c r="BZ32" s="29" t="s">
        <v>1611</v>
      </c>
      <c r="CA32" s="29" t="s">
        <v>1611</v>
      </c>
      <c r="CB32" s="29" t="s">
        <v>1611</v>
      </c>
      <c r="CC32" s="29" t="s">
        <v>1611</v>
      </c>
      <c r="CD32" s="29" t="s">
        <v>1611</v>
      </c>
      <c r="CE32" s="29" t="s">
        <v>1611</v>
      </c>
      <c r="CF32" s="29" t="s">
        <v>1611</v>
      </c>
      <c r="CG32" s="29" t="s">
        <v>1710</v>
      </c>
      <c r="CH32" s="29" t="s">
        <v>1811</v>
      </c>
      <c r="CI32" s="29" t="s">
        <v>1611</v>
      </c>
      <c r="CJ32" s="29" t="s">
        <v>1611</v>
      </c>
      <c r="CK32" s="29" t="s">
        <v>3534</v>
      </c>
      <c r="CL32" s="29" t="s">
        <v>3536</v>
      </c>
      <c r="CM32" s="29" t="s">
        <v>3535</v>
      </c>
      <c r="CN32" s="29" t="s">
        <v>3537</v>
      </c>
      <c r="CO32" s="29" t="s">
        <v>1611</v>
      </c>
      <c r="CP32" s="29" t="s">
        <v>1611</v>
      </c>
      <c r="CQ32" s="29" t="s">
        <v>1611</v>
      </c>
      <c r="CR32" s="29" t="s">
        <v>1611</v>
      </c>
      <c r="CS32" s="29" t="s">
        <v>1611</v>
      </c>
      <c r="CT32" s="29" t="s">
        <v>1611</v>
      </c>
      <c r="CU32" s="29" t="s">
        <v>1611</v>
      </c>
      <c r="CV32" s="29" t="s">
        <v>1611</v>
      </c>
      <c r="CW32" s="29"/>
      <c r="CX32" s="29"/>
      <c r="CY32" s="151"/>
      <c r="CZ32" t="s">
        <v>3263</v>
      </c>
      <c r="DA32" t="s">
        <v>3634</v>
      </c>
      <c r="DD32" s="96" t="str">
        <f t="shared" si="0"/>
        <v/>
      </c>
      <c r="DF32" s="96" t="s">
        <v>3753</v>
      </c>
    </row>
    <row r="33" spans="1:110" ht="16.5" customHeight="1" x14ac:dyDescent="0.3">
      <c r="C33" s="105">
        <v>1657107</v>
      </c>
      <c r="D33" s="27">
        <v>27</v>
      </c>
      <c r="E33" s="28" t="s">
        <v>784</v>
      </c>
      <c r="F33" s="28">
        <v>1000998259</v>
      </c>
      <c r="G33" s="29" t="s">
        <v>1589</v>
      </c>
      <c r="H33" s="28">
        <v>1657107</v>
      </c>
      <c r="I33" s="29" t="s">
        <v>828</v>
      </c>
      <c r="J33" s="28" t="s">
        <v>429</v>
      </c>
      <c r="K33" s="7"/>
      <c r="L33" s="104" t="s">
        <v>671</v>
      </c>
      <c r="M33" s="29" t="s">
        <v>3087</v>
      </c>
      <c r="N33" s="29" t="s">
        <v>3088</v>
      </c>
      <c r="O33" s="127">
        <v>675766</v>
      </c>
      <c r="P33" s="28" t="s">
        <v>1301</v>
      </c>
      <c r="Q33" s="28" t="s">
        <v>1301</v>
      </c>
      <c r="R33" s="28" t="s">
        <v>1301</v>
      </c>
      <c r="S33" s="28" t="s">
        <v>1301</v>
      </c>
      <c r="T33" s="28" t="s">
        <v>1329</v>
      </c>
      <c r="U33" s="28" t="s">
        <v>612</v>
      </c>
      <c r="V33" s="28" t="s">
        <v>1301</v>
      </c>
      <c r="W33" s="28" t="s">
        <v>1301</v>
      </c>
      <c r="X33" s="28" t="s">
        <v>1301</v>
      </c>
      <c r="Y33" s="28" t="s">
        <v>1301</v>
      </c>
      <c r="Z33" s="28" t="s">
        <v>1301</v>
      </c>
      <c r="AA33" s="28" t="s">
        <v>1301</v>
      </c>
      <c r="AB33" s="104" t="s">
        <v>1544</v>
      </c>
      <c r="AC33" s="104" t="s">
        <v>645</v>
      </c>
      <c r="AD33" s="9" t="s">
        <v>1269</v>
      </c>
      <c r="AE33" s="9"/>
      <c r="AF33" s="9"/>
      <c r="AG33" s="34"/>
      <c r="AH33" s="9"/>
      <c r="AI33" s="9"/>
      <c r="AJ33" s="9"/>
      <c r="AK33" s="45"/>
      <c r="AL33" s="45" t="s">
        <v>2278</v>
      </c>
      <c r="AM33" s="45" t="s">
        <v>461</v>
      </c>
      <c r="AN33" s="45" t="s">
        <v>461</v>
      </c>
      <c r="AO33" s="45" t="s">
        <v>461</v>
      </c>
      <c r="AP33" s="45" t="s">
        <v>461</v>
      </c>
      <c r="AQ33" s="45" t="s">
        <v>461</v>
      </c>
      <c r="AR33" s="45" t="s">
        <v>461</v>
      </c>
      <c r="AS33" s="45"/>
      <c r="AT33" s="45"/>
      <c r="AU33" s="45"/>
      <c r="AV33" s="45"/>
      <c r="AW33" s="45" t="s">
        <v>461</v>
      </c>
      <c r="AX33" s="45" t="s">
        <v>461</v>
      </c>
      <c r="AY33" s="45" t="s">
        <v>461</v>
      </c>
      <c r="AZ33" s="9" t="s">
        <v>461</v>
      </c>
      <c r="BA33" s="10" t="s">
        <v>2496</v>
      </c>
      <c r="BB33" s="29" t="s">
        <v>2550</v>
      </c>
      <c r="BC33" s="29" t="s">
        <v>1611</v>
      </c>
      <c r="BD33" s="29" t="s">
        <v>1611</v>
      </c>
      <c r="BE33" s="29" t="s">
        <v>1611</v>
      </c>
      <c r="BF33" s="29" t="s">
        <v>1611</v>
      </c>
      <c r="BG33" s="29" t="s">
        <v>2650</v>
      </c>
      <c r="BH33" s="29" t="s">
        <v>2651</v>
      </c>
      <c r="BI33" s="29" t="s">
        <v>174</v>
      </c>
      <c r="BJ33" s="29" t="s">
        <v>2531</v>
      </c>
      <c r="BK33" s="29" t="s">
        <v>409</v>
      </c>
      <c r="BL33" s="29" t="s">
        <v>2640</v>
      </c>
      <c r="BM33" s="29" t="s">
        <v>1611</v>
      </c>
      <c r="BN33" s="29" t="s">
        <v>1611</v>
      </c>
      <c r="BO33" s="29" t="s">
        <v>1611</v>
      </c>
      <c r="BP33" s="29" t="s">
        <v>1611</v>
      </c>
      <c r="BQ33" s="29" t="s">
        <v>1611</v>
      </c>
      <c r="BR33" s="29" t="s">
        <v>1611</v>
      </c>
      <c r="BS33" s="29" t="s">
        <v>1611</v>
      </c>
      <c r="BT33" s="29" t="s">
        <v>1611</v>
      </c>
      <c r="BU33" s="29" t="s">
        <v>218</v>
      </c>
      <c r="BV33" s="29" t="s">
        <v>2677</v>
      </c>
      <c r="BW33" s="29" t="s">
        <v>1611</v>
      </c>
      <c r="BX33" s="29" t="s">
        <v>1611</v>
      </c>
      <c r="BY33" s="29" t="s">
        <v>1611</v>
      </c>
      <c r="BZ33" s="29" t="s">
        <v>1611</v>
      </c>
      <c r="CA33" s="29" t="s">
        <v>1611</v>
      </c>
      <c r="CB33" s="29" t="s">
        <v>1611</v>
      </c>
      <c r="CC33" s="29" t="s">
        <v>1611</v>
      </c>
      <c r="CD33" s="29" t="s">
        <v>1611</v>
      </c>
      <c r="CE33" s="29" t="s">
        <v>1611</v>
      </c>
      <c r="CF33" s="29" t="s">
        <v>1611</v>
      </c>
      <c r="CG33" s="29" t="s">
        <v>1711</v>
      </c>
      <c r="CH33" s="29" t="s">
        <v>1812</v>
      </c>
      <c r="CI33" s="29" t="s">
        <v>1611</v>
      </c>
      <c r="CJ33" s="29" t="s">
        <v>1611</v>
      </c>
      <c r="CK33" s="29" t="s">
        <v>3085</v>
      </c>
      <c r="CL33" s="29" t="s">
        <v>3086</v>
      </c>
      <c r="CM33" s="29" t="s">
        <v>1611</v>
      </c>
      <c r="CN33" s="29" t="s">
        <v>1611</v>
      </c>
      <c r="CO33" s="29" t="s">
        <v>1611</v>
      </c>
      <c r="CP33" s="29" t="s">
        <v>1611</v>
      </c>
      <c r="CQ33" s="29" t="s">
        <v>1611</v>
      </c>
      <c r="CR33" s="29" t="s">
        <v>1611</v>
      </c>
      <c r="CS33" s="29" t="s">
        <v>1611</v>
      </c>
      <c r="CT33" s="29" t="s">
        <v>1611</v>
      </c>
      <c r="CU33" s="29" t="s">
        <v>1611</v>
      </c>
      <c r="CV33" s="29" t="s">
        <v>1611</v>
      </c>
      <c r="CW33" s="29"/>
      <c r="CX33" s="29"/>
      <c r="CY33" s="151"/>
      <c r="CZ33" t="s">
        <v>3264</v>
      </c>
      <c r="DA33" t="s">
        <v>3634</v>
      </c>
      <c r="DD33" s="96" t="str">
        <f t="shared" si="0"/>
        <v/>
      </c>
      <c r="DF33" s="96" t="s">
        <v>3753</v>
      </c>
    </row>
    <row r="34" spans="1:110" ht="16.5" customHeight="1" x14ac:dyDescent="0.3">
      <c r="C34" s="105">
        <v>1660170</v>
      </c>
      <c r="D34" s="27">
        <v>28</v>
      </c>
      <c r="E34" s="28" t="s">
        <v>829</v>
      </c>
      <c r="F34" s="28">
        <v>1000315188</v>
      </c>
      <c r="G34" s="29" t="s">
        <v>1590</v>
      </c>
      <c r="H34" s="28">
        <v>1660170</v>
      </c>
      <c r="I34" s="29" t="s">
        <v>830</v>
      </c>
      <c r="J34" s="28" t="s">
        <v>429</v>
      </c>
      <c r="K34" s="7"/>
      <c r="L34" s="104" t="s">
        <v>676</v>
      </c>
      <c r="M34" s="29" t="s">
        <v>3039</v>
      </c>
      <c r="N34" s="29" t="s">
        <v>3038</v>
      </c>
      <c r="O34" s="127">
        <v>1099438</v>
      </c>
      <c r="P34" s="113" t="s">
        <v>3041</v>
      </c>
      <c r="Q34" s="28" t="s">
        <v>612</v>
      </c>
      <c r="R34" s="28" t="s">
        <v>1329</v>
      </c>
      <c r="S34" s="28" t="s">
        <v>612</v>
      </c>
      <c r="T34" s="28" t="s">
        <v>1301</v>
      </c>
      <c r="U34" s="28" t="s">
        <v>1301</v>
      </c>
      <c r="V34" s="28" t="s">
        <v>1301</v>
      </c>
      <c r="W34" s="28" t="s">
        <v>1301</v>
      </c>
      <c r="X34" s="28" t="s">
        <v>1301</v>
      </c>
      <c r="Y34" s="28" t="s">
        <v>1301</v>
      </c>
      <c r="Z34" s="28" t="s">
        <v>1301</v>
      </c>
      <c r="AA34" s="28" t="s">
        <v>1301</v>
      </c>
      <c r="AB34" s="104" t="s">
        <v>1544</v>
      </c>
      <c r="AC34" s="104" t="s">
        <v>645</v>
      </c>
      <c r="AD34" s="9" t="s">
        <v>45</v>
      </c>
      <c r="AE34" s="9"/>
      <c r="AF34" s="9"/>
      <c r="AG34" s="34"/>
      <c r="AH34" s="9"/>
      <c r="AI34" s="9" t="s">
        <v>461</v>
      </c>
      <c r="AJ34" s="9"/>
      <c r="AK34" s="45"/>
      <c r="AL34" s="45" t="s">
        <v>461</v>
      </c>
      <c r="AM34" s="45" t="s">
        <v>461</v>
      </c>
      <c r="AN34" s="45" t="s">
        <v>461</v>
      </c>
      <c r="AO34" s="45" t="s">
        <v>461</v>
      </c>
      <c r="AP34" s="45" t="s">
        <v>461</v>
      </c>
      <c r="AQ34" s="45" t="s">
        <v>461</v>
      </c>
      <c r="AR34" s="45" t="s">
        <v>461</v>
      </c>
      <c r="AS34" s="45" t="s">
        <v>461</v>
      </c>
      <c r="AT34" s="45"/>
      <c r="AU34" s="45"/>
      <c r="AV34" s="45"/>
      <c r="AW34" s="45" t="s">
        <v>461</v>
      </c>
      <c r="AX34" s="45" t="s">
        <v>461</v>
      </c>
      <c r="AY34" s="45" t="s">
        <v>461</v>
      </c>
      <c r="AZ34" s="9" t="s">
        <v>461</v>
      </c>
      <c r="BA34" s="10" t="s">
        <v>70</v>
      </c>
      <c r="BB34" s="29" t="s">
        <v>2616</v>
      </c>
      <c r="BC34" s="29" t="s">
        <v>1611</v>
      </c>
      <c r="BD34" s="29" t="s">
        <v>1611</v>
      </c>
      <c r="BE34" s="29" t="s">
        <v>2502</v>
      </c>
      <c r="BF34" s="29" t="s">
        <v>2503</v>
      </c>
      <c r="BG34" s="29" t="s">
        <v>2650</v>
      </c>
      <c r="BH34" s="29" t="s">
        <v>2651</v>
      </c>
      <c r="BI34" s="29" t="s">
        <v>148</v>
      </c>
      <c r="BJ34" s="29" t="s">
        <v>2678</v>
      </c>
      <c r="BK34" s="29" t="s">
        <v>149</v>
      </c>
      <c r="BL34" s="29" t="s">
        <v>2679</v>
      </c>
      <c r="BM34" s="29" t="s">
        <v>1611</v>
      </c>
      <c r="BN34" s="29" t="s">
        <v>1611</v>
      </c>
      <c r="BO34" s="29" t="s">
        <v>1611</v>
      </c>
      <c r="BP34" s="29" t="s">
        <v>1611</v>
      </c>
      <c r="BQ34" s="29" t="s">
        <v>1611</v>
      </c>
      <c r="BR34" s="29" t="s">
        <v>1611</v>
      </c>
      <c r="BS34" s="29" t="s">
        <v>1611</v>
      </c>
      <c r="BT34" s="29" t="s">
        <v>1611</v>
      </c>
      <c r="BU34" s="29" t="s">
        <v>150</v>
      </c>
      <c r="BV34" s="29" t="s">
        <v>3584</v>
      </c>
      <c r="BW34" s="29" t="s">
        <v>1611</v>
      </c>
      <c r="BX34" s="29" t="s">
        <v>1611</v>
      </c>
      <c r="BY34" s="29" t="s">
        <v>1611</v>
      </c>
      <c r="BZ34" s="29" t="s">
        <v>1611</v>
      </c>
      <c r="CA34" s="29" t="s">
        <v>1611</v>
      </c>
      <c r="CB34" s="29" t="s">
        <v>1611</v>
      </c>
      <c r="CC34" s="29" t="s">
        <v>1611</v>
      </c>
      <c r="CD34" s="29" t="s">
        <v>1611</v>
      </c>
      <c r="CE34" s="29" t="s">
        <v>1611</v>
      </c>
      <c r="CF34" s="29" t="s">
        <v>1611</v>
      </c>
      <c r="CG34" s="29" t="s">
        <v>151</v>
      </c>
      <c r="CH34" s="219" t="s">
        <v>3046</v>
      </c>
      <c r="CI34" s="29" t="s">
        <v>1611</v>
      </c>
      <c r="CJ34" s="29" t="s">
        <v>1611</v>
      </c>
      <c r="CK34" s="29" t="s">
        <v>3042</v>
      </c>
      <c r="CL34" s="29" t="s">
        <v>3043</v>
      </c>
      <c r="CM34" s="29" t="s">
        <v>3045</v>
      </c>
      <c r="CN34" s="29" t="s">
        <v>3044</v>
      </c>
      <c r="CO34" s="29" t="s">
        <v>1611</v>
      </c>
      <c r="CP34" s="29" t="s">
        <v>1611</v>
      </c>
      <c r="CQ34" s="29" t="s">
        <v>1611</v>
      </c>
      <c r="CR34" s="29" t="s">
        <v>1611</v>
      </c>
      <c r="CS34" s="29" t="s">
        <v>1611</v>
      </c>
      <c r="CT34" s="29" t="s">
        <v>1611</v>
      </c>
      <c r="CU34" s="29" t="s">
        <v>1611</v>
      </c>
      <c r="CV34" s="29" t="s">
        <v>1611</v>
      </c>
      <c r="CW34" s="29"/>
      <c r="CX34" s="29"/>
      <c r="CY34" s="151"/>
      <c r="CZ34" t="s">
        <v>3595</v>
      </c>
      <c r="DA34" t="s">
        <v>3634</v>
      </c>
      <c r="DD34" s="96" t="str">
        <f t="shared" si="0"/>
        <v/>
      </c>
      <c r="DF34" s="96" t="s">
        <v>3753</v>
      </c>
    </row>
    <row r="35" spans="1:110" ht="16.5" customHeight="1" x14ac:dyDescent="0.3">
      <c r="A35" t="s">
        <v>3798</v>
      </c>
      <c r="B35" t="s">
        <v>3778</v>
      </c>
      <c r="C35" s="105">
        <v>1660760</v>
      </c>
      <c r="D35" s="27">
        <v>29</v>
      </c>
      <c r="E35" s="28" t="s">
        <v>786</v>
      </c>
      <c r="F35" s="28">
        <v>1000325863</v>
      </c>
      <c r="G35" s="29" t="s">
        <v>229</v>
      </c>
      <c r="H35" s="28">
        <v>1660760</v>
      </c>
      <c r="I35" s="29" t="s">
        <v>831</v>
      </c>
      <c r="J35" s="28" t="s">
        <v>429</v>
      </c>
      <c r="K35" s="7"/>
      <c r="L35" s="104" t="s">
        <v>677</v>
      </c>
      <c r="M35" s="29" t="s">
        <v>1954</v>
      </c>
      <c r="N35" s="29" t="s">
        <v>1955</v>
      </c>
      <c r="O35" s="127">
        <v>5795399</v>
      </c>
      <c r="P35" s="113" t="s">
        <v>1317</v>
      </c>
      <c r="Q35" s="28" t="s">
        <v>1956</v>
      </c>
      <c r="R35" s="28" t="s">
        <v>1301</v>
      </c>
      <c r="S35" s="28" t="s">
        <v>1301</v>
      </c>
      <c r="T35" s="28" t="s">
        <v>1329</v>
      </c>
      <c r="U35" s="28" t="s">
        <v>612</v>
      </c>
      <c r="V35" s="28" t="s">
        <v>1301</v>
      </c>
      <c r="W35" s="28" t="s">
        <v>1301</v>
      </c>
      <c r="X35" s="28" t="s">
        <v>1301</v>
      </c>
      <c r="Y35" s="28" t="s">
        <v>1301</v>
      </c>
      <c r="Z35" s="28" t="s">
        <v>1301</v>
      </c>
      <c r="AA35" s="28" t="s">
        <v>1301</v>
      </c>
      <c r="AB35" s="104" t="s">
        <v>1334</v>
      </c>
      <c r="AC35" s="104" t="s">
        <v>1547</v>
      </c>
      <c r="AD35" s="9" t="s">
        <v>45</v>
      </c>
      <c r="AE35" s="9"/>
      <c r="AF35" s="9"/>
      <c r="AG35" s="34"/>
      <c r="AH35" s="9"/>
      <c r="AI35" s="9" t="s">
        <v>461</v>
      </c>
      <c r="AJ35" s="9"/>
      <c r="AK35" s="45"/>
      <c r="AL35" s="45" t="s">
        <v>2278</v>
      </c>
      <c r="AM35" s="45" t="s">
        <v>461</v>
      </c>
      <c r="AN35" s="45" t="s">
        <v>461</v>
      </c>
      <c r="AO35" s="45" t="s">
        <v>461</v>
      </c>
      <c r="AP35" s="45" t="s">
        <v>461</v>
      </c>
      <c r="AQ35" s="45" t="s">
        <v>461</v>
      </c>
      <c r="AR35" s="45" t="s">
        <v>461</v>
      </c>
      <c r="AS35" s="45" t="s">
        <v>461</v>
      </c>
      <c r="AT35" s="45"/>
      <c r="AU35" s="45"/>
      <c r="AV35" s="45"/>
      <c r="AW35" s="45" t="s">
        <v>461</v>
      </c>
      <c r="AX35" s="45" t="s">
        <v>461</v>
      </c>
      <c r="AY35" s="45" t="s">
        <v>461</v>
      </c>
      <c r="AZ35" s="45" t="s">
        <v>461</v>
      </c>
      <c r="BA35" s="10" t="s">
        <v>70</v>
      </c>
      <c r="BB35" s="29" t="s">
        <v>2616</v>
      </c>
      <c r="BC35" s="29" t="s">
        <v>1611</v>
      </c>
      <c r="BD35" s="29" t="s">
        <v>1611</v>
      </c>
      <c r="BE35" s="29" t="s">
        <v>2502</v>
      </c>
      <c r="BF35" s="29" t="s">
        <v>2503</v>
      </c>
      <c r="BG35" s="29" t="s">
        <v>2539</v>
      </c>
      <c r="BH35" s="29" t="s">
        <v>2540</v>
      </c>
      <c r="BI35" s="29" t="s">
        <v>230</v>
      </c>
      <c r="BJ35" s="29" t="s">
        <v>2681</v>
      </c>
      <c r="BK35" s="29" t="s">
        <v>231</v>
      </c>
      <c r="BL35" s="29" t="s">
        <v>2682</v>
      </c>
      <c r="BM35" s="29" t="s">
        <v>1611</v>
      </c>
      <c r="BN35" s="29" t="s">
        <v>1611</v>
      </c>
      <c r="BO35" s="29" t="s">
        <v>1611</v>
      </c>
      <c r="BP35" s="29" t="s">
        <v>1611</v>
      </c>
      <c r="BQ35" s="29" t="s">
        <v>1611</v>
      </c>
      <c r="BR35" s="29" t="s">
        <v>1611</v>
      </c>
      <c r="BS35" s="29" t="s">
        <v>1611</v>
      </c>
      <c r="BT35" s="29" t="s">
        <v>1611</v>
      </c>
      <c r="BU35" s="29" t="s">
        <v>232</v>
      </c>
      <c r="BV35" s="29" t="s">
        <v>2400</v>
      </c>
      <c r="BW35" s="29" t="s">
        <v>1611</v>
      </c>
      <c r="BX35" s="29" t="s">
        <v>1611</v>
      </c>
      <c r="BY35" s="29" t="s">
        <v>1611</v>
      </c>
      <c r="BZ35" s="29" t="s">
        <v>1611</v>
      </c>
      <c r="CA35" s="29" t="s">
        <v>1611</v>
      </c>
      <c r="CB35" s="29" t="s">
        <v>1611</v>
      </c>
      <c r="CC35" s="29" t="s">
        <v>1611</v>
      </c>
      <c r="CD35" s="29" t="s">
        <v>1611</v>
      </c>
      <c r="CE35" s="29" t="s">
        <v>1611</v>
      </c>
      <c r="CF35" s="29" t="s">
        <v>1611</v>
      </c>
      <c r="CG35" s="29" t="s">
        <v>233</v>
      </c>
      <c r="CH35" s="29" t="s">
        <v>1813</v>
      </c>
      <c r="CI35" s="29" t="s">
        <v>1611</v>
      </c>
      <c r="CJ35" s="29" t="s">
        <v>1611</v>
      </c>
      <c r="CK35" s="29" t="s">
        <v>2683</v>
      </c>
      <c r="CL35" s="29" t="s">
        <v>2684</v>
      </c>
      <c r="CM35" s="29" t="s">
        <v>1611</v>
      </c>
      <c r="CN35" s="29" t="s">
        <v>1611</v>
      </c>
      <c r="CO35" s="29" t="s">
        <v>1611</v>
      </c>
      <c r="CP35" s="29" t="s">
        <v>1611</v>
      </c>
      <c r="CQ35" s="29" t="s">
        <v>1611</v>
      </c>
      <c r="CR35" s="29" t="s">
        <v>1611</v>
      </c>
      <c r="CS35" s="29" t="s">
        <v>1611</v>
      </c>
      <c r="CT35" s="29" t="s">
        <v>1611</v>
      </c>
      <c r="CU35" s="29" t="s">
        <v>1611</v>
      </c>
      <c r="CV35" s="29" t="s">
        <v>1611</v>
      </c>
      <c r="CW35" s="29"/>
      <c r="CX35" s="29"/>
      <c r="CY35" s="151"/>
      <c r="CZ35" t="s">
        <v>2065</v>
      </c>
      <c r="DA35" t="s">
        <v>3634</v>
      </c>
      <c r="DD35" s="96" t="str">
        <f t="shared" si="0"/>
        <v/>
      </c>
      <c r="DF35" s="96" t="s">
        <v>3753</v>
      </c>
    </row>
    <row r="36" spans="1:110" ht="16.5" customHeight="1" x14ac:dyDescent="0.3">
      <c r="A36" t="s">
        <v>3798</v>
      </c>
      <c r="B36" t="s">
        <v>3778</v>
      </c>
      <c r="C36" s="105">
        <v>1669115</v>
      </c>
      <c r="D36" s="27">
        <v>30</v>
      </c>
      <c r="E36" s="28" t="s">
        <v>822</v>
      </c>
      <c r="F36" s="28">
        <v>1000317405</v>
      </c>
      <c r="G36" s="29" t="s">
        <v>190</v>
      </c>
      <c r="H36" s="28">
        <v>1669115</v>
      </c>
      <c r="I36" s="29" t="s">
        <v>833</v>
      </c>
      <c r="J36" s="28" t="s">
        <v>429</v>
      </c>
      <c r="K36" s="7"/>
      <c r="L36" s="104" t="s">
        <v>3835</v>
      </c>
      <c r="M36" s="29" t="s">
        <v>3839</v>
      </c>
      <c r="N36" s="29" t="s">
        <v>3834</v>
      </c>
      <c r="O36" s="127">
        <v>6016089</v>
      </c>
      <c r="P36" s="113" t="s">
        <v>1960</v>
      </c>
      <c r="Q36" s="28" t="s">
        <v>3801</v>
      </c>
      <c r="R36" s="28" t="s">
        <v>1301</v>
      </c>
      <c r="S36" s="28" t="s">
        <v>1301</v>
      </c>
      <c r="T36" s="28" t="s">
        <v>1329</v>
      </c>
      <c r="U36" s="28" t="s">
        <v>612</v>
      </c>
      <c r="V36" s="28" t="s">
        <v>1301</v>
      </c>
      <c r="W36" s="28" t="s">
        <v>1301</v>
      </c>
      <c r="X36" s="28" t="s">
        <v>1301</v>
      </c>
      <c r="Y36" s="28" t="s">
        <v>1301</v>
      </c>
      <c r="Z36" s="28" t="s">
        <v>1301</v>
      </c>
      <c r="AA36" s="28" t="s">
        <v>1301</v>
      </c>
      <c r="AB36" s="104" t="s">
        <v>1334</v>
      </c>
      <c r="AC36" s="104" t="s">
        <v>1307</v>
      </c>
      <c r="AD36" s="9" t="s">
        <v>45</v>
      </c>
      <c r="AE36" s="9"/>
      <c r="AF36" s="9"/>
      <c r="AG36" s="34"/>
      <c r="AH36" s="9"/>
      <c r="AI36" s="9" t="s">
        <v>2491</v>
      </c>
      <c r="AJ36" s="9"/>
      <c r="AK36" s="45"/>
      <c r="AL36" s="9" t="s">
        <v>2491</v>
      </c>
      <c r="AM36" s="9" t="s">
        <v>46</v>
      </c>
      <c r="AN36" s="9" t="s">
        <v>46</v>
      </c>
      <c r="AO36" s="9" t="s">
        <v>46</v>
      </c>
      <c r="AP36" s="9" t="s">
        <v>46</v>
      </c>
      <c r="AQ36" s="9" t="s">
        <v>46</v>
      </c>
      <c r="AR36" s="9" t="s">
        <v>46</v>
      </c>
      <c r="AS36" s="45"/>
      <c r="AT36" s="45"/>
      <c r="AU36" s="45"/>
      <c r="AV36" s="45"/>
      <c r="AW36" s="9" t="s">
        <v>46</v>
      </c>
      <c r="AX36" s="9" t="s">
        <v>46</v>
      </c>
      <c r="AY36" s="9" t="s">
        <v>46</v>
      </c>
      <c r="AZ36" s="9" t="s">
        <v>46</v>
      </c>
      <c r="BA36" s="10" t="s">
        <v>79</v>
      </c>
      <c r="BB36" s="29" t="s">
        <v>2612</v>
      </c>
      <c r="BC36" s="29" t="s">
        <v>1611</v>
      </c>
      <c r="BD36" s="29" t="s">
        <v>1611</v>
      </c>
      <c r="BE36" s="29" t="s">
        <v>1611</v>
      </c>
      <c r="BF36" s="29" t="s">
        <v>1611</v>
      </c>
      <c r="BG36" s="29" t="s">
        <v>2660</v>
      </c>
      <c r="BH36" s="29" t="s">
        <v>2661</v>
      </c>
      <c r="BI36" s="29" t="s">
        <v>191</v>
      </c>
      <c r="BJ36" s="29" t="s">
        <v>2685</v>
      </c>
      <c r="BK36" s="29" t="s">
        <v>2686</v>
      </c>
      <c r="BL36" s="29" t="s">
        <v>2687</v>
      </c>
      <c r="BM36" s="29" t="s">
        <v>1611</v>
      </c>
      <c r="BN36" s="29" t="s">
        <v>1611</v>
      </c>
      <c r="BO36" s="29" t="s">
        <v>1611</v>
      </c>
      <c r="BP36" s="29" t="s">
        <v>1611</v>
      </c>
      <c r="BQ36" s="29" t="s">
        <v>1611</v>
      </c>
      <c r="BR36" s="29" t="s">
        <v>1611</v>
      </c>
      <c r="BS36" s="29" t="s">
        <v>1611</v>
      </c>
      <c r="BT36" s="29" t="s">
        <v>1611</v>
      </c>
      <c r="BU36" s="29" t="s">
        <v>193</v>
      </c>
      <c r="BV36" s="29" t="s">
        <v>2401</v>
      </c>
      <c r="BW36" s="29" t="s">
        <v>1611</v>
      </c>
      <c r="BX36" s="29" t="s">
        <v>1611</v>
      </c>
      <c r="BY36" s="29" t="s">
        <v>1611</v>
      </c>
      <c r="BZ36" s="29" t="s">
        <v>1611</v>
      </c>
      <c r="CA36" s="29" t="s">
        <v>1611</v>
      </c>
      <c r="CB36" s="29" t="s">
        <v>1611</v>
      </c>
      <c r="CC36" s="29" t="s">
        <v>1611</v>
      </c>
      <c r="CD36" s="29" t="s">
        <v>1611</v>
      </c>
      <c r="CE36" s="29" t="s">
        <v>1611</v>
      </c>
      <c r="CF36" s="29" t="s">
        <v>1611</v>
      </c>
      <c r="CG36" s="29" t="s">
        <v>194</v>
      </c>
      <c r="CH36" s="29" t="s">
        <v>1814</v>
      </c>
      <c r="CI36" s="29" t="s">
        <v>1611</v>
      </c>
      <c r="CJ36" s="29" t="s">
        <v>1611</v>
      </c>
      <c r="CK36" s="29" t="s">
        <v>3830</v>
      </c>
      <c r="CL36" s="29" t="s">
        <v>3832</v>
      </c>
      <c r="CM36" s="29" t="s">
        <v>3831</v>
      </c>
      <c r="CN36" s="29" t="s">
        <v>3833</v>
      </c>
      <c r="CO36" s="29" t="s">
        <v>1611</v>
      </c>
      <c r="CP36" s="29" t="s">
        <v>1611</v>
      </c>
      <c r="CQ36" s="29" t="s">
        <v>1611</v>
      </c>
      <c r="CR36" s="29" t="s">
        <v>1611</v>
      </c>
      <c r="CS36" s="29" t="s">
        <v>1611</v>
      </c>
      <c r="CT36" s="29" t="s">
        <v>1611</v>
      </c>
      <c r="CU36" s="29" t="s">
        <v>1611</v>
      </c>
      <c r="CV36" s="29" t="s">
        <v>1611</v>
      </c>
      <c r="CW36" s="29"/>
      <c r="CX36" s="29"/>
      <c r="CY36" s="151"/>
      <c r="CZ36" t="s">
        <v>3596</v>
      </c>
      <c r="DA36" t="s">
        <v>3634</v>
      </c>
      <c r="DD36" s="96" t="str">
        <f t="shared" si="0"/>
        <v/>
      </c>
      <c r="DF36" s="96" t="s">
        <v>3753</v>
      </c>
    </row>
    <row r="37" spans="1:110" ht="16.5" customHeight="1" x14ac:dyDescent="0.3">
      <c r="C37" s="105">
        <v>1664821</v>
      </c>
      <c r="D37" s="27">
        <v>31</v>
      </c>
      <c r="E37" s="28" t="s">
        <v>786</v>
      </c>
      <c r="F37" s="28">
        <v>1000325221</v>
      </c>
      <c r="G37" s="29" t="s">
        <v>1591</v>
      </c>
      <c r="H37" s="28">
        <v>1664821</v>
      </c>
      <c r="I37" s="29" t="s">
        <v>836</v>
      </c>
      <c r="J37" s="28" t="s">
        <v>429</v>
      </c>
      <c r="K37" s="7"/>
      <c r="L37" s="104" t="s">
        <v>678</v>
      </c>
      <c r="M37" s="29"/>
      <c r="N37" s="29"/>
      <c r="O37" s="127"/>
      <c r="P37" s="28"/>
      <c r="Q37" s="28"/>
      <c r="R37" s="28"/>
      <c r="S37" s="28"/>
      <c r="T37" s="28"/>
      <c r="U37" s="28"/>
      <c r="V37" s="28"/>
      <c r="W37" s="28"/>
      <c r="X37" s="28"/>
      <c r="Y37" s="28"/>
      <c r="Z37" s="28"/>
      <c r="AA37" s="28"/>
      <c r="AB37" s="104" t="s">
        <v>663</v>
      </c>
      <c r="AC37" s="104" t="s">
        <v>1340</v>
      </c>
      <c r="AD37" s="9" t="s">
        <v>1269</v>
      </c>
      <c r="AE37" s="39">
        <v>45958</v>
      </c>
      <c r="AF37" s="9" t="s">
        <v>1276</v>
      </c>
      <c r="AG37" s="34" t="s">
        <v>2350</v>
      </c>
      <c r="AH37" s="9"/>
      <c r="AI37" s="9"/>
      <c r="AJ37" s="9"/>
      <c r="AK37" s="45"/>
      <c r="AL37" s="45" t="s">
        <v>2278</v>
      </c>
      <c r="AM37" s="45" t="s">
        <v>461</v>
      </c>
      <c r="AN37" s="45" t="s">
        <v>461</v>
      </c>
      <c r="AO37" s="45" t="s">
        <v>461</v>
      </c>
      <c r="AP37" s="45" t="s">
        <v>461</v>
      </c>
      <c r="AQ37" s="45"/>
      <c r="AR37" s="45"/>
      <c r="AS37" s="45"/>
      <c r="AT37" s="45"/>
      <c r="AU37" s="45"/>
      <c r="AV37" s="45"/>
      <c r="AW37" s="9"/>
      <c r="AX37" s="9"/>
      <c r="AY37" s="9"/>
      <c r="AZ37" s="9"/>
      <c r="BA37" s="10" t="s">
        <v>100</v>
      </c>
      <c r="BB37" s="29" t="s">
        <v>2513</v>
      </c>
      <c r="BC37" s="29" t="s">
        <v>1611</v>
      </c>
      <c r="BD37" s="29" t="s">
        <v>1611</v>
      </c>
      <c r="BE37" s="29" t="s">
        <v>2502</v>
      </c>
      <c r="BF37" s="29" t="s">
        <v>2503</v>
      </c>
      <c r="BG37" s="29" t="s">
        <v>1762</v>
      </c>
      <c r="BH37" s="29" t="s">
        <v>2504</v>
      </c>
      <c r="BI37" s="29" t="s">
        <v>80</v>
      </c>
      <c r="BJ37" s="29" t="s">
        <v>2688</v>
      </c>
      <c r="BK37" s="29" t="s">
        <v>129</v>
      </c>
      <c r="BL37" s="29" t="s">
        <v>2652</v>
      </c>
      <c r="BM37" s="29" t="s">
        <v>1611</v>
      </c>
      <c r="BN37" s="29" t="s">
        <v>1611</v>
      </c>
      <c r="BO37" s="29" t="s">
        <v>1611</v>
      </c>
      <c r="BP37" s="29" t="s">
        <v>1611</v>
      </c>
      <c r="BQ37" s="29" t="s">
        <v>1611</v>
      </c>
      <c r="BR37" s="29" t="s">
        <v>1611</v>
      </c>
      <c r="BS37" s="29" t="s">
        <v>1611</v>
      </c>
      <c r="BT37" s="29" t="s">
        <v>1611</v>
      </c>
      <c r="BU37" s="29" t="s">
        <v>440</v>
      </c>
      <c r="BV37" s="29" t="s">
        <v>2689</v>
      </c>
      <c r="BW37" s="29" t="s">
        <v>1611</v>
      </c>
      <c r="BX37" s="29" t="s">
        <v>1611</v>
      </c>
      <c r="BY37" s="29" t="s">
        <v>1611</v>
      </c>
      <c r="BZ37" s="29" t="s">
        <v>1611</v>
      </c>
      <c r="CA37" s="29" t="s">
        <v>1611</v>
      </c>
      <c r="CB37" s="29" t="s">
        <v>1611</v>
      </c>
      <c r="CC37" s="29" t="s">
        <v>1611</v>
      </c>
      <c r="CD37" s="29" t="s">
        <v>1611</v>
      </c>
      <c r="CE37" s="29" t="s">
        <v>1611</v>
      </c>
      <c r="CF37" s="29" t="s">
        <v>1611</v>
      </c>
      <c r="CG37" s="29" t="s">
        <v>210</v>
      </c>
      <c r="CH37" s="29" t="s">
        <v>1815</v>
      </c>
      <c r="CI37" s="29" t="s">
        <v>1611</v>
      </c>
      <c r="CJ37" s="29" t="s">
        <v>1611</v>
      </c>
      <c r="CK37" s="29" t="s">
        <v>1611</v>
      </c>
      <c r="CL37" s="29" t="s">
        <v>1611</v>
      </c>
      <c r="CM37" s="29" t="s">
        <v>1611</v>
      </c>
      <c r="CN37" s="29" t="s">
        <v>1611</v>
      </c>
      <c r="CO37" s="29" t="s">
        <v>1611</v>
      </c>
      <c r="CP37" s="29" t="s">
        <v>1611</v>
      </c>
      <c r="CQ37" s="29" t="s">
        <v>1611</v>
      </c>
      <c r="CR37" s="29" t="s">
        <v>1611</v>
      </c>
      <c r="CS37" s="29" t="s">
        <v>1611</v>
      </c>
      <c r="CT37" s="29" t="s">
        <v>1611</v>
      </c>
      <c r="CU37" s="29" t="s">
        <v>1611</v>
      </c>
      <c r="CV37" s="29" t="s">
        <v>1611</v>
      </c>
      <c r="CW37" s="29"/>
      <c r="CX37" s="29"/>
      <c r="CY37" s="151"/>
      <c r="CZ37" t="s">
        <v>3723</v>
      </c>
      <c r="DA37" t="s">
        <v>3724</v>
      </c>
      <c r="DD37" s="96" t="str">
        <f t="shared" si="0"/>
        <v>V</v>
      </c>
    </row>
    <row r="38" spans="1:110" ht="16.5" customHeight="1" x14ac:dyDescent="0.3">
      <c r="C38" s="105">
        <v>1670498</v>
      </c>
      <c r="D38" s="27">
        <v>32</v>
      </c>
      <c r="E38" s="28" t="s">
        <v>656</v>
      </c>
      <c r="F38" s="28">
        <v>1000316274</v>
      </c>
      <c r="G38" s="29" t="s">
        <v>837</v>
      </c>
      <c r="H38" s="28">
        <v>1670498</v>
      </c>
      <c r="I38" s="29" t="s">
        <v>838</v>
      </c>
      <c r="J38" s="28" t="s">
        <v>429</v>
      </c>
      <c r="K38" s="7"/>
      <c r="L38" s="104" t="s">
        <v>679</v>
      </c>
      <c r="M38" s="29"/>
      <c r="N38" s="29"/>
      <c r="O38" s="127"/>
      <c r="P38" s="28"/>
      <c r="Q38" s="28"/>
      <c r="R38" s="28"/>
      <c r="S38" s="28"/>
      <c r="T38" s="28"/>
      <c r="U38" s="28"/>
      <c r="V38" s="28"/>
      <c r="W38" s="28"/>
      <c r="X38" s="28"/>
      <c r="Y38" s="28"/>
      <c r="Z38" s="28"/>
      <c r="AA38" s="28"/>
      <c r="AB38" s="104"/>
      <c r="AC38" s="28"/>
      <c r="AD38" s="9" t="s">
        <v>1269</v>
      </c>
      <c r="AE38" s="39">
        <v>45874</v>
      </c>
      <c r="AF38" s="9" t="s">
        <v>1276</v>
      </c>
      <c r="AG38" s="34" t="s">
        <v>1332</v>
      </c>
      <c r="AH38" s="9"/>
      <c r="AI38" s="9"/>
      <c r="AJ38" s="9"/>
      <c r="AK38" s="45"/>
      <c r="AL38" s="45" t="s">
        <v>1611</v>
      </c>
      <c r="AM38" s="45"/>
      <c r="AN38" s="45"/>
      <c r="AO38" s="45"/>
      <c r="AP38" s="45"/>
      <c r="AQ38" s="45"/>
      <c r="AR38" s="45"/>
      <c r="AS38" s="45"/>
      <c r="AT38" s="45"/>
      <c r="AU38" s="45"/>
      <c r="AV38" s="45"/>
      <c r="AW38" s="9"/>
      <c r="AX38" s="9"/>
      <c r="AY38" s="9"/>
      <c r="AZ38" s="9"/>
      <c r="BA38" s="10" t="s">
        <v>2498</v>
      </c>
      <c r="BB38" s="29" t="s">
        <v>2690</v>
      </c>
      <c r="BC38" s="29" t="s">
        <v>1611</v>
      </c>
      <c r="BD38" s="29" t="s">
        <v>1611</v>
      </c>
      <c r="BE38" s="29" t="s">
        <v>2502</v>
      </c>
      <c r="BF38" s="29" t="s">
        <v>2503</v>
      </c>
      <c r="BG38" s="29" t="s">
        <v>40</v>
      </c>
      <c r="BH38" s="29" t="s">
        <v>2572</v>
      </c>
      <c r="BI38" s="29" t="s">
        <v>336</v>
      </c>
      <c r="BJ38" s="29" t="s">
        <v>2662</v>
      </c>
      <c r="BK38" s="29" t="s">
        <v>356</v>
      </c>
      <c r="BL38" s="29" t="s">
        <v>2552</v>
      </c>
      <c r="BM38" s="29" t="s">
        <v>1611</v>
      </c>
      <c r="BN38" s="29" t="s">
        <v>1611</v>
      </c>
      <c r="BO38" s="29" t="s">
        <v>1611</v>
      </c>
      <c r="BP38" s="29" t="s">
        <v>1611</v>
      </c>
      <c r="BQ38" s="29" t="s">
        <v>1611</v>
      </c>
      <c r="BR38" s="29" t="s">
        <v>1611</v>
      </c>
      <c r="BS38" s="29" t="s">
        <v>1611</v>
      </c>
      <c r="BT38" s="29" t="s">
        <v>1611</v>
      </c>
      <c r="BU38" s="29" t="s">
        <v>2691</v>
      </c>
      <c r="BV38" s="29" t="s">
        <v>2692</v>
      </c>
      <c r="BW38" s="29" t="s">
        <v>1611</v>
      </c>
      <c r="BX38" s="29" t="s">
        <v>1611</v>
      </c>
      <c r="BY38" s="29" t="s">
        <v>1611</v>
      </c>
      <c r="BZ38" s="29" t="s">
        <v>1611</v>
      </c>
      <c r="CA38" s="29" t="s">
        <v>1611</v>
      </c>
      <c r="CB38" s="29" t="s">
        <v>1611</v>
      </c>
      <c r="CC38" s="29" t="s">
        <v>1611</v>
      </c>
      <c r="CD38" s="29" t="s">
        <v>1611</v>
      </c>
      <c r="CE38" s="29" t="s">
        <v>1611</v>
      </c>
      <c r="CF38" s="29" t="s">
        <v>1611</v>
      </c>
      <c r="CG38" s="29" t="s">
        <v>2693</v>
      </c>
      <c r="CH38" s="29" t="s">
        <v>2694</v>
      </c>
      <c r="CI38" s="29" t="s">
        <v>1611</v>
      </c>
      <c r="CJ38" s="29" t="s">
        <v>1611</v>
      </c>
      <c r="CK38" s="29" t="s">
        <v>1611</v>
      </c>
      <c r="CL38" s="29" t="s">
        <v>1611</v>
      </c>
      <c r="CM38" s="29" t="s">
        <v>1611</v>
      </c>
      <c r="CN38" s="29" t="s">
        <v>1611</v>
      </c>
      <c r="CO38" s="29" t="s">
        <v>1611</v>
      </c>
      <c r="CP38" s="29" t="s">
        <v>1611</v>
      </c>
      <c r="CQ38" s="29" t="s">
        <v>1611</v>
      </c>
      <c r="CR38" s="29" t="s">
        <v>1611</v>
      </c>
      <c r="CS38" s="29" t="s">
        <v>1611</v>
      </c>
      <c r="CT38" s="29" t="s">
        <v>1611</v>
      </c>
      <c r="CU38" s="29" t="s">
        <v>1611</v>
      </c>
      <c r="CV38" s="29" t="s">
        <v>1611</v>
      </c>
      <c r="CW38" s="29"/>
      <c r="CX38" s="29"/>
      <c r="CY38" s="151"/>
      <c r="CZ38" t="e">
        <v>#N/A</v>
      </c>
      <c r="DA38" t="e">
        <v>#N/A</v>
      </c>
      <c r="DD38" s="96" t="str">
        <f t="shared" si="0"/>
        <v>V</v>
      </c>
    </row>
    <row r="39" spans="1:110" ht="16.5" customHeight="1" x14ac:dyDescent="0.3">
      <c r="C39" s="105">
        <v>1668840</v>
      </c>
      <c r="D39" s="27">
        <v>33</v>
      </c>
      <c r="E39" s="28" t="s">
        <v>794</v>
      </c>
      <c r="F39" s="28">
        <v>1000317452</v>
      </c>
      <c r="G39" s="29" t="s">
        <v>1592</v>
      </c>
      <c r="H39" s="28">
        <v>1668840</v>
      </c>
      <c r="I39" s="29" t="s">
        <v>839</v>
      </c>
      <c r="J39" s="28" t="s">
        <v>429</v>
      </c>
      <c r="K39" s="7"/>
      <c r="L39" s="104" t="s">
        <v>680</v>
      </c>
      <c r="M39" s="29" t="s">
        <v>3056</v>
      </c>
      <c r="N39" s="29" t="s">
        <v>1955</v>
      </c>
      <c r="O39" s="127">
        <v>96686944</v>
      </c>
      <c r="P39" s="113" t="s">
        <v>2303</v>
      </c>
      <c r="Q39" s="28" t="s">
        <v>612</v>
      </c>
      <c r="R39" s="28" t="s">
        <v>1301</v>
      </c>
      <c r="S39" s="28" t="s">
        <v>1301</v>
      </c>
      <c r="T39" s="28" t="s">
        <v>1301</v>
      </c>
      <c r="U39" s="28" t="s">
        <v>1301</v>
      </c>
      <c r="V39" s="28" t="s">
        <v>1301</v>
      </c>
      <c r="W39" s="28" t="s">
        <v>1301</v>
      </c>
      <c r="X39" s="28" t="s">
        <v>1301</v>
      </c>
      <c r="Y39" s="28" t="s">
        <v>1301</v>
      </c>
      <c r="Z39" s="28" t="s">
        <v>1301</v>
      </c>
      <c r="AA39" s="28" t="s">
        <v>1301</v>
      </c>
      <c r="AB39" s="104" t="s">
        <v>663</v>
      </c>
      <c r="AC39" s="104" t="s">
        <v>1340</v>
      </c>
      <c r="AD39" s="9" t="s">
        <v>1269</v>
      </c>
      <c r="AE39" s="9"/>
      <c r="AF39" s="9"/>
      <c r="AG39" s="34"/>
      <c r="AH39" s="9"/>
      <c r="AI39" s="45" t="s">
        <v>46</v>
      </c>
      <c r="AJ39" s="9"/>
      <c r="AK39" s="45"/>
      <c r="AL39" s="45" t="s">
        <v>46</v>
      </c>
      <c r="AM39" s="45" t="s">
        <v>46</v>
      </c>
      <c r="AN39" s="45" t="s">
        <v>46</v>
      </c>
      <c r="AO39" s="45" t="s">
        <v>46</v>
      </c>
      <c r="AP39" s="45" t="s">
        <v>46</v>
      </c>
      <c r="AQ39" s="45" t="s">
        <v>46</v>
      </c>
      <c r="AR39" s="45" t="s">
        <v>46</v>
      </c>
      <c r="AS39" s="45" t="s">
        <v>46</v>
      </c>
      <c r="AT39" s="45"/>
      <c r="AU39" s="45"/>
      <c r="AV39" s="45"/>
      <c r="AW39" s="45" t="s">
        <v>46</v>
      </c>
      <c r="AX39" s="45" t="s">
        <v>46</v>
      </c>
      <c r="AY39" s="45" t="s">
        <v>46</v>
      </c>
      <c r="AZ39" s="45" t="s">
        <v>46</v>
      </c>
      <c r="BA39" s="10" t="s">
        <v>79</v>
      </c>
      <c r="BB39" s="29" t="s">
        <v>2612</v>
      </c>
      <c r="BC39" s="29" t="s">
        <v>1611</v>
      </c>
      <c r="BD39" s="29" t="s">
        <v>1611</v>
      </c>
      <c r="BE39" s="29" t="s">
        <v>2502</v>
      </c>
      <c r="BF39" s="29" t="s">
        <v>2503</v>
      </c>
      <c r="BG39" s="29" t="s">
        <v>2650</v>
      </c>
      <c r="BH39" s="29" t="s">
        <v>2651</v>
      </c>
      <c r="BI39" s="29" t="s">
        <v>185</v>
      </c>
      <c r="BJ39" s="29" t="s">
        <v>2621</v>
      </c>
      <c r="BK39" s="29" t="s">
        <v>2666</v>
      </c>
      <c r="BL39" s="29" t="s">
        <v>2667</v>
      </c>
      <c r="BM39" s="29"/>
      <c r="BN39" s="29" t="s">
        <v>1611</v>
      </c>
      <c r="BO39" s="29" t="s">
        <v>1611</v>
      </c>
      <c r="BP39" s="29" t="s">
        <v>1611</v>
      </c>
      <c r="BQ39" s="29" t="s">
        <v>1611</v>
      </c>
      <c r="BR39" s="29" t="s">
        <v>1611</v>
      </c>
      <c r="BS39" s="29" t="s">
        <v>1611</v>
      </c>
      <c r="BT39" s="29" t="s">
        <v>1611</v>
      </c>
      <c r="BU39" s="29" t="s">
        <v>3052</v>
      </c>
      <c r="BV39" s="29" t="s">
        <v>3054</v>
      </c>
      <c r="BW39" s="29" t="s">
        <v>1611</v>
      </c>
      <c r="BX39" s="29" t="s">
        <v>1611</v>
      </c>
      <c r="BY39" s="29" t="s">
        <v>1611</v>
      </c>
      <c r="BZ39" s="29" t="s">
        <v>1611</v>
      </c>
      <c r="CA39" s="29" t="s">
        <v>1611</v>
      </c>
      <c r="CB39" s="29" t="s">
        <v>1611</v>
      </c>
      <c r="CC39" s="29" t="s">
        <v>1611</v>
      </c>
      <c r="CD39" s="29" t="s">
        <v>1611</v>
      </c>
      <c r="CE39" s="29" t="s">
        <v>1611</v>
      </c>
      <c r="CF39" s="29" t="s">
        <v>1611</v>
      </c>
      <c r="CG39" s="29" t="s">
        <v>3053</v>
      </c>
      <c r="CH39" s="29" t="s">
        <v>3055</v>
      </c>
      <c r="CI39" s="29" t="s">
        <v>1611</v>
      </c>
      <c r="CJ39" s="29" t="s">
        <v>1611</v>
      </c>
      <c r="CK39" s="29" t="s">
        <v>3058</v>
      </c>
      <c r="CL39" s="29" t="s">
        <v>3057</v>
      </c>
      <c r="CM39" s="29" t="s">
        <v>3882</v>
      </c>
      <c r="CN39" s="29" t="s">
        <v>3881</v>
      </c>
      <c r="CO39" s="29" t="s">
        <v>3887</v>
      </c>
      <c r="CP39" s="29" t="s">
        <v>3886</v>
      </c>
      <c r="CQ39" s="29" t="s">
        <v>3889</v>
      </c>
      <c r="CR39" s="29" t="s">
        <v>3888</v>
      </c>
      <c r="CS39" s="29" t="s">
        <v>1611</v>
      </c>
      <c r="CT39" s="29" t="s">
        <v>1611</v>
      </c>
      <c r="CU39" s="29" t="s">
        <v>1611</v>
      </c>
      <c r="CV39" s="29" t="s">
        <v>1611</v>
      </c>
      <c r="CW39" s="29"/>
      <c r="CX39" s="29"/>
      <c r="CY39" s="151"/>
      <c r="CZ39" t="s">
        <v>3597</v>
      </c>
      <c r="DA39" t="s">
        <v>3634</v>
      </c>
      <c r="DD39" s="96" t="str">
        <f t="shared" si="0"/>
        <v/>
      </c>
      <c r="DF39" s="96" t="s">
        <v>3753</v>
      </c>
    </row>
    <row r="40" spans="1:110" ht="16.5" customHeight="1" x14ac:dyDescent="0.3">
      <c r="A40" t="s">
        <v>3779</v>
      </c>
      <c r="B40" t="s">
        <v>3778</v>
      </c>
      <c r="C40" s="105">
        <v>1667049</v>
      </c>
      <c r="D40" s="27">
        <v>34</v>
      </c>
      <c r="E40" s="28" t="s">
        <v>792</v>
      </c>
      <c r="F40" s="28">
        <v>1000317380</v>
      </c>
      <c r="G40" s="29" t="s">
        <v>1593</v>
      </c>
      <c r="H40" s="28">
        <v>1667049</v>
      </c>
      <c r="I40" s="29" t="s">
        <v>841</v>
      </c>
      <c r="J40" s="28" t="s">
        <v>429</v>
      </c>
      <c r="K40" s="7"/>
      <c r="L40" s="104" t="s">
        <v>681</v>
      </c>
      <c r="M40" s="29" t="s">
        <v>2302</v>
      </c>
      <c r="N40" s="29" t="s">
        <v>2299</v>
      </c>
      <c r="O40" s="127">
        <v>1338782</v>
      </c>
      <c r="P40" s="113" t="s">
        <v>2303</v>
      </c>
      <c r="Q40" s="28" t="s">
        <v>612</v>
      </c>
      <c r="R40" s="28" t="s">
        <v>1301</v>
      </c>
      <c r="S40" s="28" t="s">
        <v>1301</v>
      </c>
      <c r="T40" s="28" t="s">
        <v>1329</v>
      </c>
      <c r="U40" s="28" t="s">
        <v>612</v>
      </c>
      <c r="V40" s="28" t="s">
        <v>1301</v>
      </c>
      <c r="W40" s="28" t="s">
        <v>1301</v>
      </c>
      <c r="X40" s="28" t="s">
        <v>1301</v>
      </c>
      <c r="Y40" s="28" t="s">
        <v>1301</v>
      </c>
      <c r="Z40" s="28" t="s">
        <v>1301</v>
      </c>
      <c r="AA40" s="28" t="s">
        <v>1301</v>
      </c>
      <c r="AB40" s="104" t="s">
        <v>663</v>
      </c>
      <c r="AC40" s="104" t="s">
        <v>1340</v>
      </c>
      <c r="AD40" s="9" t="s">
        <v>1269</v>
      </c>
      <c r="AE40" s="9"/>
      <c r="AF40" s="9"/>
      <c r="AG40" s="34"/>
      <c r="AH40" s="9"/>
      <c r="AI40" s="9"/>
      <c r="AJ40" s="9"/>
      <c r="AK40" s="45"/>
      <c r="AL40" s="45" t="s">
        <v>461</v>
      </c>
      <c r="AM40" s="45" t="s">
        <v>461</v>
      </c>
      <c r="AN40" s="45" t="s">
        <v>461</v>
      </c>
      <c r="AO40" s="45" t="s">
        <v>461</v>
      </c>
      <c r="AP40" s="45" t="s">
        <v>461</v>
      </c>
      <c r="AQ40" s="45" t="s">
        <v>461</v>
      </c>
      <c r="AR40" s="45" t="s">
        <v>461</v>
      </c>
      <c r="AS40" s="45" t="s">
        <v>461</v>
      </c>
      <c r="AT40" s="45"/>
      <c r="AU40" s="45"/>
      <c r="AV40" s="45"/>
      <c r="AW40" s="45" t="s">
        <v>461</v>
      </c>
      <c r="AX40" s="45" t="s">
        <v>461</v>
      </c>
      <c r="AY40" s="45" t="s">
        <v>461</v>
      </c>
      <c r="AZ40" s="45" t="s">
        <v>461</v>
      </c>
      <c r="BA40" s="10" t="s">
        <v>147</v>
      </c>
      <c r="BB40" s="29" t="s">
        <v>2695</v>
      </c>
      <c r="BC40" s="29" t="s">
        <v>1611</v>
      </c>
      <c r="BD40" s="29" t="s">
        <v>1611</v>
      </c>
      <c r="BE40" s="29" t="s">
        <v>2502</v>
      </c>
      <c r="BF40" s="29" t="s">
        <v>2503</v>
      </c>
      <c r="BG40" s="29" t="s">
        <v>2650</v>
      </c>
      <c r="BH40" s="29" t="s">
        <v>2651</v>
      </c>
      <c r="BI40" s="29" t="s">
        <v>329</v>
      </c>
      <c r="BJ40" s="29" t="s">
        <v>2591</v>
      </c>
      <c r="BK40" s="29" t="s">
        <v>570</v>
      </c>
      <c r="BL40" s="29" t="s">
        <v>3232</v>
      </c>
      <c r="BM40" s="29" t="s">
        <v>1611</v>
      </c>
      <c r="BN40" s="29" t="s">
        <v>1611</v>
      </c>
      <c r="BO40" s="29" t="s">
        <v>1611</v>
      </c>
      <c r="BP40" s="29" t="s">
        <v>1611</v>
      </c>
      <c r="BQ40" s="29" t="s">
        <v>1611</v>
      </c>
      <c r="BR40" s="29" t="s">
        <v>1611</v>
      </c>
      <c r="BS40" s="29" t="s">
        <v>1611</v>
      </c>
      <c r="BT40" s="29" t="s">
        <v>1611</v>
      </c>
      <c r="BU40" s="29" t="s">
        <v>3786</v>
      </c>
      <c r="BV40" s="29" t="s">
        <v>3789</v>
      </c>
      <c r="BW40" s="29" t="s">
        <v>1611</v>
      </c>
      <c r="BX40" s="29" t="s">
        <v>1611</v>
      </c>
      <c r="BY40" s="29" t="s">
        <v>1611</v>
      </c>
      <c r="BZ40" s="29" t="s">
        <v>1611</v>
      </c>
      <c r="CA40" s="29" t="s">
        <v>1611</v>
      </c>
      <c r="CB40" s="29" t="s">
        <v>1611</v>
      </c>
      <c r="CC40" s="29" t="s">
        <v>1611</v>
      </c>
      <c r="CD40" s="29" t="s">
        <v>1611</v>
      </c>
      <c r="CE40" s="29" t="s">
        <v>1611</v>
      </c>
      <c r="CF40" s="29" t="s">
        <v>1611</v>
      </c>
      <c r="CG40" s="29" t="s">
        <v>2697</v>
      </c>
      <c r="CH40" s="29" t="s">
        <v>3785</v>
      </c>
      <c r="CI40" s="29" t="s">
        <v>1611</v>
      </c>
      <c r="CJ40" s="29" t="s">
        <v>1611</v>
      </c>
      <c r="CK40" s="29" t="s">
        <v>2699</v>
      </c>
      <c r="CL40" s="29" t="s">
        <v>2700</v>
      </c>
      <c r="CM40" s="29" t="s">
        <v>1788</v>
      </c>
      <c r="CN40" s="29" t="s">
        <v>1906</v>
      </c>
      <c r="CO40" s="29" t="s">
        <v>1611</v>
      </c>
      <c r="CP40" s="29" t="s">
        <v>1611</v>
      </c>
      <c r="CQ40" s="29" t="s">
        <v>1611</v>
      </c>
      <c r="CR40" s="29" t="s">
        <v>1611</v>
      </c>
      <c r="CS40" s="29" t="s">
        <v>1611</v>
      </c>
      <c r="CT40" s="29" t="s">
        <v>1611</v>
      </c>
      <c r="CU40" s="29" t="s">
        <v>1611</v>
      </c>
      <c r="CV40" s="29" t="s">
        <v>1611</v>
      </c>
      <c r="CW40" s="29"/>
      <c r="CX40" s="29"/>
      <c r="CY40" s="151"/>
      <c r="CZ40" t="s">
        <v>3598</v>
      </c>
      <c r="DA40" t="s">
        <v>3634</v>
      </c>
      <c r="DD40" s="96" t="str">
        <f t="shared" si="0"/>
        <v/>
      </c>
      <c r="DF40" s="96" t="s">
        <v>3753</v>
      </c>
    </row>
    <row r="41" spans="1:110" ht="16.5" customHeight="1" x14ac:dyDescent="0.3">
      <c r="C41" s="105">
        <v>1669145</v>
      </c>
      <c r="D41" s="27">
        <v>35</v>
      </c>
      <c r="E41" s="28" t="s">
        <v>843</v>
      </c>
      <c r="F41" s="28">
        <v>1001210610</v>
      </c>
      <c r="G41" s="29" t="s">
        <v>1594</v>
      </c>
      <c r="H41" s="28">
        <v>1669145</v>
      </c>
      <c r="I41" s="29" t="s">
        <v>844</v>
      </c>
      <c r="J41" s="28" t="s">
        <v>429</v>
      </c>
      <c r="K41" s="7"/>
      <c r="L41" s="104" t="s">
        <v>665</v>
      </c>
      <c r="M41" s="29"/>
      <c r="N41" s="29"/>
      <c r="O41" s="127"/>
      <c r="P41" s="28"/>
      <c r="Q41" s="28"/>
      <c r="R41" s="28"/>
      <c r="S41" s="28"/>
      <c r="T41" s="28"/>
      <c r="U41" s="28"/>
      <c r="V41" s="28"/>
      <c r="W41" s="28"/>
      <c r="X41" s="28"/>
      <c r="Y41" s="28"/>
      <c r="Z41" s="28"/>
      <c r="AA41" s="28"/>
      <c r="AB41" s="104" t="s">
        <v>1548</v>
      </c>
      <c r="AC41" s="104" t="s">
        <v>1551</v>
      </c>
      <c r="AD41" s="9" t="s">
        <v>1269</v>
      </c>
      <c r="AE41" s="39">
        <v>45960</v>
      </c>
      <c r="AF41" s="9" t="s">
        <v>1276</v>
      </c>
      <c r="AG41" s="34" t="s">
        <v>2484</v>
      </c>
      <c r="AH41" s="9"/>
      <c r="AI41" s="9"/>
      <c r="AJ41" s="9"/>
      <c r="AK41" s="45"/>
      <c r="AL41" s="45" t="s">
        <v>1611</v>
      </c>
      <c r="AM41" s="45"/>
      <c r="AN41" s="45"/>
      <c r="AO41" s="45"/>
      <c r="AP41" s="45"/>
      <c r="AQ41" s="45"/>
      <c r="AR41" s="45"/>
      <c r="AS41" s="45"/>
      <c r="AT41" s="45"/>
      <c r="AU41" s="45"/>
      <c r="AV41" s="45"/>
      <c r="AW41" s="9"/>
      <c r="AX41" s="9"/>
      <c r="AY41" s="9"/>
      <c r="AZ41" s="9"/>
      <c r="BA41" s="10" t="s">
        <v>51</v>
      </c>
      <c r="BB41" s="29" t="s">
        <v>2501</v>
      </c>
      <c r="BC41" s="29" t="s">
        <v>1611</v>
      </c>
      <c r="BD41" s="29" t="s">
        <v>1611</v>
      </c>
      <c r="BE41" s="29" t="s">
        <v>2502</v>
      </c>
      <c r="BF41" s="29" t="s">
        <v>2503</v>
      </c>
      <c r="BG41" s="29" t="s">
        <v>2569</v>
      </c>
      <c r="BH41" s="29" t="s">
        <v>2570</v>
      </c>
      <c r="BI41" s="29" t="s">
        <v>2641</v>
      </c>
      <c r="BJ41" s="29" t="s">
        <v>2701</v>
      </c>
      <c r="BK41" s="29" t="s">
        <v>174</v>
      </c>
      <c r="BL41" s="29" t="s">
        <v>2531</v>
      </c>
      <c r="BM41" s="29" t="s">
        <v>1611</v>
      </c>
      <c r="BN41" s="29" t="s">
        <v>1611</v>
      </c>
      <c r="BO41" s="29" t="s">
        <v>1611</v>
      </c>
      <c r="BP41" s="29" t="s">
        <v>1611</v>
      </c>
      <c r="BQ41" s="29" t="s">
        <v>1611</v>
      </c>
      <c r="BR41" s="29" t="s">
        <v>1611</v>
      </c>
      <c r="BS41" s="29" t="s">
        <v>1611</v>
      </c>
      <c r="BT41" s="29" t="s">
        <v>1611</v>
      </c>
      <c r="BU41" s="29" t="s">
        <v>3787</v>
      </c>
      <c r="BV41" s="29" t="s">
        <v>3788</v>
      </c>
      <c r="BW41" s="29" t="s">
        <v>1611</v>
      </c>
      <c r="BX41" s="29" t="s">
        <v>1611</v>
      </c>
      <c r="BY41" s="29" t="s">
        <v>1611</v>
      </c>
      <c r="BZ41" s="29" t="s">
        <v>1611</v>
      </c>
      <c r="CA41" s="29" t="s">
        <v>1611</v>
      </c>
      <c r="CB41" s="29" t="s">
        <v>1611</v>
      </c>
      <c r="CC41" s="29" t="s">
        <v>1611</v>
      </c>
      <c r="CD41" s="29" t="s">
        <v>1611</v>
      </c>
      <c r="CE41" s="29" t="s">
        <v>1611</v>
      </c>
      <c r="CF41" s="29" t="s">
        <v>1611</v>
      </c>
      <c r="CG41" s="29" t="s">
        <v>1713</v>
      </c>
      <c r="CH41" s="29" t="s">
        <v>1817</v>
      </c>
      <c r="CI41" s="29" t="s">
        <v>1611</v>
      </c>
      <c r="CJ41" s="29" t="s">
        <v>1611</v>
      </c>
      <c r="CK41" s="29" t="s">
        <v>1611</v>
      </c>
      <c r="CL41" s="29" t="s">
        <v>1611</v>
      </c>
      <c r="CM41" s="29" t="s">
        <v>1611</v>
      </c>
      <c r="CN41" s="29" t="s">
        <v>1611</v>
      </c>
      <c r="CO41" s="29" t="s">
        <v>1611</v>
      </c>
      <c r="CP41" s="29" t="s">
        <v>1611</v>
      </c>
      <c r="CQ41" s="29" t="s">
        <v>1611</v>
      </c>
      <c r="CR41" s="29" t="s">
        <v>1611</v>
      </c>
      <c r="CS41" s="29" t="s">
        <v>1611</v>
      </c>
      <c r="CT41" s="29" t="s">
        <v>1611</v>
      </c>
      <c r="CU41" s="29" t="s">
        <v>1611</v>
      </c>
      <c r="CV41" s="29" t="s">
        <v>1611</v>
      </c>
      <c r="CW41" s="29"/>
      <c r="CX41" s="29"/>
      <c r="CY41" s="151"/>
      <c r="CZ41" t="e">
        <v>#N/A</v>
      </c>
      <c r="DA41" t="e">
        <v>#N/A</v>
      </c>
      <c r="DD41" s="96" t="str">
        <f t="shared" si="0"/>
        <v>V</v>
      </c>
    </row>
    <row r="42" spans="1:110" ht="16.5" customHeight="1" x14ac:dyDescent="0.3">
      <c r="C42" s="105">
        <v>1661219</v>
      </c>
      <c r="D42" s="27">
        <v>36</v>
      </c>
      <c r="E42" s="28" t="s">
        <v>656</v>
      </c>
      <c r="F42" s="28">
        <v>1000315889</v>
      </c>
      <c r="G42" s="29" t="s">
        <v>846</v>
      </c>
      <c r="H42" s="28">
        <v>1661219</v>
      </c>
      <c r="I42" s="29" t="s">
        <v>847</v>
      </c>
      <c r="J42" s="28" t="s">
        <v>429</v>
      </c>
      <c r="K42" s="7"/>
      <c r="L42" s="104" t="s">
        <v>682</v>
      </c>
      <c r="M42" s="29"/>
      <c r="N42" s="29"/>
      <c r="O42" s="127"/>
      <c r="P42" s="28"/>
      <c r="Q42" s="28"/>
      <c r="R42" s="28"/>
      <c r="S42" s="28"/>
      <c r="T42" s="28"/>
      <c r="U42" s="28"/>
      <c r="V42" s="28"/>
      <c r="W42" s="28"/>
      <c r="X42" s="28"/>
      <c r="Y42" s="28"/>
      <c r="Z42" s="28"/>
      <c r="AA42" s="28"/>
      <c r="AB42" s="104"/>
      <c r="AC42" s="28"/>
      <c r="AD42" s="9" t="s">
        <v>1269</v>
      </c>
      <c r="AE42" s="39">
        <v>45874</v>
      </c>
      <c r="AF42" s="9" t="s">
        <v>1276</v>
      </c>
      <c r="AG42" s="108" t="s">
        <v>1333</v>
      </c>
      <c r="AH42" s="9"/>
      <c r="AI42" s="9"/>
      <c r="AJ42" s="9"/>
      <c r="AK42" s="45"/>
      <c r="AL42" s="45" t="s">
        <v>1611</v>
      </c>
      <c r="AM42" s="45"/>
      <c r="AN42" s="45"/>
      <c r="AO42" s="45"/>
      <c r="AP42" s="45"/>
      <c r="AQ42" s="45"/>
      <c r="AR42" s="45"/>
      <c r="AS42" s="45"/>
      <c r="AT42" s="45"/>
      <c r="AU42" s="45"/>
      <c r="AV42" s="45"/>
      <c r="AW42" s="9"/>
      <c r="AX42" s="9"/>
      <c r="AY42" s="9"/>
      <c r="AZ42" s="9"/>
      <c r="BA42" s="10" t="s">
        <v>70</v>
      </c>
      <c r="BB42" s="29" t="s">
        <v>2616</v>
      </c>
      <c r="BC42" s="29" t="s">
        <v>1611</v>
      </c>
      <c r="BD42" s="29" t="s">
        <v>1611</v>
      </c>
      <c r="BE42" s="29" t="s">
        <v>2514</v>
      </c>
      <c r="BF42" s="29" t="s">
        <v>2515</v>
      </c>
      <c r="BG42" s="29" t="s">
        <v>2569</v>
      </c>
      <c r="BH42" s="29" t="s">
        <v>2570</v>
      </c>
      <c r="BI42" s="29" t="s">
        <v>160</v>
      </c>
      <c r="BJ42" s="29" t="s">
        <v>2541</v>
      </c>
      <c r="BK42" s="29" t="s">
        <v>2664</v>
      </c>
      <c r="BL42" s="29" t="s">
        <v>2665</v>
      </c>
      <c r="BM42" s="29" t="s">
        <v>1611</v>
      </c>
      <c r="BN42" s="29" t="s">
        <v>1611</v>
      </c>
      <c r="BO42" s="29" t="s">
        <v>1611</v>
      </c>
      <c r="BP42" s="29" t="s">
        <v>1611</v>
      </c>
      <c r="BQ42" s="29" t="s">
        <v>1611</v>
      </c>
      <c r="BR42" s="29" t="s">
        <v>1611</v>
      </c>
      <c r="BS42" s="29" t="s">
        <v>1611</v>
      </c>
      <c r="BT42" s="29" t="s">
        <v>1611</v>
      </c>
      <c r="BU42" s="29" t="s">
        <v>2655</v>
      </c>
      <c r="BV42" s="29" t="s">
        <v>2656</v>
      </c>
      <c r="BW42" s="29" t="s">
        <v>1611</v>
      </c>
      <c r="BX42" s="29" t="s">
        <v>1611</v>
      </c>
      <c r="BY42" s="29" t="s">
        <v>1611</v>
      </c>
      <c r="BZ42" s="29" t="s">
        <v>1611</v>
      </c>
      <c r="CA42" s="29" t="s">
        <v>1611</v>
      </c>
      <c r="CB42" s="29" t="s">
        <v>1611</v>
      </c>
      <c r="CC42" s="29" t="s">
        <v>1611</v>
      </c>
      <c r="CD42" s="29" t="s">
        <v>1611</v>
      </c>
      <c r="CE42" s="29" t="s">
        <v>1611</v>
      </c>
      <c r="CF42" s="29" t="s">
        <v>1611</v>
      </c>
      <c r="CG42" s="29" t="s">
        <v>2702</v>
      </c>
      <c r="CH42" s="29" t="s">
        <v>2703</v>
      </c>
      <c r="CI42" s="29" t="s">
        <v>1611</v>
      </c>
      <c r="CJ42" s="29" t="s">
        <v>1611</v>
      </c>
      <c r="CK42" s="29" t="s">
        <v>1611</v>
      </c>
      <c r="CL42" s="29" t="s">
        <v>1611</v>
      </c>
      <c r="CM42" s="29" t="s">
        <v>1611</v>
      </c>
      <c r="CN42" s="29" t="s">
        <v>1611</v>
      </c>
      <c r="CO42" s="29" t="s">
        <v>1611</v>
      </c>
      <c r="CP42" s="29" t="s">
        <v>1611</v>
      </c>
      <c r="CQ42" s="29" t="s">
        <v>1611</v>
      </c>
      <c r="CR42" s="29" t="s">
        <v>1611</v>
      </c>
      <c r="CS42" s="29" t="s">
        <v>1611</v>
      </c>
      <c r="CT42" s="29" t="s">
        <v>1611</v>
      </c>
      <c r="CU42" s="29" t="s">
        <v>1611</v>
      </c>
      <c r="CV42" s="29" t="s">
        <v>1611</v>
      </c>
      <c r="CW42" s="29"/>
      <c r="CX42" s="29"/>
      <c r="CY42" s="151"/>
      <c r="CZ42" t="e">
        <v>#N/A</v>
      </c>
      <c r="DA42" t="e">
        <v>#N/A</v>
      </c>
      <c r="DD42" s="96" t="str">
        <f t="shared" si="0"/>
        <v>V</v>
      </c>
    </row>
    <row r="43" spans="1:110" ht="16.5" customHeight="1" x14ac:dyDescent="0.3">
      <c r="C43" s="105">
        <v>1669178</v>
      </c>
      <c r="D43" s="27">
        <v>37</v>
      </c>
      <c r="E43" s="28" t="s">
        <v>843</v>
      </c>
      <c r="F43" s="28">
        <v>1000316385</v>
      </c>
      <c r="G43" s="29" t="s">
        <v>1595</v>
      </c>
      <c r="H43" s="28">
        <v>1669178</v>
      </c>
      <c r="I43" s="29" t="s">
        <v>848</v>
      </c>
      <c r="J43" s="28" t="s">
        <v>429</v>
      </c>
      <c r="K43" s="7"/>
      <c r="L43" s="104" t="s">
        <v>683</v>
      </c>
      <c r="M43" s="29"/>
      <c r="N43" s="29"/>
      <c r="O43" s="127">
        <v>502608</v>
      </c>
      <c r="P43" s="113" t="s">
        <v>1345</v>
      </c>
      <c r="Q43" s="28" t="s">
        <v>612</v>
      </c>
      <c r="R43" s="28" t="s">
        <v>1301</v>
      </c>
      <c r="S43" s="28" t="s">
        <v>1301</v>
      </c>
      <c r="T43" s="28" t="s">
        <v>1329</v>
      </c>
      <c r="U43" s="28" t="s">
        <v>612</v>
      </c>
      <c r="V43" s="28" t="s">
        <v>1301</v>
      </c>
      <c r="W43" s="28" t="s">
        <v>1301</v>
      </c>
      <c r="X43" s="28" t="s">
        <v>1301</v>
      </c>
      <c r="Y43" s="28" t="s">
        <v>1301</v>
      </c>
      <c r="Z43" s="28" t="s">
        <v>1301</v>
      </c>
      <c r="AA43" s="28" t="s">
        <v>1301</v>
      </c>
      <c r="AB43" s="104" t="s">
        <v>1544</v>
      </c>
      <c r="AC43" s="104" t="s">
        <v>645</v>
      </c>
      <c r="AD43" s="9" t="s">
        <v>1269</v>
      </c>
      <c r="AE43" s="9"/>
      <c r="AF43" s="9"/>
      <c r="AG43" s="34"/>
      <c r="AH43" s="9"/>
      <c r="AI43" s="9"/>
      <c r="AJ43" s="9"/>
      <c r="AK43" s="45"/>
      <c r="AL43" s="45" t="s">
        <v>2278</v>
      </c>
      <c r="AM43" s="45" t="s">
        <v>461</v>
      </c>
      <c r="AN43" s="45" t="s">
        <v>461</v>
      </c>
      <c r="AO43" s="45" t="s">
        <v>461</v>
      </c>
      <c r="AP43" s="45" t="s">
        <v>461</v>
      </c>
      <c r="AQ43" s="45" t="s">
        <v>461</v>
      </c>
      <c r="AR43" s="45" t="s">
        <v>461</v>
      </c>
      <c r="AS43" s="45"/>
      <c r="AT43" s="45"/>
      <c r="AU43" s="45"/>
      <c r="AV43" s="45"/>
      <c r="AW43" s="9"/>
      <c r="AX43" s="9"/>
      <c r="AY43" s="9"/>
      <c r="AZ43" s="9"/>
      <c r="BA43" s="10" t="s">
        <v>291</v>
      </c>
      <c r="BB43" s="29" t="s">
        <v>2704</v>
      </c>
      <c r="BC43" s="29" t="s">
        <v>1611</v>
      </c>
      <c r="BD43" s="29" t="s">
        <v>1611</v>
      </c>
      <c r="BE43" s="29" t="s">
        <v>1611</v>
      </c>
      <c r="BF43" s="29" t="s">
        <v>1611</v>
      </c>
      <c r="BG43" s="29" t="s">
        <v>2569</v>
      </c>
      <c r="BH43" s="29" t="s">
        <v>2570</v>
      </c>
      <c r="BI43" s="29" t="s">
        <v>40</v>
      </c>
      <c r="BJ43" s="29" t="s">
        <v>2572</v>
      </c>
      <c r="BK43" s="29" t="s">
        <v>174</v>
      </c>
      <c r="BL43" s="29" t="s">
        <v>2531</v>
      </c>
      <c r="BM43" s="29" t="s">
        <v>1611</v>
      </c>
      <c r="BN43" s="29" t="s">
        <v>1611</v>
      </c>
      <c r="BO43" s="29" t="s">
        <v>1611</v>
      </c>
      <c r="BP43" s="29" t="s">
        <v>1611</v>
      </c>
      <c r="BQ43" s="29" t="s">
        <v>1611</v>
      </c>
      <c r="BR43" s="29" t="s">
        <v>1611</v>
      </c>
      <c r="BS43" s="29" t="s">
        <v>1611</v>
      </c>
      <c r="BT43" s="29" t="s">
        <v>1611</v>
      </c>
      <c r="BU43" s="29" t="s">
        <v>2705</v>
      </c>
      <c r="BV43" s="29" t="s">
        <v>2706</v>
      </c>
      <c r="BW43" s="29" t="s">
        <v>1611</v>
      </c>
      <c r="BX43" s="29" t="s">
        <v>1611</v>
      </c>
      <c r="BY43" s="29" t="s">
        <v>1611</v>
      </c>
      <c r="BZ43" s="29" t="s">
        <v>1611</v>
      </c>
      <c r="CA43" s="29" t="s">
        <v>1611</v>
      </c>
      <c r="CB43" s="29" t="s">
        <v>1611</v>
      </c>
      <c r="CC43" s="29" t="s">
        <v>1611</v>
      </c>
      <c r="CD43" s="29" t="s">
        <v>1611</v>
      </c>
      <c r="CE43" s="29" t="s">
        <v>1611</v>
      </c>
      <c r="CF43" s="29" t="s">
        <v>1611</v>
      </c>
      <c r="CG43" s="29" t="s">
        <v>1714</v>
      </c>
      <c r="CH43" s="29" t="s">
        <v>1818</v>
      </c>
      <c r="CI43" s="29" t="s">
        <v>1611</v>
      </c>
      <c r="CJ43" s="29" t="s">
        <v>1611</v>
      </c>
      <c r="CK43" s="29" t="s">
        <v>3478</v>
      </c>
      <c r="CL43" s="29" t="s">
        <v>3477</v>
      </c>
      <c r="CM43" s="29" t="s">
        <v>1611</v>
      </c>
      <c r="CN43" s="29" t="s">
        <v>1611</v>
      </c>
      <c r="CO43" s="29" t="s">
        <v>1611</v>
      </c>
      <c r="CP43" s="29" t="s">
        <v>1611</v>
      </c>
      <c r="CQ43" s="29" t="s">
        <v>1611</v>
      </c>
      <c r="CR43" s="29" t="s">
        <v>1611</v>
      </c>
      <c r="CS43" s="29" t="s">
        <v>1611</v>
      </c>
      <c r="CT43" s="29" t="s">
        <v>1611</v>
      </c>
      <c r="CU43" s="29" t="s">
        <v>1611</v>
      </c>
      <c r="CV43" s="29" t="s">
        <v>1611</v>
      </c>
      <c r="CW43" s="29"/>
      <c r="CX43" s="29"/>
      <c r="CY43" s="151"/>
      <c r="CZ43" t="s">
        <v>3265</v>
      </c>
      <c r="DA43" t="s">
        <v>3634</v>
      </c>
      <c r="DD43" s="96" t="str">
        <f t="shared" si="0"/>
        <v/>
      </c>
      <c r="DF43" s="96" t="s">
        <v>3753</v>
      </c>
    </row>
    <row r="44" spans="1:110" ht="16.5" customHeight="1" x14ac:dyDescent="0.3">
      <c r="C44" s="105">
        <v>1666343</v>
      </c>
      <c r="D44" s="27">
        <v>38</v>
      </c>
      <c r="E44" s="28" t="s">
        <v>786</v>
      </c>
      <c r="F44" s="28">
        <v>1000850087</v>
      </c>
      <c r="G44" s="29" t="s">
        <v>1596</v>
      </c>
      <c r="H44" s="28">
        <v>1666343</v>
      </c>
      <c r="I44" s="29" t="s">
        <v>850</v>
      </c>
      <c r="J44" s="28" t="s">
        <v>429</v>
      </c>
      <c r="K44" s="7"/>
      <c r="L44" s="104" t="s">
        <v>679</v>
      </c>
      <c r="M44" s="29" t="s">
        <v>3249</v>
      </c>
      <c r="N44" s="29" t="s">
        <v>3250</v>
      </c>
      <c r="O44" s="127">
        <v>1255732</v>
      </c>
      <c r="P44" s="113" t="s">
        <v>1624</v>
      </c>
      <c r="Q44" s="28" t="s">
        <v>612</v>
      </c>
      <c r="R44" s="28" t="s">
        <v>1301</v>
      </c>
      <c r="S44" s="28" t="s">
        <v>1301</v>
      </c>
      <c r="T44" s="28" t="s">
        <v>1301</v>
      </c>
      <c r="U44" s="28" t="s">
        <v>1301</v>
      </c>
      <c r="V44" s="28" t="s">
        <v>1301</v>
      </c>
      <c r="W44" s="28" t="s">
        <v>1301</v>
      </c>
      <c r="X44" s="28" t="s">
        <v>1301</v>
      </c>
      <c r="Y44" s="28" t="s">
        <v>1301</v>
      </c>
      <c r="Z44" s="28" t="s">
        <v>1301</v>
      </c>
      <c r="AA44" s="28" t="s">
        <v>1301</v>
      </c>
      <c r="AB44" s="104" t="s">
        <v>663</v>
      </c>
      <c r="AC44" s="104" t="s">
        <v>1340</v>
      </c>
      <c r="AD44" s="9" t="s">
        <v>1269</v>
      </c>
      <c r="AE44" s="9"/>
      <c r="AF44" s="9"/>
      <c r="AG44" s="34"/>
      <c r="AH44" s="9"/>
      <c r="AI44" s="9"/>
      <c r="AJ44" s="9"/>
      <c r="AK44" s="45"/>
      <c r="AL44" s="45" t="s">
        <v>2278</v>
      </c>
      <c r="AM44" s="45" t="s">
        <v>461</v>
      </c>
      <c r="AN44" s="45" t="s">
        <v>461</v>
      </c>
      <c r="AO44" s="45" t="s">
        <v>461</v>
      </c>
      <c r="AP44" s="45" t="s">
        <v>461</v>
      </c>
      <c r="AQ44" s="45" t="s">
        <v>461</v>
      </c>
      <c r="AR44" s="45" t="s">
        <v>461</v>
      </c>
      <c r="AS44" s="45"/>
      <c r="AT44" s="45"/>
      <c r="AU44" s="45"/>
      <c r="AV44" s="45"/>
      <c r="AW44" s="9"/>
      <c r="AX44" s="9"/>
      <c r="AY44" s="9"/>
      <c r="AZ44" s="9"/>
      <c r="BA44" s="10" t="s">
        <v>268</v>
      </c>
      <c r="BB44" s="29" t="s">
        <v>2608</v>
      </c>
      <c r="BC44" s="29" t="s">
        <v>1611</v>
      </c>
      <c r="BD44" s="29" t="s">
        <v>1611</v>
      </c>
      <c r="BE44" s="29" t="s">
        <v>2514</v>
      </c>
      <c r="BF44" s="29" t="s">
        <v>2515</v>
      </c>
      <c r="BG44" s="29" t="s">
        <v>1762</v>
      </c>
      <c r="BH44" s="29" t="s">
        <v>2504</v>
      </c>
      <c r="BI44" s="29" t="s">
        <v>2707</v>
      </c>
      <c r="BJ44" s="29" t="s">
        <v>2708</v>
      </c>
      <c r="BK44" s="29" t="s">
        <v>2709</v>
      </c>
      <c r="BL44" s="29" t="s">
        <v>2710</v>
      </c>
      <c r="BM44" s="29" t="s">
        <v>1611</v>
      </c>
      <c r="BN44" s="29" t="s">
        <v>1611</v>
      </c>
      <c r="BO44" s="29" t="s">
        <v>1611</v>
      </c>
      <c r="BP44" s="29" t="s">
        <v>1611</v>
      </c>
      <c r="BQ44" s="29" t="s">
        <v>1611</v>
      </c>
      <c r="BR44" s="29" t="s">
        <v>1611</v>
      </c>
      <c r="BS44" s="29" t="s">
        <v>1611</v>
      </c>
      <c r="BT44" s="29" t="s">
        <v>1611</v>
      </c>
      <c r="BU44" s="29" t="s">
        <v>2372</v>
      </c>
      <c r="BV44" s="29" t="s">
        <v>2415</v>
      </c>
      <c r="BW44" s="29" t="s">
        <v>1611</v>
      </c>
      <c r="BX44" s="29" t="s">
        <v>1611</v>
      </c>
      <c r="BY44" s="29" t="s">
        <v>1611</v>
      </c>
      <c r="BZ44" s="29" t="s">
        <v>1611</v>
      </c>
      <c r="CA44" s="29" t="s">
        <v>1611</v>
      </c>
      <c r="CB44" s="29" t="s">
        <v>1611</v>
      </c>
      <c r="CC44" s="29" t="s">
        <v>1611</v>
      </c>
      <c r="CD44" s="29" t="s">
        <v>1611</v>
      </c>
      <c r="CE44" s="29" t="s">
        <v>1611</v>
      </c>
      <c r="CF44" s="29" t="s">
        <v>1611</v>
      </c>
      <c r="CG44" s="29" t="s">
        <v>3257</v>
      </c>
      <c r="CH44" s="29" t="s">
        <v>3258</v>
      </c>
      <c r="CI44" s="29" t="s">
        <v>1611</v>
      </c>
      <c r="CJ44" s="29" t="s">
        <v>1611</v>
      </c>
      <c r="CK44" s="29" t="s">
        <v>3251</v>
      </c>
      <c r="CL44" s="29" t="s">
        <v>3253</v>
      </c>
      <c r="CM44" s="29" t="s">
        <v>3252</v>
      </c>
      <c r="CN44" s="29" t="s">
        <v>3254</v>
      </c>
      <c r="CO44" s="29" t="s">
        <v>1611</v>
      </c>
      <c r="CP44" s="29" t="s">
        <v>1611</v>
      </c>
      <c r="CQ44" s="29" t="s">
        <v>1611</v>
      </c>
      <c r="CR44" s="29" t="s">
        <v>1611</v>
      </c>
      <c r="CS44" s="29" t="s">
        <v>1611</v>
      </c>
      <c r="CT44" s="29" t="s">
        <v>1611</v>
      </c>
      <c r="CU44" s="29" t="s">
        <v>1611</v>
      </c>
      <c r="CV44" s="29" t="s">
        <v>1611</v>
      </c>
      <c r="CW44" s="29"/>
      <c r="CX44" s="29"/>
      <c r="CY44" s="151"/>
      <c r="CZ44" t="s">
        <v>3255</v>
      </c>
      <c r="DA44" t="s">
        <v>3634</v>
      </c>
      <c r="DD44" s="96" t="str">
        <f t="shared" si="0"/>
        <v/>
      </c>
      <c r="DF44" s="96" t="s">
        <v>3753</v>
      </c>
    </row>
    <row r="45" spans="1:110" ht="16.5" customHeight="1" x14ac:dyDescent="0.3">
      <c r="C45" s="105">
        <v>1660527</v>
      </c>
      <c r="D45" s="27">
        <v>39</v>
      </c>
      <c r="E45" s="28" t="s">
        <v>818</v>
      </c>
      <c r="F45" s="28">
        <v>1000882638</v>
      </c>
      <c r="G45" s="29" t="s">
        <v>1597</v>
      </c>
      <c r="H45" s="28">
        <v>1660527</v>
      </c>
      <c r="I45" s="29" t="s">
        <v>853</v>
      </c>
      <c r="J45" s="28" t="s">
        <v>854</v>
      </c>
      <c r="K45" s="7"/>
      <c r="L45" s="104" t="s">
        <v>665</v>
      </c>
      <c r="M45" s="29"/>
      <c r="N45" s="29"/>
      <c r="O45" s="127"/>
      <c r="P45" s="28"/>
      <c r="Q45" s="28"/>
      <c r="R45" s="28"/>
      <c r="S45" s="28"/>
      <c r="T45" s="28"/>
      <c r="U45" s="28"/>
      <c r="V45" s="28"/>
      <c r="W45" s="28"/>
      <c r="X45" s="28"/>
      <c r="Y45" s="28"/>
      <c r="Z45" s="28"/>
      <c r="AA45" s="28"/>
      <c r="AB45" s="104" t="s">
        <v>1548</v>
      </c>
      <c r="AC45" s="104" t="s">
        <v>1551</v>
      </c>
      <c r="AD45" s="9" t="s">
        <v>1269</v>
      </c>
      <c r="AE45" s="39">
        <v>46059</v>
      </c>
      <c r="AF45" s="9" t="s">
        <v>1276</v>
      </c>
      <c r="AG45" s="34" t="s">
        <v>2484</v>
      </c>
      <c r="AH45" s="9"/>
      <c r="AI45" s="9"/>
      <c r="AJ45" s="9"/>
      <c r="AK45" s="45"/>
      <c r="AL45" s="45"/>
      <c r="AM45" s="45"/>
      <c r="AN45" s="45"/>
      <c r="AO45" s="45"/>
      <c r="AP45" s="45"/>
      <c r="AQ45" s="45"/>
      <c r="AR45" s="45"/>
      <c r="AS45" s="45"/>
      <c r="AT45" s="45"/>
      <c r="AU45" s="45"/>
      <c r="AV45" s="45"/>
      <c r="AW45" s="9"/>
      <c r="AX45" s="9"/>
      <c r="AY45" s="9"/>
      <c r="AZ45" s="9"/>
      <c r="BA45" s="10" t="s">
        <v>268</v>
      </c>
      <c r="BB45" s="29" t="s">
        <v>2608</v>
      </c>
      <c r="BC45" s="29" t="s">
        <v>1611</v>
      </c>
      <c r="BD45" s="29" t="s">
        <v>1611</v>
      </c>
      <c r="BE45" s="29" t="s">
        <v>2514</v>
      </c>
      <c r="BF45" s="29" t="s">
        <v>2515</v>
      </c>
      <c r="BG45" s="29" t="s">
        <v>2660</v>
      </c>
      <c r="BH45" s="29" t="s">
        <v>2661</v>
      </c>
      <c r="BI45" s="29" t="s">
        <v>584</v>
      </c>
      <c r="BJ45" s="29" t="s">
        <v>2711</v>
      </c>
      <c r="BK45" s="29" t="s">
        <v>244</v>
      </c>
      <c r="BL45" s="29" t="s">
        <v>2712</v>
      </c>
      <c r="BM45" s="29" t="s">
        <v>1611</v>
      </c>
      <c r="BN45" s="29" t="s">
        <v>1611</v>
      </c>
      <c r="BO45" s="29" t="s">
        <v>1611</v>
      </c>
      <c r="BP45" s="29" t="s">
        <v>1611</v>
      </c>
      <c r="BQ45" s="29" t="s">
        <v>1611</v>
      </c>
      <c r="BR45" s="29" t="s">
        <v>1611</v>
      </c>
      <c r="BS45" s="29" t="s">
        <v>1611</v>
      </c>
      <c r="BT45" s="29" t="s">
        <v>1611</v>
      </c>
      <c r="BU45" s="29" t="s">
        <v>2360</v>
      </c>
      <c r="BV45" s="29" t="s">
        <v>2399</v>
      </c>
      <c r="BW45" s="29" t="s">
        <v>1611</v>
      </c>
      <c r="BX45" s="29" t="s">
        <v>1611</v>
      </c>
      <c r="BY45" s="29" t="s">
        <v>1611</v>
      </c>
      <c r="BZ45" s="29" t="s">
        <v>1611</v>
      </c>
      <c r="CA45" s="29" t="s">
        <v>1611</v>
      </c>
      <c r="CB45" s="29" t="s">
        <v>1611</v>
      </c>
      <c r="CC45" s="29" t="s">
        <v>1611</v>
      </c>
      <c r="CD45" s="29" t="s">
        <v>1611</v>
      </c>
      <c r="CE45" s="29" t="s">
        <v>1611</v>
      </c>
      <c r="CF45" s="29" t="s">
        <v>1611</v>
      </c>
      <c r="CG45" s="29" t="s">
        <v>246</v>
      </c>
      <c r="CH45" s="29" t="s">
        <v>1820</v>
      </c>
      <c r="CI45" s="29" t="s">
        <v>1611</v>
      </c>
      <c r="CJ45" s="29" t="s">
        <v>1611</v>
      </c>
      <c r="CK45" s="29" t="s">
        <v>1611</v>
      </c>
      <c r="CL45" s="29" t="s">
        <v>1611</v>
      </c>
      <c r="CM45" s="29" t="s">
        <v>1611</v>
      </c>
      <c r="CN45" s="29" t="s">
        <v>1611</v>
      </c>
      <c r="CO45" s="29" t="s">
        <v>1611</v>
      </c>
      <c r="CP45" s="29" t="s">
        <v>1611</v>
      </c>
      <c r="CQ45" s="29" t="s">
        <v>1611</v>
      </c>
      <c r="CR45" s="29" t="s">
        <v>1611</v>
      </c>
      <c r="CS45" s="29" t="s">
        <v>1611</v>
      </c>
      <c r="CT45" s="29" t="s">
        <v>1611</v>
      </c>
      <c r="CU45" s="29" t="s">
        <v>1611</v>
      </c>
      <c r="CV45" s="29" t="s">
        <v>1611</v>
      </c>
      <c r="CW45" s="29"/>
      <c r="CX45" s="29"/>
      <c r="CY45" s="151"/>
      <c r="CZ45" t="e">
        <v>#N/A</v>
      </c>
      <c r="DA45" t="e">
        <v>#N/A</v>
      </c>
      <c r="DC45" s="96" t="s">
        <v>3700</v>
      </c>
      <c r="DD45" s="96" t="str">
        <f t="shared" si="0"/>
        <v>V</v>
      </c>
    </row>
    <row r="46" spans="1:110" ht="16.5" customHeight="1" x14ac:dyDescent="0.3">
      <c r="C46" s="105">
        <v>1669416</v>
      </c>
      <c r="D46" s="27">
        <v>40</v>
      </c>
      <c r="E46" s="28" t="s">
        <v>656</v>
      </c>
      <c r="F46" s="28">
        <v>1000314823</v>
      </c>
      <c r="G46" s="29" t="s">
        <v>856</v>
      </c>
      <c r="H46" s="28">
        <v>1669416</v>
      </c>
      <c r="I46" s="29" t="s">
        <v>857</v>
      </c>
      <c r="J46" s="28" t="s">
        <v>429</v>
      </c>
      <c r="K46" s="7"/>
      <c r="L46" s="104" t="s">
        <v>665</v>
      </c>
      <c r="M46" s="29"/>
      <c r="N46" s="29"/>
      <c r="O46" s="127"/>
      <c r="P46" s="28"/>
      <c r="Q46" s="28"/>
      <c r="R46" s="28"/>
      <c r="S46" s="28"/>
      <c r="T46" s="28"/>
      <c r="U46" s="28"/>
      <c r="V46" s="28"/>
      <c r="W46" s="28"/>
      <c r="X46" s="28"/>
      <c r="Y46" s="28"/>
      <c r="Z46" s="28"/>
      <c r="AA46" s="28"/>
      <c r="AB46" s="104"/>
      <c r="AC46" s="28"/>
      <c r="AD46" s="9" t="s">
        <v>1269</v>
      </c>
      <c r="AE46" s="39">
        <v>45873</v>
      </c>
      <c r="AF46" s="9" t="s">
        <v>1276</v>
      </c>
      <c r="AG46" s="108" t="s">
        <v>1304</v>
      </c>
      <c r="AH46" s="9"/>
      <c r="AI46" s="9"/>
      <c r="AJ46" s="9"/>
      <c r="AK46" s="45"/>
      <c r="AL46" s="45" t="s">
        <v>1611</v>
      </c>
      <c r="AM46" s="45"/>
      <c r="AN46" s="45"/>
      <c r="AO46" s="45"/>
      <c r="AP46" s="45"/>
      <c r="AQ46" s="45"/>
      <c r="AR46" s="45"/>
      <c r="AS46" s="45"/>
      <c r="AT46" s="45"/>
      <c r="AU46" s="45"/>
      <c r="AV46" s="45"/>
      <c r="AW46" s="9"/>
      <c r="AX46" s="9"/>
      <c r="AY46" s="9"/>
      <c r="AZ46" s="9"/>
      <c r="BA46" s="10" t="s">
        <v>268</v>
      </c>
      <c r="BB46" s="29" t="s">
        <v>2608</v>
      </c>
      <c r="BC46" s="29" t="s">
        <v>1611</v>
      </c>
      <c r="BD46" s="29" t="s">
        <v>1611</v>
      </c>
      <c r="BE46" s="29" t="s">
        <v>1611</v>
      </c>
      <c r="BF46" s="29" t="s">
        <v>1611</v>
      </c>
      <c r="BG46" s="29" t="s">
        <v>2660</v>
      </c>
      <c r="BH46" s="29" t="s">
        <v>2661</v>
      </c>
      <c r="BI46" s="29" t="s">
        <v>590</v>
      </c>
      <c r="BJ46" s="29" t="s">
        <v>2592</v>
      </c>
      <c r="BK46" s="29" t="s">
        <v>2653</v>
      </c>
      <c r="BL46" s="29" t="s">
        <v>2654</v>
      </c>
      <c r="BM46" s="29" t="s">
        <v>1611</v>
      </c>
      <c r="BN46" s="29" t="s">
        <v>1611</v>
      </c>
      <c r="BO46" s="29" t="s">
        <v>1611</v>
      </c>
      <c r="BP46" s="29" t="s">
        <v>1611</v>
      </c>
      <c r="BQ46" s="29" t="s">
        <v>1611</v>
      </c>
      <c r="BR46" s="29" t="s">
        <v>1611</v>
      </c>
      <c r="BS46" s="29" t="s">
        <v>1611</v>
      </c>
      <c r="BT46" s="29" t="s">
        <v>1611</v>
      </c>
      <c r="BU46" s="29" t="s">
        <v>2713</v>
      </c>
      <c r="BV46" s="29" t="s">
        <v>2714</v>
      </c>
      <c r="BW46" s="29" t="s">
        <v>1611</v>
      </c>
      <c r="BX46" s="29" t="s">
        <v>1611</v>
      </c>
      <c r="BY46" s="29" t="s">
        <v>1611</v>
      </c>
      <c r="BZ46" s="29" t="s">
        <v>1611</v>
      </c>
      <c r="CA46" s="29" t="s">
        <v>1611</v>
      </c>
      <c r="CB46" s="29" t="s">
        <v>1611</v>
      </c>
      <c r="CC46" s="29" t="s">
        <v>1611</v>
      </c>
      <c r="CD46" s="29" t="s">
        <v>1611</v>
      </c>
      <c r="CE46" s="29" t="s">
        <v>1611</v>
      </c>
      <c r="CF46" s="29" t="s">
        <v>1611</v>
      </c>
      <c r="CG46" s="29" t="s">
        <v>2715</v>
      </c>
      <c r="CH46" s="29" t="s">
        <v>2716</v>
      </c>
      <c r="CI46" s="29" t="s">
        <v>1611</v>
      </c>
      <c r="CJ46" s="29" t="s">
        <v>1611</v>
      </c>
      <c r="CK46" s="29" t="s">
        <v>1611</v>
      </c>
      <c r="CL46" s="29" t="s">
        <v>1611</v>
      </c>
      <c r="CM46" s="29" t="s">
        <v>1611</v>
      </c>
      <c r="CN46" s="29" t="s">
        <v>1611</v>
      </c>
      <c r="CO46" s="29" t="s">
        <v>1611</v>
      </c>
      <c r="CP46" s="29" t="s">
        <v>1611</v>
      </c>
      <c r="CQ46" s="29" t="s">
        <v>1611</v>
      </c>
      <c r="CR46" s="29" t="s">
        <v>1611</v>
      </c>
      <c r="CS46" s="29" t="s">
        <v>1611</v>
      </c>
      <c r="CT46" s="29" t="s">
        <v>1611</v>
      </c>
      <c r="CU46" s="29" t="s">
        <v>1611</v>
      </c>
      <c r="CV46" s="29" t="s">
        <v>1611</v>
      </c>
      <c r="CW46" s="29"/>
      <c r="CX46" s="29"/>
      <c r="CY46" s="151"/>
      <c r="CZ46" t="e">
        <v>#N/A</v>
      </c>
      <c r="DA46" t="e">
        <v>#N/A</v>
      </c>
      <c r="DD46" s="96" t="str">
        <f t="shared" si="0"/>
        <v>V</v>
      </c>
    </row>
    <row r="47" spans="1:110" ht="16.5" customHeight="1" x14ac:dyDescent="0.3">
      <c r="C47" s="105">
        <v>1661221</v>
      </c>
      <c r="D47" s="27">
        <v>41</v>
      </c>
      <c r="E47" s="28" t="s">
        <v>843</v>
      </c>
      <c r="F47" s="28">
        <v>1000314612</v>
      </c>
      <c r="G47" s="29" t="s">
        <v>1598</v>
      </c>
      <c r="H47" s="28">
        <v>1661221</v>
      </c>
      <c r="I47" s="29" t="s">
        <v>858</v>
      </c>
      <c r="J47" s="28" t="s">
        <v>429</v>
      </c>
      <c r="K47" s="7"/>
      <c r="L47" s="104" t="s">
        <v>684</v>
      </c>
      <c r="M47" s="29"/>
      <c r="N47" s="29"/>
      <c r="O47" s="127">
        <v>16653342</v>
      </c>
      <c r="P47" s="113" t="s">
        <v>1345</v>
      </c>
      <c r="Q47" s="28" t="s">
        <v>612</v>
      </c>
      <c r="R47" s="28" t="s">
        <v>1301</v>
      </c>
      <c r="S47" s="28" t="s">
        <v>1301</v>
      </c>
      <c r="T47" s="28" t="s">
        <v>1329</v>
      </c>
      <c r="U47" s="28" t="s">
        <v>612</v>
      </c>
      <c r="V47" s="28" t="s">
        <v>1301</v>
      </c>
      <c r="W47" s="28" t="s">
        <v>1301</v>
      </c>
      <c r="X47" s="28" t="s">
        <v>1301</v>
      </c>
      <c r="Y47" s="28" t="s">
        <v>1301</v>
      </c>
      <c r="Z47" s="28" t="s">
        <v>1301</v>
      </c>
      <c r="AA47" s="28" t="s">
        <v>1301</v>
      </c>
      <c r="AB47" s="104" t="s">
        <v>1544</v>
      </c>
      <c r="AC47" s="104" t="s">
        <v>645</v>
      </c>
      <c r="AD47" s="9" t="s">
        <v>1269</v>
      </c>
      <c r="AE47" s="39"/>
      <c r="AF47" s="9"/>
      <c r="AG47" s="34"/>
      <c r="AH47" s="9"/>
      <c r="AI47" s="9"/>
      <c r="AJ47" s="9"/>
      <c r="AK47" s="45"/>
      <c r="AL47" s="45" t="s">
        <v>3059</v>
      </c>
      <c r="AM47" s="45" t="s">
        <v>46</v>
      </c>
      <c r="AN47" s="45" t="s">
        <v>46</v>
      </c>
      <c r="AO47" s="45" t="s">
        <v>46</v>
      </c>
      <c r="AP47" s="45" t="s">
        <v>46</v>
      </c>
      <c r="AQ47" s="45" t="s">
        <v>46</v>
      </c>
      <c r="AR47" s="45" t="s">
        <v>46</v>
      </c>
      <c r="AS47" s="45"/>
      <c r="AT47" s="45"/>
      <c r="AU47" s="45"/>
      <c r="AV47" s="45"/>
      <c r="AW47" s="9"/>
      <c r="AX47" s="9"/>
      <c r="AY47" s="9"/>
      <c r="AZ47" s="9"/>
      <c r="BA47" s="10" t="s">
        <v>2497</v>
      </c>
      <c r="BB47" s="29" t="s">
        <v>2567</v>
      </c>
      <c r="BC47" s="29" t="s">
        <v>1611</v>
      </c>
      <c r="BD47" s="29" t="s">
        <v>1611</v>
      </c>
      <c r="BE47" s="29" t="s">
        <v>2514</v>
      </c>
      <c r="BF47" s="29" t="s">
        <v>2515</v>
      </c>
      <c r="BG47" s="29" t="s">
        <v>1762</v>
      </c>
      <c r="BH47" s="29" t="s">
        <v>2504</v>
      </c>
      <c r="BI47" s="29" t="s">
        <v>2577</v>
      </c>
      <c r="BJ47" s="29" t="s">
        <v>2578</v>
      </c>
      <c r="BK47" s="29" t="s">
        <v>2625</v>
      </c>
      <c r="BL47" s="29" t="s">
        <v>2626</v>
      </c>
      <c r="BM47" s="29" t="s">
        <v>1611</v>
      </c>
      <c r="BN47" s="29" t="s">
        <v>1611</v>
      </c>
      <c r="BO47" s="29" t="s">
        <v>1611</v>
      </c>
      <c r="BP47" s="29" t="s">
        <v>1611</v>
      </c>
      <c r="BQ47" s="29" t="s">
        <v>1611</v>
      </c>
      <c r="BR47" s="29" t="s">
        <v>1611</v>
      </c>
      <c r="BS47" s="29" t="s">
        <v>1611</v>
      </c>
      <c r="BT47" s="29" t="s">
        <v>1611</v>
      </c>
      <c r="BU47" s="29" t="s">
        <v>103</v>
      </c>
      <c r="BV47" s="29" t="s">
        <v>2403</v>
      </c>
      <c r="BW47" s="29" t="s">
        <v>1611</v>
      </c>
      <c r="BX47" s="29" t="s">
        <v>1611</v>
      </c>
      <c r="BY47" s="29" t="s">
        <v>1611</v>
      </c>
      <c r="BZ47" s="29" t="s">
        <v>1611</v>
      </c>
      <c r="CA47" s="29" t="s">
        <v>1611</v>
      </c>
      <c r="CB47" s="29" t="s">
        <v>1611</v>
      </c>
      <c r="CC47" s="29" t="s">
        <v>1611</v>
      </c>
      <c r="CD47" s="29" t="s">
        <v>1611</v>
      </c>
      <c r="CE47" s="29" t="s">
        <v>1611</v>
      </c>
      <c r="CF47" s="29" t="s">
        <v>1611</v>
      </c>
      <c r="CG47" s="29" t="s">
        <v>1715</v>
      </c>
      <c r="CH47" s="29" t="s">
        <v>1821</v>
      </c>
      <c r="CI47" s="29" t="s">
        <v>1611</v>
      </c>
      <c r="CJ47" s="29" t="s">
        <v>1611</v>
      </c>
      <c r="CK47" s="29" t="s">
        <v>1611</v>
      </c>
      <c r="CL47" s="29" t="s">
        <v>1611</v>
      </c>
      <c r="CM47" s="29" t="s">
        <v>1611</v>
      </c>
      <c r="CN47" s="29" t="s">
        <v>1611</v>
      </c>
      <c r="CO47" s="29" t="s">
        <v>1611</v>
      </c>
      <c r="CP47" s="29" t="s">
        <v>1611</v>
      </c>
      <c r="CQ47" s="29" t="s">
        <v>1611</v>
      </c>
      <c r="CR47" s="29" t="s">
        <v>1611</v>
      </c>
      <c r="CS47" s="29" t="s">
        <v>1611</v>
      </c>
      <c r="CT47" s="29" t="s">
        <v>1611</v>
      </c>
      <c r="CU47" s="29" t="s">
        <v>1611</v>
      </c>
      <c r="CV47" s="29" t="s">
        <v>1611</v>
      </c>
      <c r="CW47" s="29"/>
      <c r="CX47" s="29"/>
      <c r="CY47" s="151"/>
      <c r="CZ47" t="s">
        <v>3266</v>
      </c>
      <c r="DA47" t="s">
        <v>3634</v>
      </c>
      <c r="DD47" s="96" t="str">
        <f t="shared" si="0"/>
        <v/>
      </c>
      <c r="DF47" s="96" t="s">
        <v>3753</v>
      </c>
    </row>
    <row r="48" spans="1:110" ht="16.5" customHeight="1" x14ac:dyDescent="0.3">
      <c r="C48" s="105">
        <v>1660759</v>
      </c>
      <c r="D48" s="27">
        <v>42</v>
      </c>
      <c r="E48" s="28" t="s">
        <v>794</v>
      </c>
      <c r="F48" s="28">
        <v>1000322973</v>
      </c>
      <c r="G48" s="29" t="s">
        <v>1568</v>
      </c>
      <c r="H48" s="28">
        <v>1660759</v>
      </c>
      <c r="I48" s="29" t="s">
        <v>861</v>
      </c>
      <c r="J48" s="28" t="s">
        <v>429</v>
      </c>
      <c r="K48" s="7"/>
      <c r="L48" s="104" t="s">
        <v>676</v>
      </c>
      <c r="M48" s="29" t="s">
        <v>3071</v>
      </c>
      <c r="N48" s="29" t="s">
        <v>3072</v>
      </c>
      <c r="O48" s="127">
        <v>461083</v>
      </c>
      <c r="P48" s="28" t="s">
        <v>1301</v>
      </c>
      <c r="Q48" s="28" t="s">
        <v>1301</v>
      </c>
      <c r="R48" s="28" t="s">
        <v>1329</v>
      </c>
      <c r="S48" s="28" t="s">
        <v>612</v>
      </c>
      <c r="T48" s="28" t="s">
        <v>1329</v>
      </c>
      <c r="U48" s="28" t="s">
        <v>612</v>
      </c>
      <c r="V48" s="28" t="s">
        <v>1301</v>
      </c>
      <c r="W48" s="28" t="s">
        <v>1301</v>
      </c>
      <c r="X48" s="28" t="s">
        <v>1301</v>
      </c>
      <c r="Y48" s="28" t="s">
        <v>1301</v>
      </c>
      <c r="Z48" s="28" t="s">
        <v>1301</v>
      </c>
      <c r="AA48" s="28" t="s">
        <v>1301</v>
      </c>
      <c r="AB48" s="104" t="s">
        <v>1544</v>
      </c>
      <c r="AC48" s="104" t="s">
        <v>645</v>
      </c>
      <c r="AD48" s="9" t="s">
        <v>1269</v>
      </c>
      <c r="AE48" s="9"/>
      <c r="AF48" s="9"/>
      <c r="AG48" s="34"/>
      <c r="AH48" s="9"/>
      <c r="AI48" s="9"/>
      <c r="AJ48" s="9"/>
      <c r="AK48" s="45"/>
      <c r="AL48" s="45" t="s">
        <v>2342</v>
      </c>
      <c r="AM48" s="45" t="s">
        <v>46</v>
      </c>
      <c r="AN48" s="45" t="s">
        <v>46</v>
      </c>
      <c r="AO48" s="45" t="s">
        <v>46</v>
      </c>
      <c r="AP48" s="45" t="s">
        <v>46</v>
      </c>
      <c r="AQ48" s="45" t="s">
        <v>46</v>
      </c>
      <c r="AR48" s="45" t="s">
        <v>46</v>
      </c>
      <c r="AS48" s="45" t="s">
        <v>46</v>
      </c>
      <c r="AT48" s="45"/>
      <c r="AU48" s="45"/>
      <c r="AV48" s="45"/>
      <c r="AW48" s="9"/>
      <c r="AX48" s="9"/>
      <c r="AY48" s="9"/>
      <c r="AZ48" s="9"/>
      <c r="BA48" s="10" t="s">
        <v>173</v>
      </c>
      <c r="BB48" s="29" t="s">
        <v>2717</v>
      </c>
      <c r="BC48" s="29" t="s">
        <v>2496</v>
      </c>
      <c r="BD48" s="29" t="s">
        <v>2550</v>
      </c>
      <c r="BE48" s="29" t="s">
        <v>2502</v>
      </c>
      <c r="BF48" s="29" t="s">
        <v>2503</v>
      </c>
      <c r="BG48" s="29" t="s">
        <v>40</v>
      </c>
      <c r="BH48" s="29" t="s">
        <v>2572</v>
      </c>
      <c r="BI48" s="29" t="s">
        <v>2641</v>
      </c>
      <c r="BJ48" s="29" t="s">
        <v>2701</v>
      </c>
      <c r="BK48" s="29" t="s">
        <v>294</v>
      </c>
      <c r="BL48" s="29" t="s">
        <v>2718</v>
      </c>
      <c r="BM48" s="29" t="s">
        <v>1611</v>
      </c>
      <c r="BN48" s="29" t="s">
        <v>1611</v>
      </c>
      <c r="BO48" s="29" t="s">
        <v>1611</v>
      </c>
      <c r="BP48" s="29" t="s">
        <v>1611</v>
      </c>
      <c r="BQ48" s="29" t="s">
        <v>1611</v>
      </c>
      <c r="BR48" s="29" t="s">
        <v>1611</v>
      </c>
      <c r="BS48" s="29" t="s">
        <v>1611</v>
      </c>
      <c r="BT48" s="29" t="s">
        <v>1611</v>
      </c>
      <c r="BU48" s="29" t="s">
        <v>2719</v>
      </c>
      <c r="BV48" s="29" t="s">
        <v>2720</v>
      </c>
      <c r="BW48" s="29" t="s">
        <v>1611</v>
      </c>
      <c r="BX48" s="29" t="s">
        <v>1611</v>
      </c>
      <c r="BY48" s="29" t="s">
        <v>1611</v>
      </c>
      <c r="BZ48" s="29" t="s">
        <v>1611</v>
      </c>
      <c r="CA48" s="29" t="s">
        <v>1611</v>
      </c>
      <c r="CB48" s="29" t="s">
        <v>1611</v>
      </c>
      <c r="CC48" s="29" t="s">
        <v>1611</v>
      </c>
      <c r="CD48" s="29" t="s">
        <v>1611</v>
      </c>
      <c r="CE48" s="29" t="s">
        <v>1611</v>
      </c>
      <c r="CF48" s="29" t="s">
        <v>1611</v>
      </c>
      <c r="CG48" s="29" t="s">
        <v>3070</v>
      </c>
      <c r="CH48" s="29" t="s">
        <v>1822</v>
      </c>
      <c r="CI48" s="29" t="s">
        <v>1611</v>
      </c>
      <c r="CJ48" s="29" t="s">
        <v>1611</v>
      </c>
      <c r="CK48" s="29" t="s">
        <v>3073</v>
      </c>
      <c r="CL48" s="29" t="s">
        <v>3075</v>
      </c>
      <c r="CM48" s="29" t="s">
        <v>3074</v>
      </c>
      <c r="CN48" s="29" t="s">
        <v>3076</v>
      </c>
      <c r="CO48" s="29" t="s">
        <v>1611</v>
      </c>
      <c r="CP48" s="29" t="s">
        <v>1611</v>
      </c>
      <c r="CQ48" s="29" t="s">
        <v>1611</v>
      </c>
      <c r="CR48" s="29" t="s">
        <v>1611</v>
      </c>
      <c r="CS48" s="29" t="s">
        <v>1611</v>
      </c>
      <c r="CT48" s="29" t="s">
        <v>1611</v>
      </c>
      <c r="CU48" s="29" t="s">
        <v>1611</v>
      </c>
      <c r="CV48" s="29" t="s">
        <v>1611</v>
      </c>
      <c r="CW48" s="29"/>
      <c r="CX48" s="29"/>
      <c r="CY48" s="151"/>
      <c r="CZ48" t="s">
        <v>3267</v>
      </c>
      <c r="DA48" t="s">
        <v>3634</v>
      </c>
      <c r="DD48" s="96" t="str">
        <f t="shared" si="0"/>
        <v/>
      </c>
      <c r="DF48" s="96" t="s">
        <v>3753</v>
      </c>
    </row>
    <row r="49" spans="1:110" ht="16.5" customHeight="1" x14ac:dyDescent="0.3">
      <c r="A49" t="s">
        <v>3798</v>
      </c>
      <c r="B49" t="s">
        <v>3778</v>
      </c>
      <c r="C49" s="105">
        <v>1665498</v>
      </c>
      <c r="D49" s="27">
        <v>43</v>
      </c>
      <c r="E49" s="28" t="s">
        <v>829</v>
      </c>
      <c r="F49" s="28">
        <v>1000314998</v>
      </c>
      <c r="G49" s="29" t="s">
        <v>1567</v>
      </c>
      <c r="H49" s="28">
        <v>1665498</v>
      </c>
      <c r="I49" s="29" t="s">
        <v>862</v>
      </c>
      <c r="J49" s="28" t="s">
        <v>429</v>
      </c>
      <c r="K49" s="7"/>
      <c r="L49" s="104" t="s">
        <v>685</v>
      </c>
      <c r="M49" s="29" t="s">
        <v>3207</v>
      </c>
      <c r="N49" s="29" t="s">
        <v>3208</v>
      </c>
      <c r="O49" s="127">
        <v>11485002</v>
      </c>
      <c r="P49" s="113" t="s">
        <v>1317</v>
      </c>
      <c r="Q49" s="28" t="s">
        <v>3209</v>
      </c>
      <c r="R49" s="28" t="s">
        <v>1301</v>
      </c>
      <c r="S49" s="28" t="s">
        <v>1301</v>
      </c>
      <c r="T49" s="28" t="s">
        <v>1301</v>
      </c>
      <c r="U49" s="28" t="s">
        <v>1301</v>
      </c>
      <c r="V49" s="28" t="s">
        <v>1301</v>
      </c>
      <c r="W49" s="28" t="s">
        <v>1301</v>
      </c>
      <c r="X49" s="28" t="s">
        <v>1301</v>
      </c>
      <c r="Y49" s="28" t="s">
        <v>1301</v>
      </c>
      <c r="Z49" s="28" t="s">
        <v>1301</v>
      </c>
      <c r="AA49" s="28" t="s">
        <v>1301</v>
      </c>
      <c r="AB49" s="104" t="s">
        <v>663</v>
      </c>
      <c r="AC49" s="104" t="s">
        <v>1340</v>
      </c>
      <c r="AD49" s="9" t="s">
        <v>1269</v>
      </c>
      <c r="AE49" s="9"/>
      <c r="AF49" s="9"/>
      <c r="AG49" s="34"/>
      <c r="AH49" s="9"/>
      <c r="AI49" s="9"/>
      <c r="AJ49" s="9"/>
      <c r="AK49" s="9" t="s">
        <v>46</v>
      </c>
      <c r="AL49" s="45" t="s">
        <v>461</v>
      </c>
      <c r="AM49" s="45" t="s">
        <v>461</v>
      </c>
      <c r="AN49" s="45" t="s">
        <v>461</v>
      </c>
      <c r="AO49" s="45" t="s">
        <v>461</v>
      </c>
      <c r="AP49" s="45" t="s">
        <v>461</v>
      </c>
      <c r="AQ49" s="45" t="s">
        <v>461</v>
      </c>
      <c r="AR49" s="45" t="s">
        <v>461</v>
      </c>
      <c r="AS49" s="45" t="s">
        <v>461</v>
      </c>
      <c r="AT49" s="45"/>
      <c r="AU49" s="45"/>
      <c r="AV49" s="45"/>
      <c r="AW49" s="9" t="s">
        <v>3800</v>
      </c>
      <c r="AX49" s="9" t="s">
        <v>3800</v>
      </c>
      <c r="AY49" s="9" t="s">
        <v>3800</v>
      </c>
      <c r="AZ49" s="45" t="s">
        <v>461</v>
      </c>
      <c r="BA49" s="10" t="s">
        <v>147</v>
      </c>
      <c r="BB49" s="29" t="s">
        <v>2695</v>
      </c>
      <c r="BC49" s="29" t="s">
        <v>2496</v>
      </c>
      <c r="BD49" s="29" t="s">
        <v>2550</v>
      </c>
      <c r="BE49" s="29" t="s">
        <v>2502</v>
      </c>
      <c r="BF49" s="29" t="s">
        <v>2503</v>
      </c>
      <c r="BG49" s="29" t="s">
        <v>2721</v>
      </c>
      <c r="BH49" s="29" t="s">
        <v>2722</v>
      </c>
      <c r="BI49" s="29" t="s">
        <v>2723</v>
      </c>
      <c r="BJ49" s="29" t="s">
        <v>2724</v>
      </c>
      <c r="BK49" s="29" t="s">
        <v>311</v>
      </c>
      <c r="BL49" s="29" t="s">
        <v>2725</v>
      </c>
      <c r="BM49" s="29" t="s">
        <v>1611</v>
      </c>
      <c r="BN49" s="29" t="s">
        <v>1611</v>
      </c>
      <c r="BO49" s="29" t="s">
        <v>1611</v>
      </c>
      <c r="BP49" s="29" t="s">
        <v>1611</v>
      </c>
      <c r="BQ49" s="29" t="s">
        <v>1611</v>
      </c>
      <c r="BR49" s="29" t="s">
        <v>1611</v>
      </c>
      <c r="BS49" s="29" t="s">
        <v>1611</v>
      </c>
      <c r="BT49" s="29" t="s">
        <v>1611</v>
      </c>
      <c r="BU49" s="29" t="s">
        <v>3199</v>
      </c>
      <c r="BV49" s="29" t="s">
        <v>3200</v>
      </c>
      <c r="BW49" s="29" t="s">
        <v>1611</v>
      </c>
      <c r="BX49" s="29" t="s">
        <v>1611</v>
      </c>
      <c r="BY49" s="29" t="s">
        <v>1611</v>
      </c>
      <c r="BZ49" s="29" t="s">
        <v>1611</v>
      </c>
      <c r="CA49" s="29" t="s">
        <v>1611</v>
      </c>
      <c r="CB49" s="29" t="s">
        <v>1611</v>
      </c>
      <c r="CC49" s="29" t="s">
        <v>1611</v>
      </c>
      <c r="CD49" s="29" t="s">
        <v>1611</v>
      </c>
      <c r="CE49" s="29" t="s">
        <v>1611</v>
      </c>
      <c r="CF49" s="29" t="s">
        <v>1611</v>
      </c>
      <c r="CG49" s="29" t="s">
        <v>133</v>
      </c>
      <c r="CH49" s="29" t="s">
        <v>2727</v>
      </c>
      <c r="CI49" s="29" t="s">
        <v>1611</v>
      </c>
      <c r="CJ49" s="29" t="s">
        <v>1611</v>
      </c>
      <c r="CK49" s="29" t="s">
        <v>3201</v>
      </c>
      <c r="CL49" s="29" t="s">
        <v>3202</v>
      </c>
      <c r="CM49" s="29" t="s">
        <v>1611</v>
      </c>
      <c r="CN49" s="29" t="s">
        <v>1611</v>
      </c>
      <c r="CO49" s="29" t="s">
        <v>1611</v>
      </c>
      <c r="CP49" s="29" t="s">
        <v>1611</v>
      </c>
      <c r="CQ49" s="29" t="s">
        <v>1611</v>
      </c>
      <c r="CR49" s="29" t="s">
        <v>1611</v>
      </c>
      <c r="CS49" s="29" t="s">
        <v>1611</v>
      </c>
      <c r="CT49" s="29" t="s">
        <v>1611</v>
      </c>
      <c r="CU49" s="29" t="s">
        <v>1611</v>
      </c>
      <c r="CV49" s="29" t="s">
        <v>1611</v>
      </c>
      <c r="CW49" s="29"/>
      <c r="CX49" s="29"/>
      <c r="CY49" s="151"/>
      <c r="CZ49" t="s">
        <v>3268</v>
      </c>
      <c r="DA49" t="s">
        <v>3634</v>
      </c>
      <c r="DD49" s="96" t="str">
        <f t="shared" si="0"/>
        <v/>
      </c>
      <c r="DF49" s="96" t="s">
        <v>3753</v>
      </c>
    </row>
    <row r="50" spans="1:110" ht="16.5" customHeight="1" x14ac:dyDescent="0.3">
      <c r="C50" s="105">
        <v>1684040</v>
      </c>
      <c r="D50" s="27">
        <v>44</v>
      </c>
      <c r="E50" s="28" t="s">
        <v>656</v>
      </c>
      <c r="F50" s="28">
        <v>1000325060</v>
      </c>
      <c r="G50" s="29" t="s">
        <v>863</v>
      </c>
      <c r="H50" s="28">
        <v>1684040</v>
      </c>
      <c r="I50" s="29" t="s">
        <v>864</v>
      </c>
      <c r="J50" s="28" t="s">
        <v>429</v>
      </c>
      <c r="K50" s="7"/>
      <c r="L50" s="104" t="s">
        <v>686</v>
      </c>
      <c r="M50" s="29"/>
      <c r="N50" s="29"/>
      <c r="O50" s="127"/>
      <c r="P50" s="28"/>
      <c r="Q50" s="28"/>
      <c r="R50" s="28"/>
      <c r="S50" s="28"/>
      <c r="T50" s="28"/>
      <c r="U50" s="28"/>
      <c r="V50" s="28"/>
      <c r="W50" s="28"/>
      <c r="X50" s="28"/>
      <c r="Y50" s="28"/>
      <c r="Z50" s="28"/>
      <c r="AA50" s="28"/>
      <c r="AB50" s="104"/>
      <c r="AC50" s="28"/>
      <c r="AD50" s="9" t="s">
        <v>1269</v>
      </c>
      <c r="AE50" s="39">
        <v>45874</v>
      </c>
      <c r="AF50" s="9" t="s">
        <v>1276</v>
      </c>
      <c r="AG50" s="34" t="s">
        <v>1330</v>
      </c>
      <c r="AH50" s="9"/>
      <c r="AI50" s="9"/>
      <c r="AJ50" s="9"/>
      <c r="AK50" s="45"/>
      <c r="AL50" s="45" t="s">
        <v>1611</v>
      </c>
      <c r="AM50" s="45"/>
      <c r="AN50" s="45"/>
      <c r="AO50" s="45"/>
      <c r="AP50" s="45"/>
      <c r="AQ50" s="45"/>
      <c r="AR50" s="45"/>
      <c r="AS50" s="45"/>
      <c r="AT50" s="45"/>
      <c r="AU50" s="45"/>
      <c r="AV50" s="45"/>
      <c r="AW50" s="9"/>
      <c r="AX50" s="9"/>
      <c r="AY50" s="9"/>
      <c r="AZ50" s="9"/>
      <c r="BA50" s="10" t="s">
        <v>79</v>
      </c>
      <c r="BB50" s="29" t="s">
        <v>2612</v>
      </c>
      <c r="BC50" s="29" t="s">
        <v>1611</v>
      </c>
      <c r="BD50" s="29" t="s">
        <v>1611</v>
      </c>
      <c r="BE50" s="29" t="s">
        <v>1611</v>
      </c>
      <c r="BF50" s="29" t="s">
        <v>1611</v>
      </c>
      <c r="BG50" s="29" t="s">
        <v>2650</v>
      </c>
      <c r="BH50" s="29" t="s">
        <v>2651</v>
      </c>
      <c r="BI50" s="29" t="s">
        <v>570</v>
      </c>
      <c r="BJ50" s="29" t="s">
        <v>2696</v>
      </c>
      <c r="BK50" s="29" t="s">
        <v>225</v>
      </c>
      <c r="BL50" s="29" t="s">
        <v>2728</v>
      </c>
      <c r="BM50" s="29" t="s">
        <v>1611</v>
      </c>
      <c r="BN50" s="29" t="s">
        <v>1611</v>
      </c>
      <c r="BO50" s="29" t="s">
        <v>1611</v>
      </c>
      <c r="BP50" s="29" t="s">
        <v>1611</v>
      </c>
      <c r="BQ50" s="29" t="s">
        <v>1611</v>
      </c>
      <c r="BR50" s="29" t="s">
        <v>1611</v>
      </c>
      <c r="BS50" s="29" t="s">
        <v>1611</v>
      </c>
      <c r="BT50" s="29" t="s">
        <v>1611</v>
      </c>
      <c r="BU50" s="29" t="s">
        <v>357</v>
      </c>
      <c r="BV50" s="29" t="s">
        <v>2436</v>
      </c>
      <c r="BW50" s="29" t="s">
        <v>1611</v>
      </c>
      <c r="BX50" s="29" t="s">
        <v>1611</v>
      </c>
      <c r="BY50" s="29" t="s">
        <v>1611</v>
      </c>
      <c r="BZ50" s="29" t="s">
        <v>1611</v>
      </c>
      <c r="CA50" s="29" t="s">
        <v>1611</v>
      </c>
      <c r="CB50" s="29" t="s">
        <v>1611</v>
      </c>
      <c r="CC50" s="29" t="s">
        <v>1611</v>
      </c>
      <c r="CD50" s="29" t="s">
        <v>1611</v>
      </c>
      <c r="CE50" s="29" t="s">
        <v>1611</v>
      </c>
      <c r="CF50" s="29" t="s">
        <v>1611</v>
      </c>
      <c r="CG50" s="29" t="s">
        <v>2729</v>
      </c>
      <c r="CH50" s="29" t="s">
        <v>2730</v>
      </c>
      <c r="CI50" s="29" t="s">
        <v>1611</v>
      </c>
      <c r="CJ50" s="29" t="s">
        <v>1611</v>
      </c>
      <c r="CK50" s="29" t="s">
        <v>1611</v>
      </c>
      <c r="CL50" s="29" t="s">
        <v>1611</v>
      </c>
      <c r="CM50" s="29" t="s">
        <v>1611</v>
      </c>
      <c r="CN50" s="29" t="s">
        <v>1611</v>
      </c>
      <c r="CO50" s="29" t="s">
        <v>1611</v>
      </c>
      <c r="CP50" s="29" t="s">
        <v>1611</v>
      </c>
      <c r="CQ50" s="29" t="s">
        <v>1611</v>
      </c>
      <c r="CR50" s="29" t="s">
        <v>1611</v>
      </c>
      <c r="CS50" s="29" t="s">
        <v>1611</v>
      </c>
      <c r="CT50" s="29" t="s">
        <v>1611</v>
      </c>
      <c r="CU50" s="29" t="s">
        <v>1611</v>
      </c>
      <c r="CV50" s="29" t="s">
        <v>1611</v>
      </c>
      <c r="CW50" s="29"/>
      <c r="CX50" s="29"/>
      <c r="CY50" s="151"/>
      <c r="CZ50" t="e">
        <v>#N/A</v>
      </c>
      <c r="DA50" t="e">
        <v>#N/A</v>
      </c>
      <c r="DD50" s="96" t="str">
        <f t="shared" si="0"/>
        <v>V</v>
      </c>
    </row>
    <row r="51" spans="1:110" ht="16.5" customHeight="1" x14ac:dyDescent="0.3">
      <c r="C51" s="105">
        <v>1672093</v>
      </c>
      <c r="D51" s="27">
        <v>45</v>
      </c>
      <c r="E51" s="28" t="s">
        <v>784</v>
      </c>
      <c r="F51" s="28">
        <v>1000708387</v>
      </c>
      <c r="G51" s="29" t="s">
        <v>1566</v>
      </c>
      <c r="H51" s="28">
        <v>1672093</v>
      </c>
      <c r="I51" s="29" t="s">
        <v>865</v>
      </c>
      <c r="J51" s="28" t="s">
        <v>854</v>
      </c>
      <c r="K51" s="7"/>
      <c r="L51" s="104" t="s">
        <v>671</v>
      </c>
      <c r="M51" s="29" t="s">
        <v>3546</v>
      </c>
      <c r="N51" s="110" t="s">
        <v>3547</v>
      </c>
      <c r="O51" s="127">
        <v>285233</v>
      </c>
      <c r="P51" s="28" t="s">
        <v>1301</v>
      </c>
      <c r="Q51" s="28" t="s">
        <v>1301</v>
      </c>
      <c r="R51" s="28" t="s">
        <v>1301</v>
      </c>
      <c r="S51" s="28" t="s">
        <v>612</v>
      </c>
      <c r="T51" s="28" t="s">
        <v>1329</v>
      </c>
      <c r="U51" s="28" t="s">
        <v>1301</v>
      </c>
      <c r="V51" s="28" t="s">
        <v>1301</v>
      </c>
      <c r="W51" s="28" t="s">
        <v>1301</v>
      </c>
      <c r="X51" s="28" t="s">
        <v>1301</v>
      </c>
      <c r="Y51" s="28" t="s">
        <v>1301</v>
      </c>
      <c r="Z51" s="28" t="s">
        <v>1301</v>
      </c>
      <c r="AA51" s="28" t="s">
        <v>1301</v>
      </c>
      <c r="AB51" s="104" t="s">
        <v>1544</v>
      </c>
      <c r="AC51" s="104" t="s">
        <v>645</v>
      </c>
      <c r="AD51" s="9" t="s">
        <v>1269</v>
      </c>
      <c r="AE51" s="9"/>
      <c r="AF51" s="9"/>
      <c r="AG51" s="34"/>
      <c r="AH51" s="9"/>
      <c r="AI51" s="9"/>
      <c r="AJ51" s="9" t="s">
        <v>46</v>
      </c>
      <c r="AK51" s="45"/>
      <c r="AL51" s="45" t="s">
        <v>3059</v>
      </c>
      <c r="AM51" s="45" t="s">
        <v>46</v>
      </c>
      <c r="AN51" s="45" t="s">
        <v>46</v>
      </c>
      <c r="AO51" s="45" t="s">
        <v>46</v>
      </c>
      <c r="AP51" s="45" t="s">
        <v>46</v>
      </c>
      <c r="AQ51" s="45" t="s">
        <v>46</v>
      </c>
      <c r="AR51" s="45" t="s">
        <v>46</v>
      </c>
      <c r="AS51" s="45" t="s">
        <v>46</v>
      </c>
      <c r="AT51" s="45"/>
      <c r="AU51" s="45"/>
      <c r="AV51" s="45"/>
      <c r="AW51" s="9" t="s">
        <v>3563</v>
      </c>
      <c r="AX51" s="9" t="s">
        <v>3563</v>
      </c>
      <c r="AY51" s="9" t="s">
        <v>3563</v>
      </c>
      <c r="AZ51" s="9" t="s">
        <v>3563</v>
      </c>
      <c r="BA51" s="10" t="s">
        <v>184</v>
      </c>
      <c r="BB51" s="29" t="s">
        <v>2568</v>
      </c>
      <c r="BC51" s="29" t="s">
        <v>1611</v>
      </c>
      <c r="BD51" s="29" t="s">
        <v>1611</v>
      </c>
      <c r="BE51" s="29" t="s">
        <v>2502</v>
      </c>
      <c r="BF51" s="29" t="s">
        <v>2503</v>
      </c>
      <c r="BG51" s="29" t="s">
        <v>1762</v>
      </c>
      <c r="BH51" s="29" t="s">
        <v>2504</v>
      </c>
      <c r="BI51" s="29" t="s">
        <v>408</v>
      </c>
      <c r="BJ51" s="29" t="s">
        <v>2601</v>
      </c>
      <c r="BK51" s="29" t="s">
        <v>349</v>
      </c>
      <c r="BL51" s="29" t="s">
        <v>2731</v>
      </c>
      <c r="BM51" s="29" t="s">
        <v>1611</v>
      </c>
      <c r="BN51" s="29" t="s">
        <v>1611</v>
      </c>
      <c r="BO51" s="29" t="s">
        <v>1611</v>
      </c>
      <c r="BP51" s="29" t="s">
        <v>1611</v>
      </c>
      <c r="BQ51" s="29" t="s">
        <v>1611</v>
      </c>
      <c r="BR51" s="29" t="s">
        <v>1611</v>
      </c>
      <c r="BS51" s="29" t="s">
        <v>1611</v>
      </c>
      <c r="BT51" s="29" t="s">
        <v>1611</v>
      </c>
      <c r="BU51" s="29" t="s">
        <v>2358</v>
      </c>
      <c r="BV51" s="29" t="s">
        <v>2396</v>
      </c>
      <c r="BW51" s="29"/>
      <c r="BX51" s="29"/>
      <c r="BY51" s="29" t="s">
        <v>1611</v>
      </c>
      <c r="BZ51" s="29" t="s">
        <v>1611</v>
      </c>
      <c r="CA51" s="29" t="s">
        <v>1611</v>
      </c>
      <c r="CB51" s="29" t="s">
        <v>1611</v>
      </c>
      <c r="CC51" s="29" t="s">
        <v>1611</v>
      </c>
      <c r="CD51" s="29" t="s">
        <v>1611</v>
      </c>
      <c r="CE51" s="29" t="s">
        <v>1611</v>
      </c>
      <c r="CF51" s="29" t="s">
        <v>1611</v>
      </c>
      <c r="CG51" s="29" t="s">
        <v>3020</v>
      </c>
      <c r="CH51" s="29" t="s">
        <v>3021</v>
      </c>
      <c r="CI51" s="29" t="s">
        <v>1611</v>
      </c>
      <c r="CJ51" s="29" t="s">
        <v>1611</v>
      </c>
      <c r="CK51" s="29" t="s">
        <v>3548</v>
      </c>
      <c r="CL51" s="29" t="s">
        <v>3550</v>
      </c>
      <c r="CM51" s="29" t="s">
        <v>3549</v>
      </c>
      <c r="CN51" s="29" t="s">
        <v>3551</v>
      </c>
      <c r="CO51" s="29" t="s">
        <v>1611</v>
      </c>
      <c r="CP51" s="29" t="s">
        <v>1611</v>
      </c>
      <c r="CQ51" s="29" t="s">
        <v>1611</v>
      </c>
      <c r="CR51" s="29" t="s">
        <v>1611</v>
      </c>
      <c r="CS51" s="29" t="s">
        <v>1611</v>
      </c>
      <c r="CT51" s="29" t="s">
        <v>1611</v>
      </c>
      <c r="CU51" s="29" t="s">
        <v>1611</v>
      </c>
      <c r="CV51" s="29" t="s">
        <v>1611</v>
      </c>
      <c r="CW51" s="29"/>
      <c r="CX51" s="29"/>
      <c r="CY51" s="151"/>
      <c r="CZ51" t="s">
        <v>3552</v>
      </c>
      <c r="DA51" t="s">
        <v>3634</v>
      </c>
      <c r="DD51" s="96" t="str">
        <f t="shared" si="0"/>
        <v/>
      </c>
      <c r="DF51" s="96" t="s">
        <v>3753</v>
      </c>
    </row>
    <row r="52" spans="1:110" ht="16.5" customHeight="1" x14ac:dyDescent="0.3">
      <c r="C52" s="105">
        <v>1692146</v>
      </c>
      <c r="D52" s="27">
        <v>46</v>
      </c>
      <c r="E52" s="28" t="s">
        <v>786</v>
      </c>
      <c r="F52" s="28">
        <v>1000317436</v>
      </c>
      <c r="G52" s="29" t="s">
        <v>1565</v>
      </c>
      <c r="H52" s="28">
        <v>1692146</v>
      </c>
      <c r="I52" s="29" t="s">
        <v>866</v>
      </c>
      <c r="J52" s="28"/>
      <c r="K52" s="7"/>
      <c r="L52" s="104"/>
      <c r="M52" s="29"/>
      <c r="N52" s="29"/>
      <c r="O52" s="127">
        <v>2262294</v>
      </c>
      <c r="P52" s="28"/>
      <c r="Q52" s="28"/>
      <c r="R52" s="28"/>
      <c r="S52" s="28"/>
      <c r="T52" s="28"/>
      <c r="U52" s="28"/>
      <c r="V52" s="28"/>
      <c r="W52" s="28"/>
      <c r="X52" s="28"/>
      <c r="Y52" s="28"/>
      <c r="Z52" s="28"/>
      <c r="AA52" s="28"/>
      <c r="AB52" s="104" t="s">
        <v>663</v>
      </c>
      <c r="AC52" s="104" t="s">
        <v>664</v>
      </c>
      <c r="AD52" s="9" t="s">
        <v>1269</v>
      </c>
      <c r="AE52" s="39">
        <v>46043</v>
      </c>
      <c r="AF52" s="9" t="s">
        <v>1276</v>
      </c>
      <c r="AG52" s="34" t="s">
        <v>3511</v>
      </c>
      <c r="AH52" s="9"/>
      <c r="AI52" s="9" t="s">
        <v>2491</v>
      </c>
      <c r="AJ52" s="9"/>
      <c r="AK52" s="45"/>
      <c r="AL52" s="9" t="s">
        <v>2491</v>
      </c>
      <c r="AM52" s="45"/>
      <c r="AN52" s="45"/>
      <c r="AO52" s="45"/>
      <c r="AP52" s="45"/>
      <c r="AQ52" s="45"/>
      <c r="AR52" s="45"/>
      <c r="AS52" s="45"/>
      <c r="AT52" s="45"/>
      <c r="AU52" s="45"/>
      <c r="AV52" s="45"/>
      <c r="AW52" s="9"/>
      <c r="AX52" s="9"/>
      <c r="AY52" s="9"/>
      <c r="AZ52" s="9"/>
      <c r="BA52" s="10" t="s">
        <v>100</v>
      </c>
      <c r="BB52" s="29" t="s">
        <v>2513</v>
      </c>
      <c r="BC52" s="29" t="s">
        <v>1611</v>
      </c>
      <c r="BD52" s="29" t="s">
        <v>1611</v>
      </c>
      <c r="BE52" s="29" t="s">
        <v>2514</v>
      </c>
      <c r="BF52" s="29" t="s">
        <v>2515</v>
      </c>
      <c r="BG52" s="29" t="s">
        <v>2516</v>
      </c>
      <c r="BH52" s="29" t="s">
        <v>2517</v>
      </c>
      <c r="BI52" s="29" t="s">
        <v>40</v>
      </c>
      <c r="BJ52" s="29" t="s">
        <v>2572</v>
      </c>
      <c r="BK52" s="29" t="s">
        <v>2732</v>
      </c>
      <c r="BL52" s="29" t="s">
        <v>2733</v>
      </c>
      <c r="BM52" s="29" t="s">
        <v>1611</v>
      </c>
      <c r="BN52" s="29" t="s">
        <v>1611</v>
      </c>
      <c r="BO52" s="29" t="s">
        <v>1611</v>
      </c>
      <c r="BP52" s="29" t="s">
        <v>1611</v>
      </c>
      <c r="BQ52" s="29" t="s">
        <v>1611</v>
      </c>
      <c r="BR52" s="29" t="s">
        <v>1611</v>
      </c>
      <c r="BS52" s="29" t="s">
        <v>1611</v>
      </c>
      <c r="BT52" s="29" t="s">
        <v>1611</v>
      </c>
      <c r="BU52" s="29" t="s">
        <v>2362</v>
      </c>
      <c r="BV52" s="29" t="s">
        <v>2404</v>
      </c>
      <c r="BW52" s="29" t="s">
        <v>1611</v>
      </c>
      <c r="BX52" s="29" t="s">
        <v>1611</v>
      </c>
      <c r="BY52" s="29" t="s">
        <v>1611</v>
      </c>
      <c r="BZ52" s="29" t="s">
        <v>1611</v>
      </c>
      <c r="CA52" s="29" t="s">
        <v>1611</v>
      </c>
      <c r="CB52" s="29" t="s">
        <v>1611</v>
      </c>
      <c r="CC52" s="29" t="s">
        <v>1611</v>
      </c>
      <c r="CD52" s="29" t="s">
        <v>1611</v>
      </c>
      <c r="CE52" s="29" t="s">
        <v>1611</v>
      </c>
      <c r="CF52" s="29" t="s">
        <v>1611</v>
      </c>
      <c r="CG52" s="29" t="s">
        <v>3509</v>
      </c>
      <c r="CH52" s="29" t="s">
        <v>3026</v>
      </c>
      <c r="CI52" s="29" t="s">
        <v>1611</v>
      </c>
      <c r="CJ52" s="29" t="s">
        <v>1611</v>
      </c>
      <c r="CK52" s="29" t="s">
        <v>1611</v>
      </c>
      <c r="CL52" s="29" t="s">
        <v>1611</v>
      </c>
      <c r="CM52" s="29" t="s">
        <v>1611</v>
      </c>
      <c r="CN52" s="29" t="s">
        <v>1611</v>
      </c>
      <c r="CO52" s="29" t="s">
        <v>1611</v>
      </c>
      <c r="CP52" s="29" t="s">
        <v>1611</v>
      </c>
      <c r="CQ52" s="29" t="s">
        <v>1611</v>
      </c>
      <c r="CR52" s="29" t="s">
        <v>1611</v>
      </c>
      <c r="CS52" s="29" t="s">
        <v>1611</v>
      </c>
      <c r="CT52" s="29" t="s">
        <v>1611</v>
      </c>
      <c r="CU52" s="29" t="s">
        <v>1611</v>
      </c>
      <c r="CV52" s="29" t="s">
        <v>1611</v>
      </c>
      <c r="CW52" s="29"/>
      <c r="CX52" s="29"/>
      <c r="CY52" s="151"/>
      <c r="CZ52" t="s">
        <v>3739</v>
      </c>
      <c r="DA52" t="s">
        <v>3594</v>
      </c>
      <c r="DD52" s="96" t="str">
        <f t="shared" si="0"/>
        <v>V</v>
      </c>
    </row>
    <row r="53" spans="1:110" ht="16.5" customHeight="1" x14ac:dyDescent="0.3">
      <c r="A53" t="s">
        <v>3761</v>
      </c>
      <c r="B53" t="s">
        <v>3778</v>
      </c>
      <c r="C53" s="105">
        <v>1667534</v>
      </c>
      <c r="D53" s="27">
        <v>47</v>
      </c>
      <c r="E53" s="28" t="s">
        <v>784</v>
      </c>
      <c r="F53" s="28">
        <v>1000712754</v>
      </c>
      <c r="G53" s="29" t="s">
        <v>1563</v>
      </c>
      <c r="H53" s="28">
        <v>1667534</v>
      </c>
      <c r="I53" s="29" t="s">
        <v>868</v>
      </c>
      <c r="J53" s="28" t="s">
        <v>854</v>
      </c>
      <c r="K53" s="7"/>
      <c r="L53" s="104" t="s">
        <v>687</v>
      </c>
      <c r="M53" s="29" t="s">
        <v>2343</v>
      </c>
      <c r="N53" s="29" t="s">
        <v>2344</v>
      </c>
      <c r="O53" s="127">
        <v>104412</v>
      </c>
      <c r="P53" s="28" t="s">
        <v>1301</v>
      </c>
      <c r="Q53" s="28" t="s">
        <v>1301</v>
      </c>
      <c r="R53" s="28" t="s">
        <v>1301</v>
      </c>
      <c r="S53" s="28" t="s">
        <v>1301</v>
      </c>
      <c r="T53" s="28" t="s">
        <v>1329</v>
      </c>
      <c r="U53" s="28" t="s">
        <v>612</v>
      </c>
      <c r="V53" s="28" t="s">
        <v>1301</v>
      </c>
      <c r="W53" s="28" t="s">
        <v>1301</v>
      </c>
      <c r="X53" s="28" t="s">
        <v>1301</v>
      </c>
      <c r="Y53" s="28" t="s">
        <v>1301</v>
      </c>
      <c r="Z53" s="28" t="s">
        <v>1301</v>
      </c>
      <c r="AA53" s="28" t="s">
        <v>1301</v>
      </c>
      <c r="AB53" s="104" t="s">
        <v>1544</v>
      </c>
      <c r="AC53" s="104" t="s">
        <v>645</v>
      </c>
      <c r="AD53" s="9" t="s">
        <v>1269</v>
      </c>
      <c r="AE53" s="9"/>
      <c r="AF53" s="9"/>
      <c r="AG53" s="34"/>
      <c r="AH53" s="9"/>
      <c r="AI53" s="45" t="s">
        <v>46</v>
      </c>
      <c r="AJ53" s="9"/>
      <c r="AK53" s="45"/>
      <c r="AL53" s="45" t="s">
        <v>2278</v>
      </c>
      <c r="AM53" s="45" t="s">
        <v>461</v>
      </c>
      <c r="AN53" s="45" t="s">
        <v>461</v>
      </c>
      <c r="AO53" s="45" t="s">
        <v>461</v>
      </c>
      <c r="AP53" s="45" t="s">
        <v>461</v>
      </c>
      <c r="AQ53" s="45" t="s">
        <v>461</v>
      </c>
      <c r="AR53" s="45" t="s">
        <v>461</v>
      </c>
      <c r="AS53" s="45"/>
      <c r="AT53" s="45"/>
      <c r="AU53" s="45"/>
      <c r="AV53" s="45"/>
      <c r="AW53" s="9"/>
      <c r="AX53" s="9"/>
      <c r="AY53" s="9"/>
      <c r="AZ53" s="9"/>
      <c r="BA53" s="10" t="s">
        <v>2498</v>
      </c>
      <c r="BB53" s="29" t="s">
        <v>2690</v>
      </c>
      <c r="BC53" s="29" t="s">
        <v>1611</v>
      </c>
      <c r="BD53" s="29" t="s">
        <v>1611</v>
      </c>
      <c r="BE53" s="29" t="s">
        <v>2502</v>
      </c>
      <c r="BF53" s="29" t="s">
        <v>2503</v>
      </c>
      <c r="BG53" s="29" t="s">
        <v>2539</v>
      </c>
      <c r="BH53" s="29" t="s">
        <v>2540</v>
      </c>
      <c r="BI53" s="29" t="s">
        <v>2575</v>
      </c>
      <c r="BJ53" s="29" t="s">
        <v>2576</v>
      </c>
      <c r="BK53" s="29" t="s">
        <v>409</v>
      </c>
      <c r="BL53" s="29" t="s">
        <v>2640</v>
      </c>
      <c r="BM53" s="29" t="s">
        <v>1611</v>
      </c>
      <c r="BN53" s="29" t="s">
        <v>1611</v>
      </c>
      <c r="BO53" s="29" t="s">
        <v>1611</v>
      </c>
      <c r="BP53" s="29" t="s">
        <v>1611</v>
      </c>
      <c r="BQ53" s="29" t="s">
        <v>1611</v>
      </c>
      <c r="BR53" s="29" t="s">
        <v>1611</v>
      </c>
      <c r="BS53" s="29" t="s">
        <v>1611</v>
      </c>
      <c r="BT53" s="29" t="s">
        <v>1611</v>
      </c>
      <c r="BU53" s="29" t="s">
        <v>2734</v>
      </c>
      <c r="BV53" s="29" t="s">
        <v>2735</v>
      </c>
      <c r="BW53" s="29" t="s">
        <v>1611</v>
      </c>
      <c r="BX53" s="29" t="s">
        <v>1611</v>
      </c>
      <c r="BY53" s="29" t="s">
        <v>1611</v>
      </c>
      <c r="BZ53" s="29" t="s">
        <v>1611</v>
      </c>
      <c r="CA53" s="29" t="s">
        <v>1611</v>
      </c>
      <c r="CB53" s="29" t="s">
        <v>1611</v>
      </c>
      <c r="CC53" s="29" t="s">
        <v>1611</v>
      </c>
      <c r="CD53" s="29" t="s">
        <v>1611</v>
      </c>
      <c r="CE53" s="29" t="s">
        <v>1611</v>
      </c>
      <c r="CF53" s="29" t="s">
        <v>1611</v>
      </c>
      <c r="CG53" s="29" t="s">
        <v>1719</v>
      </c>
      <c r="CH53" s="29" t="s">
        <v>1825</v>
      </c>
      <c r="CI53" s="29" t="s">
        <v>1611</v>
      </c>
      <c r="CJ53" s="29" t="s">
        <v>1611</v>
      </c>
      <c r="CK53" s="29" t="s">
        <v>2736</v>
      </c>
      <c r="CL53" s="29" t="s">
        <v>2737</v>
      </c>
      <c r="CM53" s="29" t="s">
        <v>2738</v>
      </c>
      <c r="CN53" s="29" t="s">
        <v>2739</v>
      </c>
      <c r="CO53" s="29" t="s">
        <v>1611</v>
      </c>
      <c r="CP53" s="29" t="s">
        <v>1611</v>
      </c>
      <c r="CQ53" s="29" t="s">
        <v>1611</v>
      </c>
      <c r="CR53" s="29" t="s">
        <v>1611</v>
      </c>
      <c r="CS53" s="29" t="s">
        <v>1611</v>
      </c>
      <c r="CT53" s="29" t="s">
        <v>1611</v>
      </c>
      <c r="CU53" s="29" t="s">
        <v>1611</v>
      </c>
      <c r="CV53" s="29" t="s">
        <v>1611</v>
      </c>
      <c r="CW53" s="29"/>
      <c r="CX53" s="29"/>
      <c r="CY53" s="151"/>
      <c r="CZ53" t="s">
        <v>3269</v>
      </c>
      <c r="DA53" t="s">
        <v>3634</v>
      </c>
      <c r="DD53" s="96" t="str">
        <f t="shared" si="0"/>
        <v/>
      </c>
      <c r="DF53" s="96" t="s">
        <v>3753</v>
      </c>
    </row>
    <row r="54" spans="1:110" ht="16.5" customHeight="1" x14ac:dyDescent="0.3">
      <c r="C54" s="105">
        <v>1661004</v>
      </c>
      <c r="D54" s="27">
        <v>48</v>
      </c>
      <c r="E54" s="28" t="s">
        <v>843</v>
      </c>
      <c r="F54" s="28">
        <v>1000317098</v>
      </c>
      <c r="G54" s="29" t="s">
        <v>1564</v>
      </c>
      <c r="H54" s="28">
        <v>1661004</v>
      </c>
      <c r="I54" s="29" t="s">
        <v>870</v>
      </c>
      <c r="J54" s="28" t="s">
        <v>854</v>
      </c>
      <c r="K54" s="7"/>
      <c r="L54" s="104" t="s">
        <v>688</v>
      </c>
      <c r="M54" s="29" t="s">
        <v>3039</v>
      </c>
      <c r="N54" s="29" t="s">
        <v>2301</v>
      </c>
      <c r="O54" s="127">
        <v>1379887</v>
      </c>
      <c r="P54" s="113" t="s">
        <v>1317</v>
      </c>
      <c r="Q54" s="28" t="s">
        <v>612</v>
      </c>
      <c r="R54" s="28" t="s">
        <v>1301</v>
      </c>
      <c r="S54" s="28" t="s">
        <v>1301</v>
      </c>
      <c r="T54" s="28" t="s">
        <v>1301</v>
      </c>
      <c r="U54" s="28" t="s">
        <v>1301</v>
      </c>
      <c r="V54" s="28" t="s">
        <v>1301</v>
      </c>
      <c r="W54" s="28" t="s">
        <v>1301</v>
      </c>
      <c r="X54" s="28" t="s">
        <v>1301</v>
      </c>
      <c r="Y54" s="28" t="s">
        <v>1301</v>
      </c>
      <c r="Z54" s="28" t="s">
        <v>1301</v>
      </c>
      <c r="AA54" s="28" t="s">
        <v>1301</v>
      </c>
      <c r="AB54" s="104" t="s">
        <v>1544</v>
      </c>
      <c r="AC54" s="104" t="s">
        <v>645</v>
      </c>
      <c r="AD54" s="9" t="s">
        <v>1269</v>
      </c>
      <c r="AE54" s="9"/>
      <c r="AF54" s="9"/>
      <c r="AG54" s="34"/>
      <c r="AH54" s="9"/>
      <c r="AI54" s="45" t="s">
        <v>46</v>
      </c>
      <c r="AJ54" s="9"/>
      <c r="AK54" s="45"/>
      <c r="AL54" s="45" t="s">
        <v>461</v>
      </c>
      <c r="AM54" s="45" t="s">
        <v>461</v>
      </c>
      <c r="AN54" s="45" t="s">
        <v>461</v>
      </c>
      <c r="AO54" s="45" t="s">
        <v>461</v>
      </c>
      <c r="AP54" s="45" t="s">
        <v>461</v>
      </c>
      <c r="AQ54" s="45" t="s">
        <v>461</v>
      </c>
      <c r="AR54" s="45" t="s">
        <v>461</v>
      </c>
      <c r="AS54" s="45" t="s">
        <v>461</v>
      </c>
      <c r="AT54" s="45"/>
      <c r="AU54" s="45"/>
      <c r="AV54" s="45"/>
      <c r="AW54" s="45" t="s">
        <v>461</v>
      </c>
      <c r="AX54" s="45" t="s">
        <v>461</v>
      </c>
      <c r="AY54" s="45" t="s">
        <v>461</v>
      </c>
      <c r="AZ54" s="45" t="s">
        <v>461</v>
      </c>
      <c r="BA54" s="10" t="s">
        <v>2497</v>
      </c>
      <c r="BB54" s="29" t="s">
        <v>2567</v>
      </c>
      <c r="BC54" s="29" t="s">
        <v>2496</v>
      </c>
      <c r="BD54" s="29" t="s">
        <v>2550</v>
      </c>
      <c r="BE54" s="29" t="s">
        <v>2514</v>
      </c>
      <c r="BF54" s="29" t="s">
        <v>2515</v>
      </c>
      <c r="BG54" s="29" t="s">
        <v>2569</v>
      </c>
      <c r="BH54" s="29" t="s">
        <v>2570</v>
      </c>
      <c r="BI54" s="29" t="s">
        <v>175</v>
      </c>
      <c r="BJ54" s="29" t="s">
        <v>2649</v>
      </c>
      <c r="BK54" s="29" t="s">
        <v>2740</v>
      </c>
      <c r="BL54" s="29" t="s">
        <v>2741</v>
      </c>
      <c r="BM54" s="29" t="s">
        <v>1611</v>
      </c>
      <c r="BN54" s="29" t="s">
        <v>1611</v>
      </c>
      <c r="BO54" s="29" t="s">
        <v>1611</v>
      </c>
      <c r="BP54" s="29" t="s">
        <v>1611</v>
      </c>
      <c r="BQ54" s="29" t="s">
        <v>1611</v>
      </c>
      <c r="BR54" s="29" t="s">
        <v>1611</v>
      </c>
      <c r="BS54" s="29" t="s">
        <v>1611</v>
      </c>
      <c r="BT54" s="29" t="s">
        <v>1611</v>
      </c>
      <c r="BU54" s="29" t="s">
        <v>2742</v>
      </c>
      <c r="BV54" s="29" t="s">
        <v>2743</v>
      </c>
      <c r="BW54" s="29" t="s">
        <v>1611</v>
      </c>
      <c r="BX54" s="29" t="s">
        <v>1611</v>
      </c>
      <c r="BY54" s="29" t="s">
        <v>1611</v>
      </c>
      <c r="BZ54" s="29" t="s">
        <v>1611</v>
      </c>
      <c r="CA54" s="29" t="s">
        <v>1611</v>
      </c>
      <c r="CB54" s="29" t="s">
        <v>1611</v>
      </c>
      <c r="CC54" s="29" t="s">
        <v>1611</v>
      </c>
      <c r="CD54" s="29" t="s">
        <v>1611</v>
      </c>
      <c r="CE54" s="29" t="s">
        <v>1611</v>
      </c>
      <c r="CF54" s="29" t="s">
        <v>1611</v>
      </c>
      <c r="CG54" s="29" t="s">
        <v>3242</v>
      </c>
      <c r="CH54" s="29" t="s">
        <v>3243</v>
      </c>
      <c r="CI54" s="29" t="s">
        <v>1611</v>
      </c>
      <c r="CJ54" s="29" t="s">
        <v>1611</v>
      </c>
      <c r="CK54" s="29" t="s">
        <v>3245</v>
      </c>
      <c r="CL54" s="29" t="s">
        <v>3246</v>
      </c>
      <c r="CM54" s="29" t="s">
        <v>3247</v>
      </c>
      <c r="CN54" s="29" t="s">
        <v>3248</v>
      </c>
      <c r="CO54" s="29" t="s">
        <v>1611</v>
      </c>
      <c r="CP54" s="29" t="s">
        <v>1611</v>
      </c>
      <c r="CQ54" s="29" t="s">
        <v>1611</v>
      </c>
      <c r="CR54" s="29" t="s">
        <v>1611</v>
      </c>
      <c r="CS54" s="29" t="s">
        <v>1611</v>
      </c>
      <c r="CT54" s="29" t="s">
        <v>1611</v>
      </c>
      <c r="CU54" s="29" t="s">
        <v>1611</v>
      </c>
      <c r="CV54" s="29" t="s">
        <v>1611</v>
      </c>
      <c r="CW54" s="29"/>
      <c r="CX54" s="29"/>
      <c r="CY54" s="151"/>
      <c r="CZ54" t="s">
        <v>3244</v>
      </c>
      <c r="DA54" t="s">
        <v>3634</v>
      </c>
      <c r="DD54" s="96" t="str">
        <f t="shared" si="0"/>
        <v/>
      </c>
      <c r="DF54" s="96" t="s">
        <v>3753</v>
      </c>
    </row>
    <row r="55" spans="1:110" ht="16.5" customHeight="1" x14ac:dyDescent="0.3">
      <c r="C55" s="105">
        <v>1708795</v>
      </c>
      <c r="D55" s="27">
        <v>49</v>
      </c>
      <c r="E55" s="28" t="s">
        <v>808</v>
      </c>
      <c r="F55" s="28">
        <v>1000326360</v>
      </c>
      <c r="G55" s="29" t="s">
        <v>1562</v>
      </c>
      <c r="H55" s="28">
        <v>1708795</v>
      </c>
      <c r="I55" s="29" t="s">
        <v>871</v>
      </c>
      <c r="J55" s="28" t="s">
        <v>429</v>
      </c>
      <c r="K55" s="7"/>
      <c r="L55" s="104" t="s">
        <v>689</v>
      </c>
      <c r="M55" s="29"/>
      <c r="N55" s="29"/>
      <c r="O55" s="127"/>
      <c r="P55" s="28"/>
      <c r="Q55" s="28"/>
      <c r="R55" s="28"/>
      <c r="S55" s="28"/>
      <c r="T55" s="28"/>
      <c r="U55" s="28"/>
      <c r="V55" s="28"/>
      <c r="W55" s="28"/>
      <c r="X55" s="28"/>
      <c r="Y55" s="28"/>
      <c r="Z55" s="28"/>
      <c r="AA55" s="28"/>
      <c r="AB55" s="104" t="s">
        <v>663</v>
      </c>
      <c r="AC55" s="104" t="s">
        <v>1340</v>
      </c>
      <c r="AD55" s="9" t="s">
        <v>1269</v>
      </c>
      <c r="AE55" s="39">
        <v>45905</v>
      </c>
      <c r="AF55" s="9" t="s">
        <v>1276</v>
      </c>
      <c r="AG55" s="34" t="s">
        <v>2477</v>
      </c>
      <c r="AH55" s="9"/>
      <c r="AI55" s="9"/>
      <c r="AJ55" s="9"/>
      <c r="AK55" s="45"/>
      <c r="AL55" s="45" t="s">
        <v>1611</v>
      </c>
      <c r="AM55" s="45"/>
      <c r="AN55" s="45"/>
      <c r="AO55" s="45"/>
      <c r="AP55" s="45"/>
      <c r="AQ55" s="45"/>
      <c r="AR55" s="45"/>
      <c r="AS55" s="45"/>
      <c r="AT55" s="45"/>
      <c r="AU55" s="45"/>
      <c r="AV55" s="45"/>
      <c r="AW55" s="9"/>
      <c r="AX55" s="9"/>
      <c r="AY55" s="9"/>
      <c r="AZ55" s="9"/>
      <c r="BA55" s="10" t="s">
        <v>1611</v>
      </c>
      <c r="BB55" s="29" t="s">
        <v>1611</v>
      </c>
      <c r="BC55" s="29" t="s">
        <v>1611</v>
      </c>
      <c r="BD55" s="29" t="s">
        <v>1611</v>
      </c>
      <c r="BE55" s="29" t="s">
        <v>1611</v>
      </c>
      <c r="BF55" s="29" t="s">
        <v>1611</v>
      </c>
      <c r="BG55" s="29" t="s">
        <v>1611</v>
      </c>
      <c r="BH55" s="29" t="s">
        <v>1611</v>
      </c>
      <c r="BI55" s="29" t="s">
        <v>1611</v>
      </c>
      <c r="BJ55" s="29" t="s">
        <v>1611</v>
      </c>
      <c r="BK55" s="29" t="s">
        <v>139</v>
      </c>
      <c r="BL55" s="29" t="s">
        <v>2659</v>
      </c>
      <c r="BM55" s="29" t="s">
        <v>1611</v>
      </c>
      <c r="BN55" s="29" t="s">
        <v>1611</v>
      </c>
      <c r="BO55" s="29" t="s">
        <v>1611</v>
      </c>
      <c r="BP55" s="29" t="s">
        <v>1611</v>
      </c>
      <c r="BQ55" s="29" t="s">
        <v>1611</v>
      </c>
      <c r="BR55" s="29" t="s">
        <v>1611</v>
      </c>
      <c r="BS55" s="29" t="s">
        <v>1611</v>
      </c>
      <c r="BT55" s="29" t="s">
        <v>1611</v>
      </c>
      <c r="BU55" s="29" t="s">
        <v>2363</v>
      </c>
      <c r="BV55" s="29" t="s">
        <v>2405</v>
      </c>
      <c r="BW55" s="29" t="s">
        <v>1611</v>
      </c>
      <c r="BX55" s="29" t="s">
        <v>1611</v>
      </c>
      <c r="BY55" s="29" t="s">
        <v>1611</v>
      </c>
      <c r="BZ55" s="29" t="s">
        <v>1611</v>
      </c>
      <c r="CA55" s="29" t="s">
        <v>1611</v>
      </c>
      <c r="CB55" s="29" t="s">
        <v>1611</v>
      </c>
      <c r="CC55" s="29" t="s">
        <v>1611</v>
      </c>
      <c r="CD55" s="29" t="s">
        <v>1611</v>
      </c>
      <c r="CE55" s="29" t="s">
        <v>1611</v>
      </c>
      <c r="CF55" s="29" t="s">
        <v>1611</v>
      </c>
      <c r="CG55" s="29" t="s">
        <v>1720</v>
      </c>
      <c r="CH55" s="29" t="s">
        <v>1826</v>
      </c>
      <c r="CI55" s="29" t="s">
        <v>1611</v>
      </c>
      <c r="CJ55" s="29" t="s">
        <v>1611</v>
      </c>
      <c r="CK55" s="29"/>
      <c r="CL55" s="29" t="s">
        <v>1611</v>
      </c>
      <c r="CM55" s="29" t="s">
        <v>1611</v>
      </c>
      <c r="CN55" s="29" t="s">
        <v>1611</v>
      </c>
      <c r="CO55" s="29" t="s">
        <v>1611</v>
      </c>
      <c r="CP55" s="29" t="s">
        <v>1611</v>
      </c>
      <c r="CQ55" s="29" t="s">
        <v>1611</v>
      </c>
      <c r="CR55" s="29" t="s">
        <v>1611</v>
      </c>
      <c r="CS55" s="29" t="s">
        <v>1611</v>
      </c>
      <c r="CT55" s="29" t="s">
        <v>1611</v>
      </c>
      <c r="CU55" s="29" t="s">
        <v>1611</v>
      </c>
      <c r="CV55" s="29" t="s">
        <v>1611</v>
      </c>
      <c r="CW55" s="29"/>
      <c r="CX55" s="29"/>
      <c r="CY55" s="151"/>
      <c r="CZ55" t="e">
        <v>#N/A</v>
      </c>
      <c r="DA55" t="e">
        <v>#N/A</v>
      </c>
      <c r="DD55" s="96" t="str">
        <f t="shared" si="0"/>
        <v>V</v>
      </c>
    </row>
    <row r="56" spans="1:110" ht="16.5" customHeight="1" x14ac:dyDescent="0.3">
      <c r="C56" s="105">
        <v>1670157</v>
      </c>
      <c r="D56" s="27">
        <v>50</v>
      </c>
      <c r="E56" s="28" t="s">
        <v>822</v>
      </c>
      <c r="F56" s="28">
        <v>1000923332</v>
      </c>
      <c r="G56" s="29" t="s">
        <v>1561</v>
      </c>
      <c r="H56" s="28">
        <v>1670157</v>
      </c>
      <c r="I56" s="29" t="s">
        <v>873</v>
      </c>
      <c r="J56" s="28" t="s">
        <v>659</v>
      </c>
      <c r="K56" s="7"/>
      <c r="L56" s="104" t="s">
        <v>690</v>
      </c>
      <c r="M56" s="29"/>
      <c r="N56" s="29"/>
      <c r="O56" s="127">
        <v>389003</v>
      </c>
      <c r="P56" s="113" t="s">
        <v>1627</v>
      </c>
      <c r="Q56" s="28" t="s">
        <v>612</v>
      </c>
      <c r="R56" s="28" t="s">
        <v>1301</v>
      </c>
      <c r="S56" s="28" t="s">
        <v>1301</v>
      </c>
      <c r="T56" s="28" t="s">
        <v>1329</v>
      </c>
      <c r="U56" s="28" t="s">
        <v>612</v>
      </c>
      <c r="V56" s="28" t="s">
        <v>1301</v>
      </c>
      <c r="W56" s="28" t="s">
        <v>1301</v>
      </c>
      <c r="X56" s="28" t="s">
        <v>1301</v>
      </c>
      <c r="Y56" s="28" t="s">
        <v>1301</v>
      </c>
      <c r="Z56" s="28" t="s">
        <v>1301</v>
      </c>
      <c r="AA56" s="28" t="s">
        <v>1301</v>
      </c>
      <c r="AB56" s="104" t="s">
        <v>1334</v>
      </c>
      <c r="AC56" s="104" t="s">
        <v>1307</v>
      </c>
      <c r="AD56" s="9" t="s">
        <v>1269</v>
      </c>
      <c r="AE56" s="39"/>
      <c r="AF56" s="9"/>
      <c r="AG56" s="34"/>
      <c r="AH56" s="9"/>
      <c r="AI56" s="9"/>
      <c r="AJ56" s="9"/>
      <c r="AK56" s="45"/>
      <c r="AL56" s="45" t="s">
        <v>1928</v>
      </c>
      <c r="AM56" s="45" t="s">
        <v>461</v>
      </c>
      <c r="AN56" s="45" t="s">
        <v>461</v>
      </c>
      <c r="AO56" s="45" t="s">
        <v>461</v>
      </c>
      <c r="AP56" s="45" t="s">
        <v>461</v>
      </c>
      <c r="AQ56" s="45" t="s">
        <v>461</v>
      </c>
      <c r="AR56" s="45" t="s">
        <v>461</v>
      </c>
      <c r="AS56" s="45"/>
      <c r="AT56" s="45"/>
      <c r="AU56" s="45"/>
      <c r="AV56" s="45"/>
      <c r="AW56" s="9"/>
      <c r="AX56" s="9"/>
      <c r="AY56" s="9"/>
      <c r="AZ56" s="9"/>
      <c r="BA56" s="10" t="s">
        <v>51</v>
      </c>
      <c r="BB56" s="29" t="s">
        <v>2501</v>
      </c>
      <c r="BC56" s="29" t="s">
        <v>1611</v>
      </c>
      <c r="BD56" s="29" t="s">
        <v>1611</v>
      </c>
      <c r="BE56" s="29" t="s">
        <v>2514</v>
      </c>
      <c r="BF56" s="29" t="s">
        <v>2515</v>
      </c>
      <c r="BG56" s="29" t="s">
        <v>2569</v>
      </c>
      <c r="BH56" s="29" t="s">
        <v>2570</v>
      </c>
      <c r="BI56" s="29" t="s">
        <v>2723</v>
      </c>
      <c r="BJ56" s="29" t="s">
        <v>2724</v>
      </c>
      <c r="BK56" s="29" t="s">
        <v>2744</v>
      </c>
      <c r="BL56" s="29" t="s">
        <v>2745</v>
      </c>
      <c r="BM56" s="29" t="s">
        <v>1611</v>
      </c>
      <c r="BN56" s="29" t="s">
        <v>1611</v>
      </c>
      <c r="BO56" s="29" t="s">
        <v>1611</v>
      </c>
      <c r="BP56" s="29" t="s">
        <v>1611</v>
      </c>
      <c r="BQ56" s="29" t="s">
        <v>1611</v>
      </c>
      <c r="BR56" s="29" t="s">
        <v>1611</v>
      </c>
      <c r="BS56" s="29" t="s">
        <v>1611</v>
      </c>
      <c r="BT56" s="29" t="s">
        <v>1611</v>
      </c>
      <c r="BU56" s="29" t="s">
        <v>2746</v>
      </c>
      <c r="BV56" s="29" t="s">
        <v>2747</v>
      </c>
      <c r="BW56" s="29" t="s">
        <v>1611</v>
      </c>
      <c r="BX56" s="29" t="s">
        <v>1611</v>
      </c>
      <c r="BY56" s="29" t="s">
        <v>1611</v>
      </c>
      <c r="BZ56" s="29" t="s">
        <v>1611</v>
      </c>
      <c r="CA56" s="29" t="s">
        <v>1611</v>
      </c>
      <c r="CB56" s="29" t="s">
        <v>1611</v>
      </c>
      <c r="CC56" s="29" t="s">
        <v>1611</v>
      </c>
      <c r="CD56" s="29" t="s">
        <v>1611</v>
      </c>
      <c r="CE56" s="29" t="s">
        <v>1611</v>
      </c>
      <c r="CF56" s="29" t="s">
        <v>1611</v>
      </c>
      <c r="CG56" s="29" t="s">
        <v>1721</v>
      </c>
      <c r="CH56" s="29" t="s">
        <v>1827</v>
      </c>
      <c r="CI56" s="29" t="s">
        <v>1611</v>
      </c>
      <c r="CJ56" s="29" t="s">
        <v>1611</v>
      </c>
      <c r="CK56" s="29" t="s">
        <v>1611</v>
      </c>
      <c r="CL56" s="29" t="s">
        <v>1611</v>
      </c>
      <c r="CM56" s="29" t="s">
        <v>1611</v>
      </c>
      <c r="CN56" s="29" t="s">
        <v>1611</v>
      </c>
      <c r="CO56" s="29" t="s">
        <v>1611</v>
      </c>
      <c r="CP56" s="29" t="s">
        <v>1611</v>
      </c>
      <c r="CQ56" s="29" t="s">
        <v>1611</v>
      </c>
      <c r="CR56" s="29" t="s">
        <v>1611</v>
      </c>
      <c r="CS56" s="29" t="s">
        <v>1611</v>
      </c>
      <c r="CT56" s="29" t="s">
        <v>1611</v>
      </c>
      <c r="CU56" s="29" t="s">
        <v>1611</v>
      </c>
      <c r="CV56" s="29" t="s">
        <v>1611</v>
      </c>
      <c r="CW56" s="29"/>
      <c r="CX56" s="29"/>
      <c r="CY56" s="151"/>
      <c r="CZ56" t="s">
        <v>3270</v>
      </c>
      <c r="DA56" t="s">
        <v>3634</v>
      </c>
      <c r="DD56" s="96" t="str">
        <f t="shared" si="0"/>
        <v/>
      </c>
      <c r="DF56" s="96" t="s">
        <v>3753</v>
      </c>
    </row>
    <row r="57" spans="1:110" ht="16.5" customHeight="1" x14ac:dyDescent="0.3">
      <c r="C57" s="105">
        <v>1699032</v>
      </c>
      <c r="D57" s="27">
        <v>51</v>
      </c>
      <c r="E57" s="28" t="s">
        <v>818</v>
      </c>
      <c r="F57" s="28">
        <v>1000316397</v>
      </c>
      <c r="G57" s="29" t="s">
        <v>1560</v>
      </c>
      <c r="H57" s="28">
        <v>1699032</v>
      </c>
      <c r="I57" s="29" t="s">
        <v>875</v>
      </c>
      <c r="J57" s="28"/>
      <c r="K57" s="7"/>
      <c r="L57" s="104"/>
      <c r="M57" s="29"/>
      <c r="N57" s="29"/>
      <c r="O57" s="127"/>
      <c r="P57" s="28"/>
      <c r="Q57" s="28"/>
      <c r="R57" s="28"/>
      <c r="S57" s="28"/>
      <c r="T57" s="28"/>
      <c r="U57" s="28"/>
      <c r="V57" s="28"/>
      <c r="W57" s="28"/>
      <c r="X57" s="28"/>
      <c r="Y57" s="28"/>
      <c r="Z57" s="28"/>
      <c r="AA57" s="28"/>
      <c r="AB57" s="104" t="s">
        <v>663</v>
      </c>
      <c r="AC57" s="104" t="s">
        <v>664</v>
      </c>
      <c r="AD57" s="9" t="s">
        <v>1269</v>
      </c>
      <c r="AE57" s="39">
        <v>45975</v>
      </c>
      <c r="AF57" s="9" t="s">
        <v>1276</v>
      </c>
      <c r="AG57" s="34" t="s">
        <v>3652</v>
      </c>
      <c r="AH57" s="9"/>
      <c r="AI57" s="9"/>
      <c r="AJ57" s="9"/>
      <c r="AK57" s="45"/>
      <c r="AL57" s="45" t="s">
        <v>1611</v>
      </c>
      <c r="AM57" s="45"/>
      <c r="AN57" s="45"/>
      <c r="AO57" s="45"/>
      <c r="AP57" s="45"/>
      <c r="AQ57" s="45"/>
      <c r="AR57" s="45"/>
      <c r="AS57" s="45"/>
      <c r="AT57" s="45"/>
      <c r="AU57" s="45"/>
      <c r="AV57" s="45"/>
      <c r="AW57" s="9"/>
      <c r="AX57" s="9"/>
      <c r="AY57" s="9"/>
      <c r="AZ57" s="9"/>
      <c r="BA57" s="10" t="s">
        <v>291</v>
      </c>
      <c r="BB57" s="29" t="s">
        <v>2704</v>
      </c>
      <c r="BC57" s="29" t="s">
        <v>1611</v>
      </c>
      <c r="BD57" s="29" t="s">
        <v>1611</v>
      </c>
      <c r="BE57" s="29" t="s">
        <v>2514</v>
      </c>
      <c r="BF57" s="29" t="s">
        <v>2515</v>
      </c>
      <c r="BG57" s="29" t="s">
        <v>2516</v>
      </c>
      <c r="BH57" s="29" t="s">
        <v>2517</v>
      </c>
      <c r="BI57" s="29" t="s">
        <v>39</v>
      </c>
      <c r="BJ57" s="29" t="s">
        <v>2571</v>
      </c>
      <c r="BK57" s="29" t="s">
        <v>2748</v>
      </c>
      <c r="BL57" s="29" t="s">
        <v>2749</v>
      </c>
      <c r="BM57" s="29" t="s">
        <v>1611</v>
      </c>
      <c r="BN57" s="29" t="s">
        <v>1611</v>
      </c>
      <c r="BO57" s="29" t="s">
        <v>1611</v>
      </c>
      <c r="BP57" s="29" t="s">
        <v>1611</v>
      </c>
      <c r="BQ57" s="29" t="s">
        <v>1611</v>
      </c>
      <c r="BR57" s="29" t="s">
        <v>1611</v>
      </c>
      <c r="BS57" s="29" t="s">
        <v>1611</v>
      </c>
      <c r="BT57" s="29" t="s">
        <v>1611</v>
      </c>
      <c r="BU57" s="29" t="s">
        <v>2364</v>
      </c>
      <c r="BV57" s="29" t="s">
        <v>2406</v>
      </c>
      <c r="BW57" s="29" t="s">
        <v>1611</v>
      </c>
      <c r="BX57" s="29" t="s">
        <v>1611</v>
      </c>
      <c r="BY57" s="29" t="s">
        <v>1611</v>
      </c>
      <c r="BZ57" s="29" t="s">
        <v>1611</v>
      </c>
      <c r="CA57" s="29" t="s">
        <v>1611</v>
      </c>
      <c r="CB57" s="29" t="s">
        <v>1611</v>
      </c>
      <c r="CC57" s="29" t="s">
        <v>1611</v>
      </c>
      <c r="CD57" s="29" t="s">
        <v>1611</v>
      </c>
      <c r="CE57" s="29" t="s">
        <v>1611</v>
      </c>
      <c r="CF57" s="29" t="s">
        <v>1611</v>
      </c>
      <c r="CG57" s="29" t="s">
        <v>73</v>
      </c>
      <c r="CH57" s="29" t="s">
        <v>1828</v>
      </c>
      <c r="CI57" s="29" t="s">
        <v>1611</v>
      </c>
      <c r="CJ57" s="29" t="s">
        <v>1611</v>
      </c>
      <c r="CK57" s="29" t="s">
        <v>1611</v>
      </c>
      <c r="CL57" s="29" t="s">
        <v>1611</v>
      </c>
      <c r="CM57" s="29" t="s">
        <v>1611</v>
      </c>
      <c r="CN57" s="29" t="s">
        <v>1611</v>
      </c>
      <c r="CO57" s="29" t="s">
        <v>1611</v>
      </c>
      <c r="CP57" s="29" t="s">
        <v>1611</v>
      </c>
      <c r="CQ57" s="29" t="s">
        <v>1611</v>
      </c>
      <c r="CR57" s="29" t="s">
        <v>1611</v>
      </c>
      <c r="CS57" s="29" t="s">
        <v>1611</v>
      </c>
      <c r="CT57" s="29" t="s">
        <v>1611</v>
      </c>
      <c r="CU57" s="29" t="s">
        <v>1611</v>
      </c>
      <c r="CV57" s="29" t="s">
        <v>1611</v>
      </c>
      <c r="CW57" s="29"/>
      <c r="CX57" s="29"/>
      <c r="CY57" s="151"/>
      <c r="CZ57" t="e">
        <v>#N/A</v>
      </c>
      <c r="DA57" t="e">
        <v>#N/A</v>
      </c>
      <c r="DD57" s="96" t="str">
        <f t="shared" si="0"/>
        <v>V</v>
      </c>
    </row>
    <row r="58" spans="1:110" ht="16.5" customHeight="1" x14ac:dyDescent="0.3">
      <c r="A58" t="s">
        <v>3843</v>
      </c>
      <c r="B58" t="s">
        <v>3778</v>
      </c>
      <c r="C58" s="105">
        <v>1698943</v>
      </c>
      <c r="D58" s="27">
        <v>52</v>
      </c>
      <c r="E58" s="28" t="s">
        <v>786</v>
      </c>
      <c r="F58" s="28">
        <v>1000317231</v>
      </c>
      <c r="G58" s="29" t="s">
        <v>1559</v>
      </c>
      <c r="H58" s="28">
        <v>1698943</v>
      </c>
      <c r="I58" s="29" t="s">
        <v>877</v>
      </c>
      <c r="J58" s="28" t="s">
        <v>3116</v>
      </c>
      <c r="K58" s="7"/>
      <c r="L58" s="163" t="s">
        <v>3117</v>
      </c>
      <c r="M58" s="29" t="s">
        <v>3118</v>
      </c>
      <c r="N58" s="29" t="s">
        <v>3119</v>
      </c>
      <c r="O58" s="127">
        <v>3757092</v>
      </c>
      <c r="P58" s="28" t="s">
        <v>1301</v>
      </c>
      <c r="Q58" s="28" t="s">
        <v>1301</v>
      </c>
      <c r="R58" s="28" t="s">
        <v>1329</v>
      </c>
      <c r="S58" s="28" t="s">
        <v>612</v>
      </c>
      <c r="T58" s="28" t="s">
        <v>1301</v>
      </c>
      <c r="U58" s="28" t="s">
        <v>1301</v>
      </c>
      <c r="V58" s="28" t="s">
        <v>1301</v>
      </c>
      <c r="W58" s="28" t="s">
        <v>1301</v>
      </c>
      <c r="X58" s="28" t="s">
        <v>1301</v>
      </c>
      <c r="Y58" s="28" t="s">
        <v>1301</v>
      </c>
      <c r="Z58" s="28" t="s">
        <v>1301</v>
      </c>
      <c r="AA58" s="28" t="s">
        <v>1301</v>
      </c>
      <c r="AB58" s="104" t="s">
        <v>663</v>
      </c>
      <c r="AC58" s="104" t="s">
        <v>664</v>
      </c>
      <c r="AD58" s="9" t="s">
        <v>1269</v>
      </c>
      <c r="AE58" s="9"/>
      <c r="AF58" s="9"/>
      <c r="AG58" s="34"/>
      <c r="AH58" s="9"/>
      <c r="AI58" s="9"/>
      <c r="AJ58" s="9"/>
      <c r="AK58" s="45"/>
      <c r="AL58" s="45" t="s">
        <v>46</v>
      </c>
      <c r="AM58" s="45" t="s">
        <v>46</v>
      </c>
      <c r="AN58" s="45" t="s">
        <v>46</v>
      </c>
      <c r="AO58" s="45" t="s">
        <v>46</v>
      </c>
      <c r="AP58" s="45" t="s">
        <v>46</v>
      </c>
      <c r="AQ58" s="45" t="s">
        <v>46</v>
      </c>
      <c r="AR58" s="45" t="s">
        <v>46</v>
      </c>
      <c r="AS58" s="45" t="s">
        <v>46</v>
      </c>
      <c r="AT58" s="45"/>
      <c r="AU58" s="45"/>
      <c r="AV58" s="45"/>
      <c r="AW58" s="9" t="s">
        <v>46</v>
      </c>
      <c r="AX58" s="9" t="s">
        <v>46</v>
      </c>
      <c r="AY58" s="9" t="s">
        <v>46</v>
      </c>
      <c r="AZ58" s="45" t="s">
        <v>46</v>
      </c>
      <c r="BA58" s="10" t="s">
        <v>70</v>
      </c>
      <c r="BB58" s="29" t="s">
        <v>2616</v>
      </c>
      <c r="BC58" s="29" t="s">
        <v>1611</v>
      </c>
      <c r="BD58" s="29" t="s">
        <v>1611</v>
      </c>
      <c r="BE58" s="29" t="s">
        <v>2502</v>
      </c>
      <c r="BF58" s="29" t="s">
        <v>2503</v>
      </c>
      <c r="BG58" s="29" t="s">
        <v>2516</v>
      </c>
      <c r="BH58" s="29" t="s">
        <v>2517</v>
      </c>
      <c r="BI58" s="29" t="s">
        <v>40</v>
      </c>
      <c r="BJ58" s="29" t="s">
        <v>2572</v>
      </c>
      <c r="BK58" s="29" t="s">
        <v>208</v>
      </c>
      <c r="BL58" s="29" t="s">
        <v>2609</v>
      </c>
      <c r="BM58" s="29" t="s">
        <v>1611</v>
      </c>
      <c r="BN58" s="29" t="s">
        <v>1611</v>
      </c>
      <c r="BO58" s="29" t="s">
        <v>1611</v>
      </c>
      <c r="BP58" s="29" t="s">
        <v>1611</v>
      </c>
      <c r="BQ58" s="29" t="s">
        <v>1611</v>
      </c>
      <c r="BR58" s="29" t="s">
        <v>1611</v>
      </c>
      <c r="BS58" s="29" t="s">
        <v>1611</v>
      </c>
      <c r="BT58" s="29" t="s">
        <v>1611</v>
      </c>
      <c r="BU58" s="29" t="s">
        <v>2750</v>
      </c>
      <c r="BV58" s="29" t="s">
        <v>2751</v>
      </c>
      <c r="BW58" s="29" t="s">
        <v>1611</v>
      </c>
      <c r="BX58" s="29" t="s">
        <v>1611</v>
      </c>
      <c r="BY58" s="29" t="s">
        <v>1611</v>
      </c>
      <c r="BZ58" s="29" t="s">
        <v>1611</v>
      </c>
      <c r="CA58" s="29" t="s">
        <v>1611</v>
      </c>
      <c r="CB58" s="29" t="s">
        <v>1611</v>
      </c>
      <c r="CC58" s="29" t="s">
        <v>1611</v>
      </c>
      <c r="CD58" s="29" t="s">
        <v>1611</v>
      </c>
      <c r="CE58" s="29" t="s">
        <v>1611</v>
      </c>
      <c r="CF58" s="29" t="s">
        <v>1611</v>
      </c>
      <c r="CG58" s="29" t="s">
        <v>1789</v>
      </c>
      <c r="CH58" s="29" t="s">
        <v>1907</v>
      </c>
      <c r="CI58" s="29" t="s">
        <v>1611</v>
      </c>
      <c r="CJ58" s="29" t="s">
        <v>1611</v>
      </c>
      <c r="CK58" s="29" t="s">
        <v>3841</v>
      </c>
      <c r="CL58" s="29" t="s">
        <v>3842</v>
      </c>
      <c r="CM58" s="29"/>
      <c r="CN58" s="29"/>
      <c r="CO58" s="29" t="s">
        <v>1611</v>
      </c>
      <c r="CP58" s="29" t="s">
        <v>1611</v>
      </c>
      <c r="CQ58" s="29" t="s">
        <v>1611</v>
      </c>
      <c r="CR58" s="29" t="s">
        <v>1611</v>
      </c>
      <c r="CS58" s="29" t="s">
        <v>1611</v>
      </c>
      <c r="CT58" s="29" t="s">
        <v>1611</v>
      </c>
      <c r="CU58" s="29" t="s">
        <v>1611</v>
      </c>
      <c r="CV58" s="29" t="s">
        <v>1611</v>
      </c>
      <c r="CW58" s="29"/>
      <c r="CX58" s="29"/>
      <c r="CY58" s="151"/>
      <c r="CZ58" t="s">
        <v>3271</v>
      </c>
      <c r="DA58" t="s">
        <v>3634</v>
      </c>
      <c r="DD58" s="96" t="str">
        <f t="shared" si="0"/>
        <v/>
      </c>
      <c r="DF58" s="96" t="s">
        <v>3753</v>
      </c>
    </row>
    <row r="59" spans="1:110" ht="16.5" customHeight="1" x14ac:dyDescent="0.3">
      <c r="C59" s="105">
        <v>1684059</v>
      </c>
      <c r="D59" s="27">
        <v>53</v>
      </c>
      <c r="E59" s="28" t="s">
        <v>818</v>
      </c>
      <c r="F59" s="28">
        <v>1000860827</v>
      </c>
      <c r="G59" s="29" t="s">
        <v>1558</v>
      </c>
      <c r="H59" s="28">
        <v>1684059</v>
      </c>
      <c r="I59" s="29" t="s">
        <v>878</v>
      </c>
      <c r="J59" s="28" t="s">
        <v>659</v>
      </c>
      <c r="K59" s="7"/>
      <c r="L59" s="104" t="s">
        <v>675</v>
      </c>
      <c r="M59" s="29"/>
      <c r="N59" s="29"/>
      <c r="O59" s="127"/>
      <c r="P59" s="28"/>
      <c r="Q59" s="28"/>
      <c r="R59" s="28"/>
      <c r="S59" s="28"/>
      <c r="T59" s="28"/>
      <c r="U59" s="28"/>
      <c r="V59" s="28"/>
      <c r="W59" s="28"/>
      <c r="X59" s="28"/>
      <c r="Y59" s="28"/>
      <c r="Z59" s="28"/>
      <c r="AA59" s="28"/>
      <c r="AB59" s="104" t="s">
        <v>652</v>
      </c>
      <c r="AC59" s="104" t="s">
        <v>1340</v>
      </c>
      <c r="AD59" s="9" t="s">
        <v>1269</v>
      </c>
      <c r="AE59" s="39">
        <v>45903</v>
      </c>
      <c r="AF59" s="9" t="s">
        <v>1933</v>
      </c>
      <c r="AG59" s="108" t="s">
        <v>1934</v>
      </c>
      <c r="AH59" s="9"/>
      <c r="AI59" s="9"/>
      <c r="AJ59" s="9"/>
      <c r="AK59" s="45"/>
      <c r="AL59" s="45" t="s">
        <v>1611</v>
      </c>
      <c r="AM59" s="45"/>
      <c r="AN59" s="45"/>
      <c r="AO59" s="45"/>
      <c r="AP59" s="45"/>
      <c r="AQ59" s="45"/>
      <c r="AR59" s="45"/>
      <c r="AS59" s="45"/>
      <c r="AT59" s="45"/>
      <c r="AU59" s="45"/>
      <c r="AV59" s="45"/>
      <c r="AW59" s="9"/>
      <c r="AX59" s="9"/>
      <c r="AY59" s="9"/>
      <c r="AZ59" s="9"/>
      <c r="BA59" s="10" t="s">
        <v>79</v>
      </c>
      <c r="BB59" s="29" t="s">
        <v>2612</v>
      </c>
      <c r="BC59" s="29" t="s">
        <v>1611</v>
      </c>
      <c r="BD59" s="29" t="s">
        <v>1611</v>
      </c>
      <c r="BE59" s="29" t="s">
        <v>1611</v>
      </c>
      <c r="BF59" s="29" t="s">
        <v>1611</v>
      </c>
      <c r="BG59" s="29" t="s">
        <v>1762</v>
      </c>
      <c r="BH59" s="29" t="s">
        <v>2504</v>
      </c>
      <c r="BI59" s="29" t="s">
        <v>2707</v>
      </c>
      <c r="BJ59" s="29" t="s">
        <v>2708</v>
      </c>
      <c r="BK59" s="29" t="s">
        <v>598</v>
      </c>
      <c r="BL59" s="29" t="s">
        <v>2752</v>
      </c>
      <c r="BM59" s="29" t="s">
        <v>1611</v>
      </c>
      <c r="BN59" s="29" t="s">
        <v>1611</v>
      </c>
      <c r="BO59" s="29" t="s">
        <v>1611</v>
      </c>
      <c r="BP59" s="29" t="s">
        <v>1611</v>
      </c>
      <c r="BQ59" s="29" t="s">
        <v>1611</v>
      </c>
      <c r="BR59" s="29" t="s">
        <v>1611</v>
      </c>
      <c r="BS59" s="29" t="s">
        <v>1611</v>
      </c>
      <c r="BT59" s="29" t="s">
        <v>1611</v>
      </c>
      <c r="BU59" s="29" t="s">
        <v>331</v>
      </c>
      <c r="BV59" s="29" t="s">
        <v>1831</v>
      </c>
      <c r="BW59" s="29" t="s">
        <v>1611</v>
      </c>
      <c r="BX59" s="29" t="s">
        <v>1611</v>
      </c>
      <c r="BY59" s="29" t="s">
        <v>1611</v>
      </c>
      <c r="BZ59" s="29" t="s">
        <v>1611</v>
      </c>
      <c r="CA59" s="29" t="s">
        <v>1611</v>
      </c>
      <c r="CB59" s="29" t="s">
        <v>1611</v>
      </c>
      <c r="CC59" s="29" t="s">
        <v>1611</v>
      </c>
      <c r="CD59" s="29" t="s">
        <v>1611</v>
      </c>
      <c r="CE59" s="29" t="s">
        <v>1611</v>
      </c>
      <c r="CF59" s="29" t="s">
        <v>1611</v>
      </c>
      <c r="CG59" s="29" t="s">
        <v>1723</v>
      </c>
      <c r="CH59" s="29" t="s">
        <v>1830</v>
      </c>
      <c r="CI59" s="29" t="s">
        <v>1611</v>
      </c>
      <c r="CJ59" s="29" t="s">
        <v>1611</v>
      </c>
      <c r="CK59" s="29" t="s">
        <v>1611</v>
      </c>
      <c r="CL59" s="29" t="s">
        <v>1611</v>
      </c>
      <c r="CM59" s="29" t="s">
        <v>1611</v>
      </c>
      <c r="CN59" s="29" t="s">
        <v>1611</v>
      </c>
      <c r="CO59" s="29" t="s">
        <v>1611</v>
      </c>
      <c r="CP59" s="29" t="s">
        <v>1611</v>
      </c>
      <c r="CQ59" s="29" t="s">
        <v>1611</v>
      </c>
      <c r="CR59" s="29" t="s">
        <v>1611</v>
      </c>
      <c r="CS59" s="29" t="s">
        <v>1611</v>
      </c>
      <c r="CT59" s="29" t="s">
        <v>1611</v>
      </c>
      <c r="CU59" s="29" t="s">
        <v>1611</v>
      </c>
      <c r="CV59" s="29" t="s">
        <v>1611</v>
      </c>
      <c r="CW59" s="29"/>
      <c r="CX59" s="29"/>
      <c r="CY59" s="151"/>
      <c r="CZ59" t="e">
        <v>#N/A</v>
      </c>
      <c r="DA59" t="e">
        <v>#N/A</v>
      </c>
      <c r="DD59" s="96" t="str">
        <f t="shared" si="0"/>
        <v>V</v>
      </c>
    </row>
    <row r="60" spans="1:110" ht="16.5" customHeight="1" x14ac:dyDescent="0.3">
      <c r="C60" s="105">
        <v>1683952</v>
      </c>
      <c r="D60" s="27">
        <v>54</v>
      </c>
      <c r="E60" s="28" t="s">
        <v>818</v>
      </c>
      <c r="F60" s="28">
        <v>1000314537</v>
      </c>
      <c r="G60" s="29" t="s">
        <v>1557</v>
      </c>
      <c r="H60" s="28">
        <v>1683952</v>
      </c>
      <c r="I60" s="29" t="s">
        <v>880</v>
      </c>
      <c r="J60" s="28"/>
      <c r="K60" s="7"/>
      <c r="L60" s="104"/>
      <c r="M60" s="29"/>
      <c r="N60" s="29"/>
      <c r="O60" s="127"/>
      <c r="P60" s="28"/>
      <c r="Q60" s="28"/>
      <c r="R60" s="28"/>
      <c r="S60" s="28"/>
      <c r="T60" s="28"/>
      <c r="U60" s="28"/>
      <c r="V60" s="28"/>
      <c r="W60" s="28"/>
      <c r="X60" s="28"/>
      <c r="Y60" s="28"/>
      <c r="Z60" s="28"/>
      <c r="AA60" s="28"/>
      <c r="AB60" s="104" t="s">
        <v>663</v>
      </c>
      <c r="AC60" s="104" t="s">
        <v>664</v>
      </c>
      <c r="AD60" s="9" t="s">
        <v>1269</v>
      </c>
      <c r="AE60" s="39">
        <v>45903</v>
      </c>
      <c r="AF60" s="9" t="s">
        <v>1933</v>
      </c>
      <c r="AG60" s="108" t="s">
        <v>1935</v>
      </c>
      <c r="AH60" s="9"/>
      <c r="AI60" s="9"/>
      <c r="AJ60" s="9"/>
      <c r="AK60" s="45"/>
      <c r="AL60" s="45" t="s">
        <v>1611</v>
      </c>
      <c r="AM60" s="45"/>
      <c r="AN60" s="45"/>
      <c r="AO60" s="45"/>
      <c r="AP60" s="45"/>
      <c r="AQ60" s="45"/>
      <c r="AR60" s="45"/>
      <c r="AS60" s="45"/>
      <c r="AT60" s="45"/>
      <c r="AU60" s="45"/>
      <c r="AV60" s="45"/>
      <c r="AW60" s="9"/>
      <c r="AX60" s="9"/>
      <c r="AY60" s="9"/>
      <c r="AZ60" s="9"/>
      <c r="BA60" s="10" t="s">
        <v>147</v>
      </c>
      <c r="BB60" s="29" t="s">
        <v>2695</v>
      </c>
      <c r="BC60" s="29" t="s">
        <v>1611</v>
      </c>
      <c r="BD60" s="29" t="s">
        <v>1611</v>
      </c>
      <c r="BE60" s="29" t="s">
        <v>2514</v>
      </c>
      <c r="BF60" s="29" t="s">
        <v>2515</v>
      </c>
      <c r="BG60" s="29" t="s">
        <v>2516</v>
      </c>
      <c r="BH60" s="29" t="s">
        <v>2517</v>
      </c>
      <c r="BI60" s="29" t="s">
        <v>39</v>
      </c>
      <c r="BJ60" s="29" t="s">
        <v>2571</v>
      </c>
      <c r="BK60" s="29" t="s">
        <v>207</v>
      </c>
      <c r="BL60" s="29" t="s">
        <v>2524</v>
      </c>
      <c r="BM60" s="29" t="s">
        <v>1611</v>
      </c>
      <c r="BN60" s="29" t="s">
        <v>1611</v>
      </c>
      <c r="BO60" s="29" t="s">
        <v>1611</v>
      </c>
      <c r="BP60" s="29" t="s">
        <v>1611</v>
      </c>
      <c r="BQ60" s="29" t="s">
        <v>1611</v>
      </c>
      <c r="BR60" s="29" t="s">
        <v>1611</v>
      </c>
      <c r="BS60" s="29" t="s">
        <v>1611</v>
      </c>
      <c r="BT60" s="29" t="s">
        <v>1611</v>
      </c>
      <c r="BU60" s="29" t="s">
        <v>331</v>
      </c>
      <c r="BV60" s="29" t="s">
        <v>1831</v>
      </c>
      <c r="BW60" s="29" t="s">
        <v>1611</v>
      </c>
      <c r="BX60" s="29" t="s">
        <v>1611</v>
      </c>
      <c r="BY60" s="29" t="s">
        <v>1611</v>
      </c>
      <c r="BZ60" s="29" t="s">
        <v>1611</v>
      </c>
      <c r="CA60" s="29" t="s">
        <v>1611</v>
      </c>
      <c r="CB60" s="29" t="s">
        <v>1611</v>
      </c>
      <c r="CC60" s="29" t="s">
        <v>1611</v>
      </c>
      <c r="CD60" s="29" t="s">
        <v>1611</v>
      </c>
      <c r="CE60" s="29" t="s">
        <v>1611</v>
      </c>
      <c r="CF60" s="29" t="s">
        <v>1611</v>
      </c>
      <c r="CG60" s="29" t="s">
        <v>1611</v>
      </c>
      <c r="CH60" s="29" t="s">
        <v>1611</v>
      </c>
      <c r="CI60" s="29" t="s">
        <v>1611</v>
      </c>
      <c r="CJ60" s="29" t="s">
        <v>1611</v>
      </c>
      <c r="CK60" s="29" t="s">
        <v>1611</v>
      </c>
      <c r="CL60" s="29" t="s">
        <v>1611</v>
      </c>
      <c r="CM60" s="29" t="s">
        <v>1611</v>
      </c>
      <c r="CN60" s="29" t="s">
        <v>1611</v>
      </c>
      <c r="CO60" s="29" t="s">
        <v>1611</v>
      </c>
      <c r="CP60" s="29" t="s">
        <v>1611</v>
      </c>
      <c r="CQ60" s="29" t="s">
        <v>1611</v>
      </c>
      <c r="CR60" s="29" t="s">
        <v>1611</v>
      </c>
      <c r="CS60" s="29" t="s">
        <v>1611</v>
      </c>
      <c r="CT60" s="29" t="s">
        <v>1611</v>
      </c>
      <c r="CU60" s="29" t="s">
        <v>1611</v>
      </c>
      <c r="CV60" s="29" t="s">
        <v>1611</v>
      </c>
      <c r="CW60" s="29"/>
      <c r="CX60" s="29"/>
      <c r="CY60" s="151"/>
      <c r="CZ60" t="e">
        <v>#N/A</v>
      </c>
      <c r="DA60" t="e">
        <v>#N/A</v>
      </c>
      <c r="DD60" s="96" t="str">
        <f t="shared" si="0"/>
        <v>V</v>
      </c>
    </row>
    <row r="61" spans="1:110" ht="16.5" customHeight="1" x14ac:dyDescent="0.3">
      <c r="C61" s="105">
        <v>1699021</v>
      </c>
      <c r="D61" s="27">
        <v>55</v>
      </c>
      <c r="E61" s="28" t="s">
        <v>818</v>
      </c>
      <c r="F61" s="28">
        <v>1000317365</v>
      </c>
      <c r="G61" s="29" t="s">
        <v>1556</v>
      </c>
      <c r="H61" s="28">
        <v>1699021</v>
      </c>
      <c r="I61" s="29" t="s">
        <v>881</v>
      </c>
      <c r="J61" s="28"/>
      <c r="K61" s="7"/>
      <c r="L61" s="104"/>
      <c r="M61" s="29"/>
      <c r="N61" s="29"/>
      <c r="O61" s="127"/>
      <c r="P61" s="28"/>
      <c r="Q61" s="28"/>
      <c r="R61" s="28"/>
      <c r="S61" s="28"/>
      <c r="T61" s="28"/>
      <c r="U61" s="28"/>
      <c r="V61" s="28"/>
      <c r="W61" s="28"/>
      <c r="X61" s="28"/>
      <c r="Y61" s="28"/>
      <c r="Z61" s="28"/>
      <c r="AA61" s="28"/>
      <c r="AB61" s="104" t="s">
        <v>663</v>
      </c>
      <c r="AC61" s="104" t="s">
        <v>664</v>
      </c>
      <c r="AD61" s="9" t="s">
        <v>1269</v>
      </c>
      <c r="AE61" s="39">
        <v>46063</v>
      </c>
      <c r="AF61" s="9" t="s">
        <v>1276</v>
      </c>
      <c r="AG61" s="34" t="s">
        <v>3652</v>
      </c>
      <c r="AH61" s="9"/>
      <c r="AI61" s="9"/>
      <c r="AJ61" s="9"/>
      <c r="AK61" s="45"/>
      <c r="AL61" s="45"/>
      <c r="AM61" s="45"/>
      <c r="AN61" s="45"/>
      <c r="AO61" s="45"/>
      <c r="AP61" s="45"/>
      <c r="AQ61" s="45"/>
      <c r="AR61" s="45"/>
      <c r="AS61" s="45"/>
      <c r="AT61" s="45"/>
      <c r="AU61" s="45"/>
      <c r="AV61" s="45"/>
      <c r="AW61" s="45"/>
      <c r="AX61" s="45"/>
      <c r="AY61" s="45"/>
      <c r="AZ61" s="9"/>
      <c r="BA61" s="10" t="s">
        <v>291</v>
      </c>
      <c r="BB61" s="29" t="s">
        <v>2704</v>
      </c>
      <c r="BC61" s="29" t="s">
        <v>1611</v>
      </c>
      <c r="BD61" s="29" t="s">
        <v>1611</v>
      </c>
      <c r="BE61" s="29" t="s">
        <v>2502</v>
      </c>
      <c r="BF61" s="29" t="s">
        <v>2503</v>
      </c>
      <c r="BG61" s="29" t="s">
        <v>2516</v>
      </c>
      <c r="BH61" s="29" t="s">
        <v>2517</v>
      </c>
      <c r="BI61" s="29" t="s">
        <v>39</v>
      </c>
      <c r="BJ61" s="29" t="s">
        <v>2571</v>
      </c>
      <c r="BK61" s="29" t="s">
        <v>579</v>
      </c>
      <c r="BL61" s="29" t="s">
        <v>2663</v>
      </c>
      <c r="BM61" s="29" t="s">
        <v>1611</v>
      </c>
      <c r="BN61" s="29" t="s">
        <v>1611</v>
      </c>
      <c r="BO61" s="29" t="s">
        <v>1611</v>
      </c>
      <c r="BP61" s="29" t="s">
        <v>1611</v>
      </c>
      <c r="BQ61" s="29" t="s">
        <v>1611</v>
      </c>
      <c r="BR61" s="29" t="s">
        <v>1611</v>
      </c>
      <c r="BS61" s="29" t="s">
        <v>1611</v>
      </c>
      <c r="BT61" s="29" t="s">
        <v>1611</v>
      </c>
      <c r="BU61" s="29" t="s">
        <v>3766</v>
      </c>
      <c r="BV61" s="29" t="s">
        <v>3767</v>
      </c>
      <c r="BW61" s="29" t="s">
        <v>1611</v>
      </c>
      <c r="BX61" s="29" t="s">
        <v>1611</v>
      </c>
      <c r="BY61" s="29" t="s">
        <v>1611</v>
      </c>
      <c r="BZ61" s="29" t="s">
        <v>1611</v>
      </c>
      <c r="CA61" s="29" t="s">
        <v>1611</v>
      </c>
      <c r="CB61" s="29" t="s">
        <v>1611</v>
      </c>
      <c r="CC61" s="29" t="s">
        <v>1611</v>
      </c>
      <c r="CD61" s="29" t="s">
        <v>1611</v>
      </c>
      <c r="CE61" s="29" t="s">
        <v>1611</v>
      </c>
      <c r="CF61" s="29" t="s">
        <v>1611</v>
      </c>
      <c r="CG61" s="29" t="s">
        <v>3481</v>
      </c>
      <c r="CH61" s="29" t="s">
        <v>3482</v>
      </c>
      <c r="CI61" s="29" t="s">
        <v>1611</v>
      </c>
      <c r="CJ61" s="29" t="s">
        <v>1611</v>
      </c>
      <c r="CK61" s="29" t="s">
        <v>1611</v>
      </c>
      <c r="CL61" s="29" t="s">
        <v>1611</v>
      </c>
      <c r="CM61" s="29" t="s">
        <v>1611</v>
      </c>
      <c r="CN61" s="29" t="s">
        <v>1611</v>
      </c>
      <c r="CO61" s="29" t="s">
        <v>1611</v>
      </c>
      <c r="CP61" s="29" t="s">
        <v>1611</v>
      </c>
      <c r="CQ61" s="29" t="s">
        <v>1611</v>
      </c>
      <c r="CR61" s="29" t="s">
        <v>1611</v>
      </c>
      <c r="CS61" s="29" t="s">
        <v>1611</v>
      </c>
      <c r="CT61" s="29" t="s">
        <v>1611</v>
      </c>
      <c r="CU61" s="29" t="s">
        <v>1611</v>
      </c>
      <c r="CV61" s="29" t="s">
        <v>1611</v>
      </c>
      <c r="CW61" s="29"/>
      <c r="CX61" s="29"/>
      <c r="CY61" s="151"/>
      <c r="CZ61" t="e">
        <v>#N/A</v>
      </c>
      <c r="DA61" t="e">
        <v>#N/A</v>
      </c>
      <c r="DC61" s="96" t="s">
        <v>3700</v>
      </c>
      <c r="DD61" s="96" t="str">
        <f t="shared" si="0"/>
        <v>V</v>
      </c>
    </row>
    <row r="62" spans="1:110" ht="16.5" customHeight="1" x14ac:dyDescent="0.3">
      <c r="A62" t="s">
        <v>3761</v>
      </c>
      <c r="B62" t="s">
        <v>3778</v>
      </c>
      <c r="C62" s="105">
        <v>1683535</v>
      </c>
      <c r="D62" s="27">
        <v>56</v>
      </c>
      <c r="E62" s="28" t="s">
        <v>784</v>
      </c>
      <c r="F62" s="28">
        <v>1000326195</v>
      </c>
      <c r="G62" s="29" t="s">
        <v>1555</v>
      </c>
      <c r="H62" s="28">
        <v>1683535</v>
      </c>
      <c r="I62" s="29" t="s">
        <v>883</v>
      </c>
      <c r="J62" s="28" t="s">
        <v>854</v>
      </c>
      <c r="K62" s="7"/>
      <c r="L62" s="104" t="s">
        <v>215</v>
      </c>
      <c r="M62" s="29"/>
      <c r="N62" s="29" t="s">
        <v>1955</v>
      </c>
      <c r="O62" s="127">
        <v>262846595</v>
      </c>
      <c r="P62" s="113" t="s">
        <v>1627</v>
      </c>
      <c r="Q62" s="28" t="s">
        <v>612</v>
      </c>
      <c r="R62" s="28" t="s">
        <v>1301</v>
      </c>
      <c r="S62" s="28" t="s">
        <v>1301</v>
      </c>
      <c r="T62" s="28" t="s">
        <v>1329</v>
      </c>
      <c r="U62" s="28" t="s">
        <v>612</v>
      </c>
      <c r="V62" s="28" t="s">
        <v>1301</v>
      </c>
      <c r="W62" s="28" t="s">
        <v>1301</v>
      </c>
      <c r="X62" s="28" t="s">
        <v>1301</v>
      </c>
      <c r="Y62" s="28" t="s">
        <v>1301</v>
      </c>
      <c r="Z62" s="28" t="s">
        <v>1301</v>
      </c>
      <c r="AA62" s="28" t="s">
        <v>1301</v>
      </c>
      <c r="AB62" s="104" t="s">
        <v>1334</v>
      </c>
      <c r="AC62" s="104" t="s">
        <v>1307</v>
      </c>
      <c r="AD62" s="9" t="s">
        <v>45</v>
      </c>
      <c r="AE62" s="9"/>
      <c r="AF62" s="9"/>
      <c r="AG62" s="34"/>
      <c r="AH62" s="9"/>
      <c r="AI62" s="9" t="s">
        <v>1335</v>
      </c>
      <c r="AJ62" s="9"/>
      <c r="AK62" s="45"/>
      <c r="AL62" s="45" t="s">
        <v>461</v>
      </c>
      <c r="AM62" s="45" t="s">
        <v>1335</v>
      </c>
      <c r="AN62" s="45" t="s">
        <v>46</v>
      </c>
      <c r="AO62" s="45" t="s">
        <v>46</v>
      </c>
      <c r="AP62" s="45" t="s">
        <v>46</v>
      </c>
      <c r="AQ62" s="45" t="s">
        <v>46</v>
      </c>
      <c r="AR62" s="45" t="s">
        <v>46</v>
      </c>
      <c r="AS62" s="45" t="s">
        <v>461</v>
      </c>
      <c r="AT62" s="45"/>
      <c r="AU62" s="45"/>
      <c r="AV62" s="45"/>
      <c r="AW62" s="45" t="s">
        <v>461</v>
      </c>
      <c r="AX62" s="45" t="s">
        <v>461</v>
      </c>
      <c r="AY62" s="45" t="s">
        <v>461</v>
      </c>
      <c r="AZ62" s="45" t="s">
        <v>461</v>
      </c>
      <c r="BA62" s="10" t="s">
        <v>184</v>
      </c>
      <c r="BB62" s="29" t="s">
        <v>2568</v>
      </c>
      <c r="BC62" s="29" t="s">
        <v>1611</v>
      </c>
      <c r="BD62" s="29" t="s">
        <v>1611</v>
      </c>
      <c r="BE62" s="29" t="s">
        <v>1611</v>
      </c>
      <c r="BF62" s="29" t="s">
        <v>1611</v>
      </c>
      <c r="BG62" s="29" t="s">
        <v>2599</v>
      </c>
      <c r="BH62" s="29" t="s">
        <v>2600</v>
      </c>
      <c r="BI62" s="29" t="s">
        <v>216</v>
      </c>
      <c r="BJ62" s="29" t="s">
        <v>2532</v>
      </c>
      <c r="BK62" s="29" t="s">
        <v>217</v>
      </c>
      <c r="BL62" s="29" t="s">
        <v>2606</v>
      </c>
      <c r="BM62" s="29" t="s">
        <v>1611</v>
      </c>
      <c r="BN62" s="29" t="s">
        <v>1611</v>
      </c>
      <c r="BO62" s="29" t="s">
        <v>1611</v>
      </c>
      <c r="BP62" s="29" t="s">
        <v>1611</v>
      </c>
      <c r="BQ62" s="29" t="s">
        <v>1611</v>
      </c>
      <c r="BR62" s="29" t="s">
        <v>1611</v>
      </c>
      <c r="BS62" s="29" t="s">
        <v>1611</v>
      </c>
      <c r="BT62" s="29" t="s">
        <v>1611</v>
      </c>
      <c r="BU62" s="29" t="s">
        <v>218</v>
      </c>
      <c r="BV62" s="29" t="s">
        <v>2677</v>
      </c>
      <c r="BW62" s="29" t="s">
        <v>1611</v>
      </c>
      <c r="BX62" s="29" t="s">
        <v>1611</v>
      </c>
      <c r="BY62" s="29" t="s">
        <v>1611</v>
      </c>
      <c r="BZ62" s="29" t="s">
        <v>1611</v>
      </c>
      <c r="CA62" s="29" t="s">
        <v>1611</v>
      </c>
      <c r="CB62" s="29" t="s">
        <v>1611</v>
      </c>
      <c r="CC62" s="29" t="s">
        <v>1611</v>
      </c>
      <c r="CD62" s="29" t="s">
        <v>1611</v>
      </c>
      <c r="CE62" s="29" t="s">
        <v>1611</v>
      </c>
      <c r="CF62" s="29" t="s">
        <v>1611</v>
      </c>
      <c r="CG62" s="29" t="s">
        <v>219</v>
      </c>
      <c r="CH62" s="29" t="s">
        <v>2753</v>
      </c>
      <c r="CI62" s="29" t="s">
        <v>1611</v>
      </c>
      <c r="CJ62" s="29" t="s">
        <v>1611</v>
      </c>
      <c r="CK62" s="29" t="s">
        <v>3890</v>
      </c>
      <c r="CL62" s="29" t="s">
        <v>3870</v>
      </c>
      <c r="CM62" s="29" t="s">
        <v>1611</v>
      </c>
      <c r="CN62" s="29" t="s">
        <v>1611</v>
      </c>
      <c r="CO62" s="29" t="s">
        <v>1611</v>
      </c>
      <c r="CP62" s="29" t="s">
        <v>1611</v>
      </c>
      <c r="CQ62" s="29" t="s">
        <v>1611</v>
      </c>
      <c r="CR62" s="29" t="s">
        <v>1611</v>
      </c>
      <c r="CS62" s="29" t="s">
        <v>1611</v>
      </c>
      <c r="CT62" s="29" t="s">
        <v>1611</v>
      </c>
      <c r="CU62" s="29" t="s">
        <v>1611</v>
      </c>
      <c r="CV62" s="29" t="s">
        <v>1611</v>
      </c>
      <c r="CW62" s="29"/>
      <c r="CX62" s="29"/>
      <c r="CY62" s="151"/>
      <c r="CZ62" t="s">
        <v>2067</v>
      </c>
      <c r="DA62" t="s">
        <v>3634</v>
      </c>
      <c r="DD62" s="96" t="str">
        <f t="shared" si="0"/>
        <v/>
      </c>
      <c r="DF62" s="96" t="s">
        <v>3753</v>
      </c>
    </row>
    <row r="63" spans="1:110" ht="16.5" customHeight="1" x14ac:dyDescent="0.3">
      <c r="C63" s="105">
        <v>1682989</v>
      </c>
      <c r="D63" s="27">
        <v>57</v>
      </c>
      <c r="E63" s="28" t="s">
        <v>808</v>
      </c>
      <c r="F63" s="28">
        <v>1000316773</v>
      </c>
      <c r="G63" s="29" t="s">
        <v>1554</v>
      </c>
      <c r="H63" s="28">
        <v>1682989</v>
      </c>
      <c r="I63" s="29" t="s">
        <v>884</v>
      </c>
      <c r="J63" s="28" t="s">
        <v>659</v>
      </c>
      <c r="K63" s="7"/>
      <c r="L63" s="104" t="s">
        <v>691</v>
      </c>
      <c r="M63" s="29"/>
      <c r="N63" s="29"/>
      <c r="O63" s="127"/>
      <c r="P63" s="28"/>
      <c r="Q63" s="28"/>
      <c r="R63" s="28"/>
      <c r="S63" s="28"/>
      <c r="T63" s="28"/>
      <c r="U63" s="28"/>
      <c r="V63" s="28"/>
      <c r="W63" s="28"/>
      <c r="X63" s="28"/>
      <c r="Y63" s="28"/>
      <c r="Z63" s="28"/>
      <c r="AA63" s="28"/>
      <c r="AB63" s="104" t="s">
        <v>1334</v>
      </c>
      <c r="AC63" s="104" t="s">
        <v>1307</v>
      </c>
      <c r="AD63" s="9" t="s">
        <v>1269</v>
      </c>
      <c r="AE63" s="39">
        <v>46044</v>
      </c>
      <c r="AF63" s="9" t="s">
        <v>1276</v>
      </c>
      <c r="AG63" s="34" t="s">
        <v>3511</v>
      </c>
      <c r="AH63" s="9"/>
      <c r="AI63" s="9"/>
      <c r="AJ63" s="9"/>
      <c r="AK63" s="45"/>
      <c r="AL63" s="45" t="s">
        <v>2278</v>
      </c>
      <c r="AM63" s="45" t="s">
        <v>1335</v>
      </c>
      <c r="AN63" s="45"/>
      <c r="AO63" s="45"/>
      <c r="AP63" s="45"/>
      <c r="AQ63" s="45"/>
      <c r="AR63" s="45"/>
      <c r="AS63" s="45"/>
      <c r="AT63" s="45"/>
      <c r="AU63" s="45"/>
      <c r="AV63" s="45"/>
      <c r="AW63" s="9"/>
      <c r="AX63" s="9"/>
      <c r="AY63" s="9"/>
      <c r="AZ63" s="9"/>
      <c r="BA63" s="10" t="s">
        <v>147</v>
      </c>
      <c r="BB63" s="29" t="s">
        <v>2695</v>
      </c>
      <c r="BC63" s="29" t="s">
        <v>2496</v>
      </c>
      <c r="BD63" s="29" t="s">
        <v>2550</v>
      </c>
      <c r="BE63" s="29" t="s">
        <v>2514</v>
      </c>
      <c r="BF63" s="29" t="s">
        <v>2515</v>
      </c>
      <c r="BG63" s="29" t="s">
        <v>2539</v>
      </c>
      <c r="BH63" s="29" t="s">
        <v>2540</v>
      </c>
      <c r="BI63" s="29" t="s">
        <v>2754</v>
      </c>
      <c r="BJ63" s="29" t="s">
        <v>2755</v>
      </c>
      <c r="BK63" s="29" t="s">
        <v>292</v>
      </c>
      <c r="BL63" s="29" t="s">
        <v>2646</v>
      </c>
      <c r="BM63" s="29" t="s">
        <v>1611</v>
      </c>
      <c r="BN63" s="29" t="s">
        <v>1611</v>
      </c>
      <c r="BO63" s="29" t="s">
        <v>1611</v>
      </c>
      <c r="BP63" s="29" t="s">
        <v>1611</v>
      </c>
      <c r="BQ63" s="29" t="s">
        <v>1611</v>
      </c>
      <c r="BR63" s="29" t="s">
        <v>1611</v>
      </c>
      <c r="BS63" s="29" t="s">
        <v>1611</v>
      </c>
      <c r="BT63" s="29" t="s">
        <v>1611</v>
      </c>
      <c r="BU63" s="29" t="s">
        <v>2647</v>
      </c>
      <c r="BV63" s="29" t="s">
        <v>2648</v>
      </c>
      <c r="BW63" s="29" t="s">
        <v>1611</v>
      </c>
      <c r="BX63" s="29" t="s">
        <v>1611</v>
      </c>
      <c r="BY63" s="29" t="s">
        <v>1611</v>
      </c>
      <c r="BZ63" s="29" t="s">
        <v>1611</v>
      </c>
      <c r="CA63" s="29" t="s">
        <v>1611</v>
      </c>
      <c r="CB63" s="29" t="s">
        <v>1611</v>
      </c>
      <c r="CC63" s="29" t="s">
        <v>1611</v>
      </c>
      <c r="CD63" s="29" t="s">
        <v>1611</v>
      </c>
      <c r="CE63" s="29" t="s">
        <v>1611</v>
      </c>
      <c r="CF63" s="29" t="s">
        <v>1611</v>
      </c>
      <c r="CG63" s="29" t="s">
        <v>1725</v>
      </c>
      <c r="CH63" s="29" t="s">
        <v>1833</v>
      </c>
      <c r="CI63" s="29" t="s">
        <v>1611</v>
      </c>
      <c r="CJ63" s="29" t="s">
        <v>1611</v>
      </c>
      <c r="CK63" s="29" t="s">
        <v>1611</v>
      </c>
      <c r="CL63" s="29" t="s">
        <v>1611</v>
      </c>
      <c r="CM63" s="29" t="s">
        <v>1611</v>
      </c>
      <c r="CN63" s="29" t="s">
        <v>1611</v>
      </c>
      <c r="CO63" s="29" t="s">
        <v>1611</v>
      </c>
      <c r="CP63" s="29" t="s">
        <v>1611</v>
      </c>
      <c r="CQ63" s="29" t="s">
        <v>1611</v>
      </c>
      <c r="CR63" s="29" t="s">
        <v>1611</v>
      </c>
      <c r="CS63" s="29" t="s">
        <v>1611</v>
      </c>
      <c r="CT63" s="29" t="s">
        <v>1611</v>
      </c>
      <c r="CU63" s="29" t="s">
        <v>1611</v>
      </c>
      <c r="CV63" s="29" t="s">
        <v>1611</v>
      </c>
      <c r="CW63" s="29"/>
      <c r="CX63" s="29"/>
      <c r="CY63" s="151"/>
      <c r="CZ63" t="s">
        <v>3725</v>
      </c>
      <c r="DA63" t="s">
        <v>3587</v>
      </c>
      <c r="DD63" s="96" t="str">
        <f t="shared" si="0"/>
        <v>V</v>
      </c>
    </row>
    <row r="64" spans="1:110" ht="16.5" customHeight="1" x14ac:dyDescent="0.3">
      <c r="C64" s="105">
        <v>1714218</v>
      </c>
      <c r="D64" s="27">
        <v>58</v>
      </c>
      <c r="E64" s="28" t="s">
        <v>818</v>
      </c>
      <c r="F64" s="28">
        <v>1000315949</v>
      </c>
      <c r="G64" s="29" t="s">
        <v>1553</v>
      </c>
      <c r="H64" s="28">
        <v>1714218</v>
      </c>
      <c r="I64" s="29" t="s">
        <v>886</v>
      </c>
      <c r="J64" s="28"/>
      <c r="K64" s="7"/>
      <c r="L64" s="104"/>
      <c r="M64" s="29"/>
      <c r="N64" s="29"/>
      <c r="O64" s="127"/>
      <c r="P64" s="28"/>
      <c r="Q64" s="28"/>
      <c r="R64" s="28"/>
      <c r="S64" s="28"/>
      <c r="T64" s="28"/>
      <c r="U64" s="28"/>
      <c r="V64" s="28"/>
      <c r="W64" s="28"/>
      <c r="X64" s="28"/>
      <c r="Y64" s="28"/>
      <c r="Z64" s="28"/>
      <c r="AA64" s="28"/>
      <c r="AB64" s="104" t="s">
        <v>652</v>
      </c>
      <c r="AC64" s="104" t="s">
        <v>1569</v>
      </c>
      <c r="AD64" s="9" t="s">
        <v>1269</v>
      </c>
      <c r="AE64" s="39">
        <v>45902</v>
      </c>
      <c r="AF64" s="9" t="s">
        <v>1929</v>
      </c>
      <c r="AG64" s="34" t="s">
        <v>1930</v>
      </c>
      <c r="AH64" s="9"/>
      <c r="AI64" s="9"/>
      <c r="AJ64" s="9"/>
      <c r="AK64" s="45"/>
      <c r="AL64" s="45"/>
      <c r="AM64" s="45"/>
      <c r="AN64" s="45"/>
      <c r="AO64" s="45"/>
      <c r="AP64" s="45"/>
      <c r="AQ64" s="45"/>
      <c r="AR64" s="45"/>
      <c r="AS64" s="45"/>
      <c r="AT64" s="45"/>
      <c r="AU64" s="45"/>
      <c r="AV64" s="45"/>
      <c r="AW64" s="9"/>
      <c r="AX64" s="9"/>
      <c r="AY64" s="9"/>
      <c r="AZ64" s="9"/>
      <c r="BA64" s="10" t="s">
        <v>1611</v>
      </c>
      <c r="BB64" s="29" t="s">
        <v>1611</v>
      </c>
      <c r="BC64" s="29" t="s">
        <v>1611</v>
      </c>
      <c r="BD64" s="29" t="s">
        <v>1611</v>
      </c>
      <c r="BE64" s="29" t="s">
        <v>1611</v>
      </c>
      <c r="BF64" s="29" t="s">
        <v>1611</v>
      </c>
      <c r="BG64" s="29" t="s">
        <v>1611</v>
      </c>
      <c r="BH64" s="29" t="s">
        <v>1611</v>
      </c>
      <c r="BI64" s="29" t="s">
        <v>1611</v>
      </c>
      <c r="BJ64" s="29" t="s">
        <v>1611</v>
      </c>
      <c r="BK64" s="29" t="s">
        <v>80</v>
      </c>
      <c r="BL64" s="29" t="s">
        <v>2688</v>
      </c>
      <c r="BM64" s="29" t="s">
        <v>1611</v>
      </c>
      <c r="BN64" s="29" t="s">
        <v>1611</v>
      </c>
      <c r="BO64" s="29" t="s">
        <v>1611</v>
      </c>
      <c r="BP64" s="29" t="s">
        <v>1611</v>
      </c>
      <c r="BQ64" s="29" t="s">
        <v>1611</v>
      </c>
      <c r="BR64" s="29" t="s">
        <v>1611</v>
      </c>
      <c r="BS64" s="29" t="s">
        <v>1611</v>
      </c>
      <c r="BT64" s="29" t="s">
        <v>1611</v>
      </c>
      <c r="BU64" s="29" t="s">
        <v>2368</v>
      </c>
      <c r="BV64" s="29" t="s">
        <v>2411</v>
      </c>
      <c r="BW64" s="29" t="s">
        <v>1611</v>
      </c>
      <c r="BX64" s="29" t="s">
        <v>1611</v>
      </c>
      <c r="BY64" s="29" t="s">
        <v>1611</v>
      </c>
      <c r="BZ64" s="29" t="s">
        <v>1611</v>
      </c>
      <c r="CA64" s="29" t="s">
        <v>1611</v>
      </c>
      <c r="CB64" s="29" t="s">
        <v>1611</v>
      </c>
      <c r="CC64" s="29" t="s">
        <v>1611</v>
      </c>
      <c r="CD64" s="29" t="s">
        <v>1611</v>
      </c>
      <c r="CE64" s="29" t="s">
        <v>1611</v>
      </c>
      <c r="CF64" s="29" t="s">
        <v>1611</v>
      </c>
      <c r="CG64" s="29" t="s">
        <v>1726</v>
      </c>
      <c r="CH64" s="29" t="s">
        <v>1834</v>
      </c>
      <c r="CI64" s="29" t="s">
        <v>1611</v>
      </c>
      <c r="CJ64" s="29" t="s">
        <v>1611</v>
      </c>
      <c r="CK64" s="29" t="s">
        <v>1611</v>
      </c>
      <c r="CL64" s="29" t="s">
        <v>1611</v>
      </c>
      <c r="CM64" s="29" t="s">
        <v>1611</v>
      </c>
      <c r="CN64" s="29" t="s">
        <v>1611</v>
      </c>
      <c r="CO64" s="29" t="s">
        <v>1611</v>
      </c>
      <c r="CP64" s="29" t="s">
        <v>1611</v>
      </c>
      <c r="CQ64" s="29" t="s">
        <v>1611</v>
      </c>
      <c r="CR64" s="29" t="s">
        <v>1611</v>
      </c>
      <c r="CS64" s="29" t="s">
        <v>1611</v>
      </c>
      <c r="CT64" s="29" t="s">
        <v>1611</v>
      </c>
      <c r="CU64" s="29" t="s">
        <v>1611</v>
      </c>
      <c r="CV64" s="29" t="s">
        <v>1611</v>
      </c>
      <c r="CW64" s="29"/>
      <c r="CX64" s="29"/>
      <c r="CY64" s="151"/>
      <c r="CZ64" t="e">
        <v>#N/A</v>
      </c>
      <c r="DA64" t="e">
        <v>#N/A</v>
      </c>
      <c r="DD64" s="96" t="str">
        <f t="shared" si="0"/>
        <v>V</v>
      </c>
    </row>
    <row r="65" spans="1:110" ht="16.5" customHeight="1" x14ac:dyDescent="0.3">
      <c r="C65" s="105">
        <v>1664607</v>
      </c>
      <c r="D65" s="27">
        <v>59</v>
      </c>
      <c r="E65" s="28" t="s">
        <v>822</v>
      </c>
      <c r="F65" s="28">
        <v>1000317517</v>
      </c>
      <c r="G65" s="29" t="s">
        <v>1571</v>
      </c>
      <c r="H65" s="28">
        <v>1664607</v>
      </c>
      <c r="I65" s="29" t="s">
        <v>888</v>
      </c>
      <c r="J65" s="28" t="s">
        <v>429</v>
      </c>
      <c r="K65" s="7"/>
      <c r="L65" s="104" t="s">
        <v>318</v>
      </c>
      <c r="M65" s="29" t="s">
        <v>2311</v>
      </c>
      <c r="N65" s="29" t="s">
        <v>2312</v>
      </c>
      <c r="O65" s="127">
        <v>128984268</v>
      </c>
      <c r="P65" s="113" t="s">
        <v>2313</v>
      </c>
      <c r="Q65" s="28" t="s">
        <v>612</v>
      </c>
      <c r="R65" s="28" t="s">
        <v>1301</v>
      </c>
      <c r="S65" s="28" t="s">
        <v>1301</v>
      </c>
      <c r="T65" s="28" t="s">
        <v>1301</v>
      </c>
      <c r="U65" s="28" t="s">
        <v>1301</v>
      </c>
      <c r="V65" s="28" t="s">
        <v>1301</v>
      </c>
      <c r="W65" s="28" t="s">
        <v>1301</v>
      </c>
      <c r="X65" s="28" t="s">
        <v>1301</v>
      </c>
      <c r="Y65" s="28" t="s">
        <v>1301</v>
      </c>
      <c r="Z65" s="28" t="s">
        <v>1301</v>
      </c>
      <c r="AA65" s="28" t="s">
        <v>1301</v>
      </c>
      <c r="AB65" s="104" t="s">
        <v>663</v>
      </c>
      <c r="AC65" s="104" t="s">
        <v>1340</v>
      </c>
      <c r="AD65" s="9" t="s">
        <v>45</v>
      </c>
      <c r="AE65" s="9"/>
      <c r="AF65" s="9"/>
      <c r="AG65" s="34"/>
      <c r="AH65" s="9"/>
      <c r="AI65" s="9"/>
      <c r="AJ65" s="9"/>
      <c r="AK65" s="45"/>
      <c r="AL65" s="45" t="s">
        <v>2278</v>
      </c>
      <c r="AM65" s="45" t="s">
        <v>1335</v>
      </c>
      <c r="AN65" s="45" t="s">
        <v>46</v>
      </c>
      <c r="AO65" s="45" t="s">
        <v>46</v>
      </c>
      <c r="AP65" s="45" t="s">
        <v>46</v>
      </c>
      <c r="AQ65" s="45" t="s">
        <v>46</v>
      </c>
      <c r="AR65" s="45" t="s">
        <v>46</v>
      </c>
      <c r="AS65" s="45" t="s">
        <v>46</v>
      </c>
      <c r="AT65" s="45"/>
      <c r="AU65" s="45"/>
      <c r="AV65" s="45"/>
      <c r="AW65" s="45" t="s">
        <v>46</v>
      </c>
      <c r="AX65" s="45" t="s">
        <v>46</v>
      </c>
      <c r="AY65" s="45" t="s">
        <v>46</v>
      </c>
      <c r="AZ65" s="45" t="s">
        <v>46</v>
      </c>
      <c r="BA65" s="10" t="s">
        <v>2499</v>
      </c>
      <c r="BB65" s="29" t="s">
        <v>2756</v>
      </c>
      <c r="BC65" s="29" t="s">
        <v>1611</v>
      </c>
      <c r="BD65" s="29" t="s">
        <v>1611</v>
      </c>
      <c r="BE65" s="29" t="s">
        <v>2514</v>
      </c>
      <c r="BF65" s="29" t="s">
        <v>2515</v>
      </c>
      <c r="BG65" s="29" t="s">
        <v>40</v>
      </c>
      <c r="BH65" s="29" t="s">
        <v>2572</v>
      </c>
      <c r="BI65" s="29" t="s">
        <v>93</v>
      </c>
      <c r="BJ65" s="29" t="s">
        <v>2629</v>
      </c>
      <c r="BK65" s="29" t="s">
        <v>243</v>
      </c>
      <c r="BL65" s="29" t="s">
        <v>2757</v>
      </c>
      <c r="BM65" s="29" t="s">
        <v>1611</v>
      </c>
      <c r="BN65" s="29" t="s">
        <v>1611</v>
      </c>
      <c r="BO65" s="29" t="s">
        <v>1611</v>
      </c>
      <c r="BP65" s="29" t="s">
        <v>1611</v>
      </c>
      <c r="BQ65" s="29" t="s">
        <v>1611</v>
      </c>
      <c r="BR65" s="29" t="s">
        <v>1611</v>
      </c>
      <c r="BS65" s="29" t="s">
        <v>1611</v>
      </c>
      <c r="BT65" s="29" t="s">
        <v>1611</v>
      </c>
      <c r="BU65" s="29" t="s">
        <v>319</v>
      </c>
      <c r="BV65" s="29" t="s">
        <v>2758</v>
      </c>
      <c r="BW65" s="29" t="s">
        <v>1611</v>
      </c>
      <c r="BX65" s="29" t="s">
        <v>1611</v>
      </c>
      <c r="BY65" s="29" t="s">
        <v>1611</v>
      </c>
      <c r="BZ65" s="29" t="s">
        <v>1611</v>
      </c>
      <c r="CA65" s="29" t="s">
        <v>1611</v>
      </c>
      <c r="CB65" s="29" t="s">
        <v>1611</v>
      </c>
      <c r="CC65" s="29" t="s">
        <v>1611</v>
      </c>
      <c r="CD65" s="29" t="s">
        <v>1611</v>
      </c>
      <c r="CE65" s="29" t="s">
        <v>1611</v>
      </c>
      <c r="CF65" s="29" t="s">
        <v>1611</v>
      </c>
      <c r="CG65" s="29" t="s">
        <v>320</v>
      </c>
      <c r="CH65" s="29" t="s">
        <v>1835</v>
      </c>
      <c r="CI65" s="29" t="s">
        <v>1611</v>
      </c>
      <c r="CJ65" s="29" t="s">
        <v>1611</v>
      </c>
      <c r="CK65" s="29" t="s">
        <v>2759</v>
      </c>
      <c r="CL65" s="29" t="s">
        <v>2760</v>
      </c>
      <c r="CM65" s="29" t="s">
        <v>2761</v>
      </c>
      <c r="CN65" s="29" t="s">
        <v>2762</v>
      </c>
      <c r="CO65" s="29" t="s">
        <v>2763</v>
      </c>
      <c r="CP65" s="29" t="s">
        <v>2764</v>
      </c>
      <c r="CQ65" s="29" t="s">
        <v>1611</v>
      </c>
      <c r="CR65" s="29" t="s">
        <v>1611</v>
      </c>
      <c r="CS65" s="29" t="s">
        <v>1611</v>
      </c>
      <c r="CT65" s="29" t="s">
        <v>1611</v>
      </c>
      <c r="CU65" s="29" t="s">
        <v>1611</v>
      </c>
      <c r="CV65" s="29" t="s">
        <v>1611</v>
      </c>
      <c r="CW65" s="29"/>
      <c r="CX65" s="29"/>
      <c r="CY65" s="151"/>
      <c r="CZ65" t="s">
        <v>3272</v>
      </c>
      <c r="DA65" t="s">
        <v>3634</v>
      </c>
      <c r="DD65" s="96" t="str">
        <f t="shared" si="0"/>
        <v/>
      </c>
      <c r="DF65" s="96" t="s">
        <v>3753</v>
      </c>
    </row>
    <row r="66" spans="1:110" ht="16.5" customHeight="1" x14ac:dyDescent="0.3">
      <c r="C66" s="105">
        <v>1683260</v>
      </c>
      <c r="D66" s="27">
        <v>60</v>
      </c>
      <c r="E66" s="28" t="s">
        <v>843</v>
      </c>
      <c r="F66" s="28">
        <v>1000502523</v>
      </c>
      <c r="G66" s="29" t="s">
        <v>1570</v>
      </c>
      <c r="H66" s="28">
        <v>1683260</v>
      </c>
      <c r="I66" s="29" t="s">
        <v>890</v>
      </c>
      <c r="J66" s="28" t="s">
        <v>659</v>
      </c>
      <c r="K66" s="7"/>
      <c r="L66" s="104" t="s">
        <v>692</v>
      </c>
      <c r="M66" s="29"/>
      <c r="N66" s="29"/>
      <c r="O66" s="127"/>
      <c r="P66" s="28"/>
      <c r="Q66" s="28"/>
      <c r="R66" s="28"/>
      <c r="S66" s="28"/>
      <c r="T66" s="28"/>
      <c r="U66" s="28"/>
      <c r="V66" s="28"/>
      <c r="W66" s="28"/>
      <c r="X66" s="28"/>
      <c r="Y66" s="28"/>
      <c r="Z66" s="28"/>
      <c r="AA66" s="28"/>
      <c r="AB66" s="104" t="s">
        <v>653</v>
      </c>
      <c r="AC66" s="104" t="s">
        <v>645</v>
      </c>
      <c r="AD66" s="9" t="s">
        <v>1269</v>
      </c>
      <c r="AE66" s="39">
        <v>46058</v>
      </c>
      <c r="AF66" s="9" t="s">
        <v>1276</v>
      </c>
      <c r="AG66" s="34" t="s">
        <v>3759</v>
      </c>
      <c r="AH66" s="9"/>
      <c r="AI66" s="9"/>
      <c r="AJ66" s="9"/>
      <c r="AK66" s="45"/>
      <c r="AL66" s="45"/>
      <c r="AM66" s="45"/>
      <c r="AN66" s="45"/>
      <c r="AO66" s="45"/>
      <c r="AP66" s="45"/>
      <c r="AQ66" s="45"/>
      <c r="AR66" s="45"/>
      <c r="AS66" s="45"/>
      <c r="AT66" s="45"/>
      <c r="AU66" s="45"/>
      <c r="AV66" s="45"/>
      <c r="AW66" s="9"/>
      <c r="AX66" s="9"/>
      <c r="AY66" s="9"/>
      <c r="AZ66" s="9"/>
      <c r="BA66" s="10" t="s">
        <v>2497</v>
      </c>
      <c r="BB66" s="29" t="s">
        <v>2567</v>
      </c>
      <c r="BC66" s="29" t="s">
        <v>1611</v>
      </c>
      <c r="BD66" s="29" t="s">
        <v>1611</v>
      </c>
      <c r="BE66" s="29" t="s">
        <v>2502</v>
      </c>
      <c r="BF66" s="29" t="s">
        <v>2503</v>
      </c>
      <c r="BG66" s="29" t="s">
        <v>2599</v>
      </c>
      <c r="BH66" s="29" t="s">
        <v>2600</v>
      </c>
      <c r="BI66" s="29" t="s">
        <v>363</v>
      </c>
      <c r="BJ66" s="29" t="s">
        <v>2627</v>
      </c>
      <c r="BK66" s="29" t="s">
        <v>2765</v>
      </c>
      <c r="BL66" s="29" t="s">
        <v>2766</v>
      </c>
      <c r="BM66" s="29" t="s">
        <v>1611</v>
      </c>
      <c r="BN66" s="29" t="s">
        <v>1611</v>
      </c>
      <c r="BO66" s="29" t="s">
        <v>1611</v>
      </c>
      <c r="BP66" s="29" t="s">
        <v>1611</v>
      </c>
      <c r="BQ66" s="29" t="s">
        <v>1611</v>
      </c>
      <c r="BR66" s="29" t="s">
        <v>1611</v>
      </c>
      <c r="BS66" s="29" t="s">
        <v>1611</v>
      </c>
      <c r="BT66" s="29" t="s">
        <v>1611</v>
      </c>
      <c r="BU66" s="29" t="s">
        <v>2767</v>
      </c>
      <c r="BV66" s="29" t="s">
        <v>2768</v>
      </c>
      <c r="BW66" s="29" t="s">
        <v>1611</v>
      </c>
      <c r="BX66" s="29" t="s">
        <v>1611</v>
      </c>
      <c r="BY66" s="29" t="s">
        <v>1611</v>
      </c>
      <c r="BZ66" s="29" t="s">
        <v>1611</v>
      </c>
      <c r="CA66" s="29" t="s">
        <v>1611</v>
      </c>
      <c r="CB66" s="29" t="s">
        <v>1611</v>
      </c>
      <c r="CC66" s="29" t="s">
        <v>1611</v>
      </c>
      <c r="CD66" s="29" t="s">
        <v>1611</v>
      </c>
      <c r="CE66" s="29" t="s">
        <v>1611</v>
      </c>
      <c r="CF66" s="29" t="s">
        <v>1611</v>
      </c>
      <c r="CG66" s="29" t="s">
        <v>1727</v>
      </c>
      <c r="CH66" s="29" t="s">
        <v>3696</v>
      </c>
      <c r="CI66" s="29" t="s">
        <v>1611</v>
      </c>
      <c r="CJ66" s="29" t="s">
        <v>1611</v>
      </c>
      <c r="CK66" s="29" t="s">
        <v>1611</v>
      </c>
      <c r="CL66" s="29" t="s">
        <v>1611</v>
      </c>
      <c r="CM66" s="29" t="s">
        <v>1611</v>
      </c>
      <c r="CN66" s="29" t="s">
        <v>1611</v>
      </c>
      <c r="CO66" s="29" t="s">
        <v>1611</v>
      </c>
      <c r="CP66" s="29" t="s">
        <v>1611</v>
      </c>
      <c r="CQ66" s="29" t="s">
        <v>1611</v>
      </c>
      <c r="CR66" s="29" t="s">
        <v>1611</v>
      </c>
      <c r="CS66" s="29" t="s">
        <v>1611</v>
      </c>
      <c r="CT66" s="29" t="s">
        <v>1611</v>
      </c>
      <c r="CU66" s="29" t="s">
        <v>1611</v>
      </c>
      <c r="CV66" s="29" t="s">
        <v>1611</v>
      </c>
      <c r="CW66" s="29"/>
      <c r="CX66" s="29"/>
      <c r="CY66" s="151"/>
      <c r="CZ66" t="e">
        <v>#N/A</v>
      </c>
      <c r="DA66" t="e">
        <v>#N/A</v>
      </c>
      <c r="DC66" s="96" t="s">
        <v>3700</v>
      </c>
      <c r="DD66" s="96" t="str">
        <f t="shared" si="0"/>
        <v>V</v>
      </c>
    </row>
    <row r="67" spans="1:110" ht="16.5" customHeight="1" x14ac:dyDescent="0.3">
      <c r="A67" t="s">
        <v>3843</v>
      </c>
      <c r="B67" t="s">
        <v>3778</v>
      </c>
      <c r="C67" s="105">
        <v>1657550</v>
      </c>
      <c r="D67" s="27">
        <v>61</v>
      </c>
      <c r="E67" s="28" t="s">
        <v>808</v>
      </c>
      <c r="F67" s="28">
        <v>1001005932</v>
      </c>
      <c r="G67" s="29" t="s">
        <v>892</v>
      </c>
      <c r="H67" s="28">
        <v>1657550</v>
      </c>
      <c r="I67" s="29" t="s">
        <v>893</v>
      </c>
      <c r="J67" s="28" t="s">
        <v>429</v>
      </c>
      <c r="K67" s="7"/>
      <c r="L67" s="104" t="s">
        <v>205</v>
      </c>
      <c r="M67" s="29" t="s">
        <v>36</v>
      </c>
      <c r="N67" s="29" t="s">
        <v>3871</v>
      </c>
      <c r="O67" s="127">
        <v>1349103</v>
      </c>
      <c r="P67" s="28" t="s">
        <v>1301</v>
      </c>
      <c r="Q67" s="28" t="s">
        <v>1301</v>
      </c>
      <c r="R67" s="28" t="s">
        <v>362</v>
      </c>
      <c r="S67" s="28" t="s">
        <v>362</v>
      </c>
      <c r="T67" s="28" t="s">
        <v>3769</v>
      </c>
      <c r="U67" s="28" t="s">
        <v>2245</v>
      </c>
      <c r="V67" s="28" t="s">
        <v>362</v>
      </c>
      <c r="W67" s="28" t="s">
        <v>362</v>
      </c>
      <c r="X67" s="28" t="s">
        <v>362</v>
      </c>
      <c r="Y67" s="28" t="s">
        <v>362</v>
      </c>
      <c r="Z67" s="28" t="s">
        <v>362</v>
      </c>
      <c r="AA67" s="28" t="s">
        <v>362</v>
      </c>
      <c r="AB67" s="104" t="s">
        <v>1949</v>
      </c>
      <c r="AC67" s="104" t="s">
        <v>1950</v>
      </c>
      <c r="AD67" s="9" t="s">
        <v>1269</v>
      </c>
      <c r="AE67" s="9"/>
      <c r="AF67" s="9" t="s">
        <v>3780</v>
      </c>
      <c r="AG67" s="34"/>
      <c r="AH67" s="9"/>
      <c r="AI67" s="9"/>
      <c r="AJ67" s="9"/>
      <c r="AK67" s="45"/>
      <c r="AL67" s="45" t="s">
        <v>2278</v>
      </c>
      <c r="AM67" s="45"/>
      <c r="AN67" s="45"/>
      <c r="AO67" s="45"/>
      <c r="AP67" s="45"/>
      <c r="AQ67" s="45"/>
      <c r="AR67" s="45"/>
      <c r="AS67" s="45"/>
      <c r="AT67" s="45"/>
      <c r="AU67" s="45"/>
      <c r="AV67" s="45"/>
      <c r="AW67" s="9" t="s">
        <v>461</v>
      </c>
      <c r="AX67" s="9" t="s">
        <v>461</v>
      </c>
      <c r="AY67" s="9" t="s">
        <v>461</v>
      </c>
      <c r="AZ67" s="9" t="s">
        <v>461</v>
      </c>
      <c r="BA67" s="10" t="s">
        <v>184</v>
      </c>
      <c r="BB67" s="29" t="s">
        <v>2568</v>
      </c>
      <c r="BC67" s="29" t="s">
        <v>1611</v>
      </c>
      <c r="BD67" s="29" t="s">
        <v>1611</v>
      </c>
      <c r="BE67" s="29" t="s">
        <v>2514</v>
      </c>
      <c r="BF67" s="29" t="s">
        <v>2515</v>
      </c>
      <c r="BG67" s="29" t="s">
        <v>2569</v>
      </c>
      <c r="BH67" s="29" t="s">
        <v>2570</v>
      </c>
      <c r="BI67" s="29" t="s">
        <v>305</v>
      </c>
      <c r="BJ67" s="29" t="s">
        <v>2769</v>
      </c>
      <c r="BK67" s="29" t="s">
        <v>512</v>
      </c>
      <c r="BL67" s="29" t="s">
        <v>2770</v>
      </c>
      <c r="BM67" s="29" t="s">
        <v>1611</v>
      </c>
      <c r="BN67" s="29" t="s">
        <v>1611</v>
      </c>
      <c r="BO67" s="29" t="s">
        <v>1611</v>
      </c>
      <c r="BP67" s="29" t="s">
        <v>1611</v>
      </c>
      <c r="BQ67" s="29" t="s">
        <v>1611</v>
      </c>
      <c r="BR67" s="29" t="s">
        <v>1611</v>
      </c>
      <c r="BS67" s="29" t="s">
        <v>1611</v>
      </c>
      <c r="BT67" s="29" t="s">
        <v>1611</v>
      </c>
      <c r="BU67" s="29" t="s">
        <v>2369</v>
      </c>
      <c r="BV67" s="29" t="s">
        <v>2412</v>
      </c>
      <c r="BW67" s="29" t="s">
        <v>1611</v>
      </c>
      <c r="BX67" s="29" t="s">
        <v>1611</v>
      </c>
      <c r="BY67" s="29" t="s">
        <v>1611</v>
      </c>
      <c r="BZ67" s="29" t="s">
        <v>1611</v>
      </c>
      <c r="CA67" s="29" t="s">
        <v>1611</v>
      </c>
      <c r="CB67" s="29" t="s">
        <v>1611</v>
      </c>
      <c r="CC67" s="29" t="s">
        <v>1611</v>
      </c>
      <c r="CD67" s="29" t="s">
        <v>1611</v>
      </c>
      <c r="CE67" s="29" t="s">
        <v>1611</v>
      </c>
      <c r="CF67" s="29" t="s">
        <v>1611</v>
      </c>
      <c r="CG67" s="29" t="s">
        <v>1728</v>
      </c>
      <c r="CH67" s="29" t="s">
        <v>1837</v>
      </c>
      <c r="CI67" s="29" t="s">
        <v>1611</v>
      </c>
      <c r="CJ67" s="29" t="s">
        <v>1611</v>
      </c>
      <c r="CK67" s="29" t="s">
        <v>3858</v>
      </c>
      <c r="CL67" s="29" t="s">
        <v>3857</v>
      </c>
      <c r="CM67" s="29" t="s">
        <v>1611</v>
      </c>
      <c r="CN67" s="29" t="s">
        <v>1611</v>
      </c>
      <c r="CO67" s="29" t="s">
        <v>1611</v>
      </c>
      <c r="CP67" s="29" t="s">
        <v>1611</v>
      </c>
      <c r="CQ67" s="29" t="s">
        <v>1611</v>
      </c>
      <c r="CR67" s="29" t="s">
        <v>1611</v>
      </c>
      <c r="CS67" s="29" t="s">
        <v>1611</v>
      </c>
      <c r="CT67" s="29" t="s">
        <v>1611</v>
      </c>
      <c r="CU67" s="29" t="s">
        <v>1611</v>
      </c>
      <c r="CV67" s="29" t="s">
        <v>1611</v>
      </c>
      <c r="CW67" s="29"/>
      <c r="CX67" s="29"/>
      <c r="CY67" s="151"/>
      <c r="CZ67" t="s">
        <v>3599</v>
      </c>
      <c r="DA67" t="s">
        <v>3634</v>
      </c>
      <c r="DC67" s="96" t="s">
        <v>3700</v>
      </c>
      <c r="DD67" s="96" t="str">
        <f t="shared" si="0"/>
        <v/>
      </c>
      <c r="DF67" s="96" t="s">
        <v>3753</v>
      </c>
    </row>
    <row r="68" spans="1:110" ht="16.5" customHeight="1" x14ac:dyDescent="0.3">
      <c r="C68" s="105">
        <v>1681493</v>
      </c>
      <c r="D68" s="27">
        <v>62</v>
      </c>
      <c r="E68" s="28" t="s">
        <v>822</v>
      </c>
      <c r="F68" s="28">
        <v>1000676068</v>
      </c>
      <c r="G68" s="29" t="s">
        <v>896</v>
      </c>
      <c r="H68" s="28">
        <v>1681493</v>
      </c>
      <c r="I68" s="29" t="s">
        <v>897</v>
      </c>
      <c r="J68" s="28" t="s">
        <v>429</v>
      </c>
      <c r="K68" s="7"/>
      <c r="L68" s="104" t="s">
        <v>693</v>
      </c>
      <c r="M68" s="29"/>
      <c r="N68" s="29"/>
      <c r="O68" s="127"/>
      <c r="P68" s="28"/>
      <c r="Q68" s="28"/>
      <c r="R68" s="28"/>
      <c r="S68" s="28"/>
      <c r="T68" s="28"/>
      <c r="U68" s="28"/>
      <c r="V68" s="28"/>
      <c r="W68" s="28"/>
      <c r="X68" s="28"/>
      <c r="Y68" s="28"/>
      <c r="Z68" s="28"/>
      <c r="AA68" s="28"/>
      <c r="AB68" s="104"/>
      <c r="AC68" s="104"/>
      <c r="AD68" s="9" t="s">
        <v>1269</v>
      </c>
      <c r="AE68" s="39">
        <v>45874</v>
      </c>
      <c r="AF68" s="9" t="s">
        <v>1276</v>
      </c>
      <c r="AG68" s="34" t="s">
        <v>2282</v>
      </c>
      <c r="AH68" s="9"/>
      <c r="AI68" s="9"/>
      <c r="AJ68" s="9"/>
      <c r="AK68" s="45"/>
      <c r="AL68" s="45"/>
      <c r="AM68" s="45"/>
      <c r="AN68" s="45"/>
      <c r="AO68" s="45"/>
      <c r="AP68" s="45"/>
      <c r="AQ68" s="45"/>
      <c r="AR68" s="45"/>
      <c r="AS68" s="45"/>
      <c r="AT68" s="45"/>
      <c r="AU68" s="45"/>
      <c r="AV68" s="45"/>
      <c r="AW68" s="9"/>
      <c r="AX68" s="9"/>
      <c r="AY68" s="9"/>
      <c r="AZ68" s="9"/>
      <c r="BA68" s="10" t="s">
        <v>184</v>
      </c>
      <c r="BB68" s="29" t="s">
        <v>2568</v>
      </c>
      <c r="BC68" s="29" t="s">
        <v>1611</v>
      </c>
      <c r="BD68" s="29" t="s">
        <v>1611</v>
      </c>
      <c r="BE68" s="29" t="s">
        <v>1611</v>
      </c>
      <c r="BF68" s="29" t="s">
        <v>1611</v>
      </c>
      <c r="BG68" s="29" t="s">
        <v>2650</v>
      </c>
      <c r="BH68" s="29" t="s">
        <v>2651</v>
      </c>
      <c r="BI68" s="29" t="s">
        <v>276</v>
      </c>
      <c r="BJ68" s="29" t="s">
        <v>2771</v>
      </c>
      <c r="BK68" s="29" t="s">
        <v>243</v>
      </c>
      <c r="BL68" s="29" t="s">
        <v>2757</v>
      </c>
      <c r="BM68" s="29" t="s">
        <v>1611</v>
      </c>
      <c r="BN68" s="29" t="s">
        <v>1611</v>
      </c>
      <c r="BO68" s="29" t="s">
        <v>1611</v>
      </c>
      <c r="BP68" s="29" t="s">
        <v>1611</v>
      </c>
      <c r="BQ68" s="29" t="s">
        <v>1611</v>
      </c>
      <c r="BR68" s="29" t="s">
        <v>1611</v>
      </c>
      <c r="BS68" s="29" t="s">
        <v>1611</v>
      </c>
      <c r="BT68" s="29" t="s">
        <v>1611</v>
      </c>
      <c r="BU68" s="29" t="s">
        <v>2772</v>
      </c>
      <c r="BV68" s="29" t="s">
        <v>2773</v>
      </c>
      <c r="BW68" s="29" t="s">
        <v>1611</v>
      </c>
      <c r="BX68" s="29" t="s">
        <v>1611</v>
      </c>
      <c r="BY68" s="29" t="s">
        <v>1611</v>
      </c>
      <c r="BZ68" s="29" t="s">
        <v>1611</v>
      </c>
      <c r="CA68" s="29" t="s">
        <v>1611</v>
      </c>
      <c r="CB68" s="29" t="s">
        <v>1611</v>
      </c>
      <c r="CC68" s="29" t="s">
        <v>1611</v>
      </c>
      <c r="CD68" s="29" t="s">
        <v>1611</v>
      </c>
      <c r="CE68" s="29" t="s">
        <v>1611</v>
      </c>
      <c r="CF68" s="29" t="s">
        <v>1611</v>
      </c>
      <c r="CG68" s="29" t="s">
        <v>1647</v>
      </c>
      <c r="CH68" s="29" t="s">
        <v>1838</v>
      </c>
      <c r="CI68" s="29" t="s">
        <v>1611</v>
      </c>
      <c r="CJ68" s="29" t="s">
        <v>1611</v>
      </c>
      <c r="CK68" s="29" t="s">
        <v>1611</v>
      </c>
      <c r="CL68" s="29" t="s">
        <v>1611</v>
      </c>
      <c r="CM68" s="29" t="s">
        <v>1611</v>
      </c>
      <c r="CN68" s="29" t="s">
        <v>1611</v>
      </c>
      <c r="CO68" s="29" t="s">
        <v>1611</v>
      </c>
      <c r="CP68" s="29" t="s">
        <v>1611</v>
      </c>
      <c r="CQ68" s="29" t="s">
        <v>1611</v>
      </c>
      <c r="CR68" s="29" t="s">
        <v>1611</v>
      </c>
      <c r="CS68" s="29" t="s">
        <v>1611</v>
      </c>
      <c r="CT68" s="29" t="s">
        <v>1611</v>
      </c>
      <c r="CU68" s="29" t="s">
        <v>1611</v>
      </c>
      <c r="CV68" s="29" t="s">
        <v>1611</v>
      </c>
      <c r="CW68" s="29"/>
      <c r="CX68" s="29"/>
      <c r="CY68" s="151"/>
      <c r="CZ68" t="e">
        <v>#N/A</v>
      </c>
      <c r="DA68" t="e">
        <v>#N/A</v>
      </c>
      <c r="DD68" s="96" t="str">
        <f t="shared" si="0"/>
        <v>V</v>
      </c>
    </row>
    <row r="69" spans="1:110" ht="16.5" customHeight="1" x14ac:dyDescent="0.3">
      <c r="C69" s="105">
        <v>1683305</v>
      </c>
      <c r="D69" s="27">
        <v>63</v>
      </c>
      <c r="E69" s="28" t="s">
        <v>808</v>
      </c>
      <c r="F69" s="28">
        <v>1000751734</v>
      </c>
      <c r="G69" s="29" t="s">
        <v>898</v>
      </c>
      <c r="H69" s="28">
        <v>1683305</v>
      </c>
      <c r="I69" s="29" t="s">
        <v>899</v>
      </c>
      <c r="J69" s="28" t="s">
        <v>659</v>
      </c>
      <c r="K69" s="7"/>
      <c r="L69" s="104" t="s">
        <v>694</v>
      </c>
      <c r="M69" s="29"/>
      <c r="N69" s="29"/>
      <c r="O69" s="127"/>
      <c r="P69" s="28"/>
      <c r="Q69" s="28"/>
      <c r="R69" s="28"/>
      <c r="S69" s="28"/>
      <c r="T69" s="28"/>
      <c r="U69" s="28"/>
      <c r="V69" s="28"/>
      <c r="W69" s="28"/>
      <c r="X69" s="28"/>
      <c r="Y69" s="28"/>
      <c r="Z69" s="28"/>
      <c r="AA69" s="28"/>
      <c r="AB69" s="104"/>
      <c r="AC69" s="28"/>
      <c r="AD69" s="9" t="s">
        <v>1269</v>
      </c>
      <c r="AE69" s="39">
        <v>45861</v>
      </c>
      <c r="AF69" s="9" t="s">
        <v>1276</v>
      </c>
      <c r="AG69" s="34" t="s">
        <v>1277</v>
      </c>
      <c r="AH69" s="9"/>
      <c r="AI69" s="9"/>
      <c r="AJ69" s="9"/>
      <c r="AK69" s="45"/>
      <c r="AL69" s="45"/>
      <c r="AM69" s="45"/>
      <c r="AN69" s="45"/>
      <c r="AO69" s="45"/>
      <c r="AP69" s="45"/>
      <c r="AQ69" s="45"/>
      <c r="AR69" s="45"/>
      <c r="AS69" s="45"/>
      <c r="AT69" s="45"/>
      <c r="AU69" s="45"/>
      <c r="AV69" s="45"/>
      <c r="AW69" s="9"/>
      <c r="AX69" s="9"/>
      <c r="AY69" s="9"/>
      <c r="AZ69" s="9"/>
      <c r="BA69" s="10" t="s">
        <v>268</v>
      </c>
      <c r="BB69" s="29" t="s">
        <v>2608</v>
      </c>
      <c r="BC69" s="29" t="s">
        <v>1611</v>
      </c>
      <c r="BD69" s="29" t="s">
        <v>1611</v>
      </c>
      <c r="BE69" s="29" t="s">
        <v>1611</v>
      </c>
      <c r="BF69" s="29" t="s">
        <v>1611</v>
      </c>
      <c r="BG69" s="29" t="s">
        <v>1611</v>
      </c>
      <c r="BH69" s="29" t="s">
        <v>1611</v>
      </c>
      <c r="BI69" s="29" t="s">
        <v>2744</v>
      </c>
      <c r="BJ69" s="29" t="s">
        <v>2745</v>
      </c>
      <c r="BK69" s="29" t="s">
        <v>2774</v>
      </c>
      <c r="BL69" s="29" t="s">
        <v>2775</v>
      </c>
      <c r="BM69" s="29" t="s">
        <v>1611</v>
      </c>
      <c r="BN69" s="29" t="s">
        <v>1611</v>
      </c>
      <c r="BO69" s="29" t="s">
        <v>1611</v>
      </c>
      <c r="BP69" s="29" t="s">
        <v>1611</v>
      </c>
      <c r="BQ69" s="29" t="s">
        <v>1611</v>
      </c>
      <c r="BR69" s="29" t="s">
        <v>1611</v>
      </c>
      <c r="BS69" s="29" t="s">
        <v>1611</v>
      </c>
      <c r="BT69" s="29" t="s">
        <v>1611</v>
      </c>
      <c r="BU69" s="29" t="s">
        <v>2776</v>
      </c>
      <c r="BV69" s="29" t="s">
        <v>2777</v>
      </c>
      <c r="BW69" s="29" t="s">
        <v>1611</v>
      </c>
      <c r="BX69" s="29" t="s">
        <v>1611</v>
      </c>
      <c r="BY69" s="29" t="s">
        <v>1611</v>
      </c>
      <c r="BZ69" s="29" t="s">
        <v>1611</v>
      </c>
      <c r="CA69" s="29" t="s">
        <v>1611</v>
      </c>
      <c r="CB69" s="29" t="s">
        <v>1611</v>
      </c>
      <c r="CC69" s="29" t="s">
        <v>1611</v>
      </c>
      <c r="CD69" s="29" t="s">
        <v>1611</v>
      </c>
      <c r="CE69" s="29" t="s">
        <v>1611</v>
      </c>
      <c r="CF69" s="29" t="s">
        <v>1611</v>
      </c>
      <c r="CG69" s="29" t="s">
        <v>1706</v>
      </c>
      <c r="CH69" s="29" t="s">
        <v>1806</v>
      </c>
      <c r="CI69" s="29" t="s">
        <v>1611</v>
      </c>
      <c r="CJ69" s="29" t="s">
        <v>1611</v>
      </c>
      <c r="CK69" s="29" t="s">
        <v>1611</v>
      </c>
      <c r="CL69" s="29" t="s">
        <v>1611</v>
      </c>
      <c r="CM69" s="29" t="s">
        <v>1611</v>
      </c>
      <c r="CN69" s="29" t="s">
        <v>1611</v>
      </c>
      <c r="CO69" s="29" t="s">
        <v>1611</v>
      </c>
      <c r="CP69" s="29" t="s">
        <v>1611</v>
      </c>
      <c r="CQ69" s="29" t="s">
        <v>1611</v>
      </c>
      <c r="CR69" s="29" t="s">
        <v>1611</v>
      </c>
      <c r="CS69" s="29" t="s">
        <v>1611</v>
      </c>
      <c r="CT69" s="29" t="s">
        <v>1611</v>
      </c>
      <c r="CU69" s="29" t="s">
        <v>1611</v>
      </c>
      <c r="CV69" s="29" t="s">
        <v>1611</v>
      </c>
      <c r="CW69" s="29"/>
      <c r="CX69" s="29"/>
      <c r="CY69" s="151"/>
      <c r="CZ69" t="e">
        <v>#N/A</v>
      </c>
      <c r="DA69" t="e">
        <v>#N/A</v>
      </c>
      <c r="DD69" s="96" t="str">
        <f t="shared" si="0"/>
        <v>V</v>
      </c>
    </row>
    <row r="70" spans="1:110" ht="16.5" customHeight="1" x14ac:dyDescent="0.3">
      <c r="C70" s="105">
        <v>1658674</v>
      </c>
      <c r="D70" s="27">
        <v>64</v>
      </c>
      <c r="E70" s="28" t="s">
        <v>822</v>
      </c>
      <c r="F70" s="28">
        <v>1000315256</v>
      </c>
      <c r="G70" s="29" t="s">
        <v>900</v>
      </c>
      <c r="H70" s="28">
        <v>1658674</v>
      </c>
      <c r="I70" s="29" t="s">
        <v>901</v>
      </c>
      <c r="J70" s="28" t="s">
        <v>429</v>
      </c>
      <c r="K70" s="7"/>
      <c r="L70" s="104" t="s">
        <v>260</v>
      </c>
      <c r="M70" s="29"/>
      <c r="N70" s="29"/>
      <c r="O70" s="127"/>
      <c r="P70" s="28"/>
      <c r="Q70" s="28"/>
      <c r="R70" s="28"/>
      <c r="S70" s="28"/>
      <c r="T70" s="28"/>
      <c r="U70" s="28"/>
      <c r="V70" s="28"/>
      <c r="W70" s="28"/>
      <c r="X70" s="28"/>
      <c r="Y70" s="28"/>
      <c r="Z70" s="28"/>
      <c r="AA70" s="28"/>
      <c r="AB70" s="104"/>
      <c r="AC70" s="104"/>
      <c r="AD70" s="9" t="s">
        <v>45</v>
      </c>
      <c r="AE70" s="39">
        <v>45881</v>
      </c>
      <c r="AF70" s="9" t="s">
        <v>1276</v>
      </c>
      <c r="AG70" s="34" t="s">
        <v>1623</v>
      </c>
      <c r="AH70" s="9"/>
      <c r="AI70" s="9"/>
      <c r="AJ70" s="9"/>
      <c r="AK70" s="45"/>
      <c r="AL70" s="45"/>
      <c r="AM70" s="45"/>
      <c r="AN70" s="45"/>
      <c r="AO70" s="45"/>
      <c r="AP70" s="45"/>
      <c r="AQ70" s="45"/>
      <c r="AR70" s="45"/>
      <c r="AS70" s="45"/>
      <c r="AT70" s="45"/>
      <c r="AU70" s="45"/>
      <c r="AV70" s="45"/>
      <c r="AW70" s="9"/>
      <c r="AX70" s="9"/>
      <c r="AY70" s="9"/>
      <c r="AZ70" s="9"/>
      <c r="BA70" s="10" t="s">
        <v>70</v>
      </c>
      <c r="BB70" s="29" t="s">
        <v>2616</v>
      </c>
      <c r="BC70" s="29" t="s">
        <v>1611</v>
      </c>
      <c r="BD70" s="29" t="s">
        <v>1611</v>
      </c>
      <c r="BE70" s="29" t="s">
        <v>2502</v>
      </c>
      <c r="BF70" s="29" t="s">
        <v>2503</v>
      </c>
      <c r="BG70" s="29" t="s">
        <v>2599</v>
      </c>
      <c r="BH70" s="29" t="s">
        <v>2600</v>
      </c>
      <c r="BI70" s="29" t="s">
        <v>93</v>
      </c>
      <c r="BJ70" s="29" t="s">
        <v>2629</v>
      </c>
      <c r="BK70" s="29" t="s">
        <v>148</v>
      </c>
      <c r="BL70" s="29" t="s">
        <v>2678</v>
      </c>
      <c r="BM70" s="29" t="s">
        <v>1611</v>
      </c>
      <c r="BN70" s="29" t="s">
        <v>1611</v>
      </c>
      <c r="BO70" s="29" t="s">
        <v>1611</v>
      </c>
      <c r="BP70" s="29" t="s">
        <v>1611</v>
      </c>
      <c r="BQ70" s="29" t="s">
        <v>1611</v>
      </c>
      <c r="BR70" s="29" t="s">
        <v>1611</v>
      </c>
      <c r="BS70" s="29" t="s">
        <v>1611</v>
      </c>
      <c r="BT70" s="29" t="s">
        <v>1611</v>
      </c>
      <c r="BU70" s="29" t="s">
        <v>261</v>
      </c>
      <c r="BV70" s="29" t="s">
        <v>2778</v>
      </c>
      <c r="BW70" s="29" t="s">
        <v>1611</v>
      </c>
      <c r="BX70" s="29" t="s">
        <v>1611</v>
      </c>
      <c r="BY70" s="29" t="s">
        <v>1611</v>
      </c>
      <c r="BZ70" s="29" t="s">
        <v>1611</v>
      </c>
      <c r="CA70" s="29" t="s">
        <v>1611</v>
      </c>
      <c r="CB70" s="29" t="s">
        <v>1611</v>
      </c>
      <c r="CC70" s="29" t="s">
        <v>1611</v>
      </c>
      <c r="CD70" s="29" t="s">
        <v>1611</v>
      </c>
      <c r="CE70" s="29" t="s">
        <v>1611</v>
      </c>
      <c r="CF70" s="29" t="s">
        <v>1611</v>
      </c>
      <c r="CG70" s="29" t="s">
        <v>262</v>
      </c>
      <c r="CH70" s="29" t="s">
        <v>2779</v>
      </c>
      <c r="CI70" s="29" t="s">
        <v>1611</v>
      </c>
      <c r="CJ70" s="29" t="s">
        <v>1611</v>
      </c>
      <c r="CK70" s="29" t="s">
        <v>1611</v>
      </c>
      <c r="CL70" s="29" t="s">
        <v>1611</v>
      </c>
      <c r="CM70" s="29" t="s">
        <v>1611</v>
      </c>
      <c r="CN70" s="29" t="s">
        <v>1611</v>
      </c>
      <c r="CO70" s="29" t="s">
        <v>1611</v>
      </c>
      <c r="CP70" s="29" t="s">
        <v>1611</v>
      </c>
      <c r="CQ70" s="29" t="s">
        <v>1611</v>
      </c>
      <c r="CR70" s="29" t="s">
        <v>1611</v>
      </c>
      <c r="CS70" s="29" t="s">
        <v>1611</v>
      </c>
      <c r="CT70" s="29" t="s">
        <v>1611</v>
      </c>
      <c r="CU70" s="29" t="s">
        <v>1611</v>
      </c>
      <c r="CV70" s="29" t="s">
        <v>1611</v>
      </c>
      <c r="CW70" s="29"/>
      <c r="CX70" s="29"/>
      <c r="CY70" s="151"/>
      <c r="CZ70" t="e">
        <v>#N/A</v>
      </c>
      <c r="DA70" t="e">
        <v>#N/A</v>
      </c>
      <c r="DD70" s="96" t="str">
        <f t="shared" si="0"/>
        <v>V</v>
      </c>
    </row>
    <row r="71" spans="1:110" ht="16.5" customHeight="1" x14ac:dyDescent="0.3">
      <c r="A71" t="s">
        <v>3873</v>
      </c>
      <c r="B71" t="s">
        <v>3778</v>
      </c>
      <c r="C71" s="105">
        <v>1660912</v>
      </c>
      <c r="D71" s="27">
        <v>65</v>
      </c>
      <c r="E71" s="28" t="s">
        <v>792</v>
      </c>
      <c r="F71" s="28">
        <v>1001227695</v>
      </c>
      <c r="G71" s="29" t="s">
        <v>1336</v>
      </c>
      <c r="H71" s="28">
        <v>1660912</v>
      </c>
      <c r="I71" s="29" t="s">
        <v>902</v>
      </c>
      <c r="J71" s="28" t="s">
        <v>854</v>
      </c>
      <c r="K71" s="7"/>
      <c r="L71" s="104" t="s">
        <v>695</v>
      </c>
      <c r="M71" s="29" t="s">
        <v>2267</v>
      </c>
      <c r="N71" s="29" t="s">
        <v>2266</v>
      </c>
      <c r="O71" s="127">
        <v>34446</v>
      </c>
      <c r="P71" s="28" t="s">
        <v>1301</v>
      </c>
      <c r="Q71" s="28" t="s">
        <v>1301</v>
      </c>
      <c r="R71" s="28" t="s">
        <v>3769</v>
      </c>
      <c r="S71" s="28" t="s">
        <v>2245</v>
      </c>
      <c r="T71" s="28" t="s">
        <v>362</v>
      </c>
      <c r="U71" s="28" t="s">
        <v>362</v>
      </c>
      <c r="V71" s="28" t="s">
        <v>1301</v>
      </c>
      <c r="W71" s="28" t="s">
        <v>1301</v>
      </c>
      <c r="X71" s="28" t="s">
        <v>1301</v>
      </c>
      <c r="Y71" s="28" t="s">
        <v>1301</v>
      </c>
      <c r="Z71" s="28" t="s">
        <v>1301</v>
      </c>
      <c r="AA71" s="28" t="s">
        <v>1301</v>
      </c>
      <c r="AB71" s="104" t="s">
        <v>653</v>
      </c>
      <c r="AC71" s="104" t="s">
        <v>1961</v>
      </c>
      <c r="AD71" s="9" t="s">
        <v>1269</v>
      </c>
      <c r="AE71" s="9"/>
      <c r="AF71" s="9"/>
      <c r="AG71" s="34"/>
      <c r="AH71" s="9"/>
      <c r="AI71" s="45" t="s">
        <v>461</v>
      </c>
      <c r="AJ71" s="9"/>
      <c r="AK71" s="45"/>
      <c r="AL71" s="45" t="s">
        <v>461</v>
      </c>
      <c r="AM71" s="45" t="s">
        <v>461</v>
      </c>
      <c r="AN71" s="45" t="s">
        <v>461</v>
      </c>
      <c r="AO71" s="45" t="s">
        <v>461</v>
      </c>
      <c r="AP71" s="45" t="s">
        <v>461</v>
      </c>
      <c r="AQ71" s="45" t="s">
        <v>461</v>
      </c>
      <c r="AR71" s="45" t="s">
        <v>461</v>
      </c>
      <c r="AS71" s="45" t="s">
        <v>461</v>
      </c>
      <c r="AT71" s="45"/>
      <c r="AU71" s="45"/>
      <c r="AV71" s="45"/>
      <c r="AW71" s="9" t="s">
        <v>461</v>
      </c>
      <c r="AX71" s="9" t="s">
        <v>461</v>
      </c>
      <c r="AY71" s="9" t="s">
        <v>461</v>
      </c>
      <c r="AZ71" s="9" t="s">
        <v>461</v>
      </c>
      <c r="BA71" s="10" t="s">
        <v>79</v>
      </c>
      <c r="BB71" s="29" t="s">
        <v>2612</v>
      </c>
      <c r="BC71" s="29" t="s">
        <v>1611</v>
      </c>
      <c r="BD71" s="29" t="s">
        <v>1611</v>
      </c>
      <c r="BE71" s="29" t="s">
        <v>2514</v>
      </c>
      <c r="BF71" s="29" t="s">
        <v>2515</v>
      </c>
      <c r="BG71" s="29" t="s">
        <v>1762</v>
      </c>
      <c r="BH71" s="29" t="s">
        <v>2504</v>
      </c>
      <c r="BI71" s="29" t="s">
        <v>102</v>
      </c>
      <c r="BJ71" s="29" t="s">
        <v>2780</v>
      </c>
      <c r="BK71" s="29" t="s">
        <v>408</v>
      </c>
      <c r="BL71" s="29" t="s">
        <v>2601</v>
      </c>
      <c r="BM71" s="29" t="s">
        <v>1611</v>
      </c>
      <c r="BN71" s="29" t="s">
        <v>1611</v>
      </c>
      <c r="BO71" s="29" t="s">
        <v>1611</v>
      </c>
      <c r="BP71" s="29" t="s">
        <v>1611</v>
      </c>
      <c r="BQ71" s="29" t="s">
        <v>1611</v>
      </c>
      <c r="BR71" s="29" t="s">
        <v>1611</v>
      </c>
      <c r="BS71" s="29" t="s">
        <v>1611</v>
      </c>
      <c r="BT71" s="29" t="s">
        <v>1611</v>
      </c>
      <c r="BU71" s="29" t="s">
        <v>2379</v>
      </c>
      <c r="BV71" s="29" t="s">
        <v>2423</v>
      </c>
      <c r="BW71" s="29" t="s">
        <v>1611</v>
      </c>
      <c r="BX71" s="29" t="s">
        <v>1611</v>
      </c>
      <c r="BY71" s="29" t="s">
        <v>1611</v>
      </c>
      <c r="BZ71" s="29" t="s">
        <v>1611</v>
      </c>
      <c r="CA71" s="29" t="s">
        <v>1611</v>
      </c>
      <c r="CB71" s="29" t="s">
        <v>1611</v>
      </c>
      <c r="CC71" s="29" t="s">
        <v>1611</v>
      </c>
      <c r="CD71" s="29" t="s">
        <v>1611</v>
      </c>
      <c r="CE71" s="29" t="s">
        <v>1611</v>
      </c>
      <c r="CF71" s="29" t="s">
        <v>1611</v>
      </c>
      <c r="CG71" s="29" t="s">
        <v>372</v>
      </c>
      <c r="CH71" s="29" t="s">
        <v>1839</v>
      </c>
      <c r="CI71" s="29" t="s">
        <v>1611</v>
      </c>
      <c r="CJ71" s="29" t="s">
        <v>1611</v>
      </c>
      <c r="CK71" s="29" t="s">
        <v>2781</v>
      </c>
      <c r="CL71" s="29" t="s">
        <v>2782</v>
      </c>
      <c r="CM71" s="29" t="s">
        <v>1611</v>
      </c>
      <c r="CN71" s="29" t="s">
        <v>1611</v>
      </c>
      <c r="CO71" s="29" t="s">
        <v>1611</v>
      </c>
      <c r="CP71" s="29" t="s">
        <v>1611</v>
      </c>
      <c r="CQ71" s="29" t="s">
        <v>1611</v>
      </c>
      <c r="CR71" s="29" t="s">
        <v>1611</v>
      </c>
      <c r="CS71" s="29" t="s">
        <v>1611</v>
      </c>
      <c r="CT71" s="29" t="s">
        <v>1611</v>
      </c>
      <c r="CU71" s="29" t="s">
        <v>1611</v>
      </c>
      <c r="CV71" s="29" t="s">
        <v>1611</v>
      </c>
      <c r="CW71" s="29"/>
      <c r="CX71" s="29"/>
      <c r="CY71" s="151"/>
      <c r="CZ71" t="s">
        <v>3273</v>
      </c>
      <c r="DA71" t="s">
        <v>3634</v>
      </c>
      <c r="DD71" s="96" t="str">
        <f t="shared" si="0"/>
        <v/>
      </c>
      <c r="DF71" s="96" t="s">
        <v>3753</v>
      </c>
    </row>
    <row r="72" spans="1:110" ht="16.5" customHeight="1" x14ac:dyDescent="0.3">
      <c r="C72" s="105">
        <v>1683705</v>
      </c>
      <c r="D72" s="27">
        <v>66</v>
      </c>
      <c r="E72" s="28" t="s">
        <v>792</v>
      </c>
      <c r="F72" s="28">
        <v>1000670608</v>
      </c>
      <c r="G72" s="29" t="s">
        <v>904</v>
      </c>
      <c r="H72" s="28">
        <v>1683705</v>
      </c>
      <c r="I72" s="29" t="s">
        <v>905</v>
      </c>
      <c r="J72" s="28" t="s">
        <v>659</v>
      </c>
      <c r="K72" s="7"/>
      <c r="L72" s="104" t="s">
        <v>696</v>
      </c>
      <c r="M72" s="29" t="s">
        <v>3157</v>
      </c>
      <c r="N72" s="29" t="s">
        <v>3156</v>
      </c>
      <c r="O72" s="127">
        <v>77104869</v>
      </c>
      <c r="P72" s="28" t="s">
        <v>1301</v>
      </c>
      <c r="Q72" s="28" t="s">
        <v>1301</v>
      </c>
      <c r="R72" s="28" t="s">
        <v>1301</v>
      </c>
      <c r="S72" s="28" t="s">
        <v>1301</v>
      </c>
      <c r="T72" s="28" t="s">
        <v>1329</v>
      </c>
      <c r="U72" s="28" t="s">
        <v>612</v>
      </c>
      <c r="V72" s="28" t="s">
        <v>1301</v>
      </c>
      <c r="W72" s="28" t="s">
        <v>1301</v>
      </c>
      <c r="X72" s="28" t="s">
        <v>1301</v>
      </c>
      <c r="Y72" s="28" t="s">
        <v>1301</v>
      </c>
      <c r="Z72" s="28" t="s">
        <v>1301</v>
      </c>
      <c r="AA72" s="28" t="s">
        <v>1301</v>
      </c>
      <c r="AB72" s="104" t="s">
        <v>1339</v>
      </c>
      <c r="AC72" s="104" t="s">
        <v>2445</v>
      </c>
      <c r="AD72" s="9" t="s">
        <v>1269</v>
      </c>
      <c r="AE72" s="9"/>
      <c r="AF72" s="9"/>
      <c r="AG72" s="34"/>
      <c r="AH72" s="9"/>
      <c r="AI72" s="45" t="s">
        <v>461</v>
      </c>
      <c r="AJ72" s="9"/>
      <c r="AK72" s="45"/>
      <c r="AL72" s="45" t="s">
        <v>2278</v>
      </c>
      <c r="AM72" s="45" t="s">
        <v>46</v>
      </c>
      <c r="AN72" s="45" t="s">
        <v>46</v>
      </c>
      <c r="AO72" s="45" t="s">
        <v>46</v>
      </c>
      <c r="AP72" s="45" t="s">
        <v>46</v>
      </c>
      <c r="AQ72" s="45" t="s">
        <v>46</v>
      </c>
      <c r="AR72" s="45" t="s">
        <v>46</v>
      </c>
      <c r="AS72" s="45"/>
      <c r="AT72" s="45"/>
      <c r="AU72" s="45"/>
      <c r="AV72" s="45"/>
      <c r="AW72" s="9"/>
      <c r="AX72" s="9"/>
      <c r="AY72" s="9"/>
      <c r="AZ72" s="9"/>
      <c r="BA72" s="10" t="s">
        <v>51</v>
      </c>
      <c r="BB72" s="29" t="s">
        <v>2501</v>
      </c>
      <c r="BC72" s="29" t="s">
        <v>1611</v>
      </c>
      <c r="BD72" s="29" t="s">
        <v>1611</v>
      </c>
      <c r="BE72" s="29" t="s">
        <v>1611</v>
      </c>
      <c r="BF72" s="29" t="s">
        <v>1611</v>
      </c>
      <c r="BG72" s="29" t="s">
        <v>2599</v>
      </c>
      <c r="BH72" s="29" t="s">
        <v>2600</v>
      </c>
      <c r="BI72" s="29" t="s">
        <v>2740</v>
      </c>
      <c r="BJ72" s="29" t="s">
        <v>2741</v>
      </c>
      <c r="BK72" s="29" t="s">
        <v>570</v>
      </c>
      <c r="BL72" s="29" t="s">
        <v>2696</v>
      </c>
      <c r="BM72" s="29" t="s">
        <v>1611</v>
      </c>
      <c r="BN72" s="29" t="s">
        <v>1611</v>
      </c>
      <c r="BO72" s="29" t="s">
        <v>1611</v>
      </c>
      <c r="BP72" s="29" t="s">
        <v>1611</v>
      </c>
      <c r="BQ72" s="29" t="s">
        <v>1611</v>
      </c>
      <c r="BR72" s="29" t="s">
        <v>1611</v>
      </c>
      <c r="BS72" s="29" t="s">
        <v>1611</v>
      </c>
      <c r="BT72" s="29" t="s">
        <v>1611</v>
      </c>
      <c r="BU72" s="29" t="s">
        <v>2783</v>
      </c>
      <c r="BV72" s="29" t="s">
        <v>3151</v>
      </c>
      <c r="BW72" s="29" t="s">
        <v>1611</v>
      </c>
      <c r="BX72" s="29" t="s">
        <v>1611</v>
      </c>
      <c r="BY72" s="29" t="s">
        <v>1611</v>
      </c>
      <c r="BZ72" s="29" t="s">
        <v>1611</v>
      </c>
      <c r="CA72" s="29" t="s">
        <v>1611</v>
      </c>
      <c r="CB72" s="29" t="s">
        <v>1611</v>
      </c>
      <c r="CC72" s="29" t="s">
        <v>1611</v>
      </c>
      <c r="CD72" s="29" t="s">
        <v>1611</v>
      </c>
      <c r="CE72" s="29" t="s">
        <v>1611</v>
      </c>
      <c r="CF72" s="29" t="s">
        <v>1611</v>
      </c>
      <c r="CG72" s="29" t="s">
        <v>1729</v>
      </c>
      <c r="CH72" s="29" t="s">
        <v>1840</v>
      </c>
      <c r="CI72" s="29" t="s">
        <v>1611</v>
      </c>
      <c r="CJ72" s="29" t="s">
        <v>1611</v>
      </c>
      <c r="CK72" s="29" t="s">
        <v>3158</v>
      </c>
      <c r="CL72" s="29" t="s">
        <v>3159</v>
      </c>
      <c r="CM72" s="29" t="s">
        <v>3160</v>
      </c>
      <c r="CN72" s="29" t="s">
        <v>3161</v>
      </c>
      <c r="CO72" s="29" t="s">
        <v>1611</v>
      </c>
      <c r="CP72" s="29" t="s">
        <v>1611</v>
      </c>
      <c r="CQ72" s="29" t="s">
        <v>1611</v>
      </c>
      <c r="CR72" s="29" t="s">
        <v>1611</v>
      </c>
      <c r="CS72" s="29" t="s">
        <v>1611</v>
      </c>
      <c r="CT72" s="29" t="s">
        <v>1611</v>
      </c>
      <c r="CU72" s="29" t="s">
        <v>1611</v>
      </c>
      <c r="CV72" s="29" t="s">
        <v>1611</v>
      </c>
      <c r="CW72" s="29"/>
      <c r="CX72" s="29"/>
      <c r="CY72" s="151"/>
      <c r="CZ72" t="s">
        <v>3274</v>
      </c>
      <c r="DA72" t="s">
        <v>3634</v>
      </c>
      <c r="DD72" s="96" t="str">
        <f t="shared" ref="DD72:DD135" si="1">IF(AF72="제외요청", "V","")</f>
        <v/>
      </c>
      <c r="DF72" s="96" t="s">
        <v>3753</v>
      </c>
    </row>
    <row r="73" spans="1:110" ht="16.5" customHeight="1" x14ac:dyDescent="0.3">
      <c r="C73" s="105">
        <v>1682283</v>
      </c>
      <c r="D73" s="27">
        <v>67</v>
      </c>
      <c r="E73" s="28" t="s">
        <v>808</v>
      </c>
      <c r="F73" s="28">
        <v>1000751735</v>
      </c>
      <c r="G73" s="29" t="s">
        <v>1615</v>
      </c>
      <c r="H73" s="28">
        <v>1682283</v>
      </c>
      <c r="I73" s="29" t="s">
        <v>907</v>
      </c>
      <c r="J73" s="28" t="s">
        <v>659</v>
      </c>
      <c r="K73" s="7"/>
      <c r="L73" s="104" t="s">
        <v>697</v>
      </c>
      <c r="M73" s="29"/>
      <c r="N73" s="29"/>
      <c r="O73" s="127"/>
      <c r="P73" s="28"/>
      <c r="Q73" s="28"/>
      <c r="R73" s="28"/>
      <c r="S73" s="28"/>
      <c r="T73" s="28"/>
      <c r="U73" s="28"/>
      <c r="V73" s="28"/>
      <c r="W73" s="28"/>
      <c r="X73" s="28"/>
      <c r="Y73" s="28"/>
      <c r="Z73" s="28"/>
      <c r="AA73" s="28"/>
      <c r="AB73" s="104"/>
      <c r="AC73" s="104"/>
      <c r="AD73" s="9" t="s">
        <v>1269</v>
      </c>
      <c r="AE73" s="39">
        <v>46058</v>
      </c>
      <c r="AF73" s="9" t="s">
        <v>1276</v>
      </c>
      <c r="AG73" s="34" t="s">
        <v>3754</v>
      </c>
      <c r="AH73" s="9"/>
      <c r="AI73" s="9"/>
      <c r="AJ73" s="9"/>
      <c r="AK73" s="45"/>
      <c r="AL73" s="45" t="s">
        <v>2278</v>
      </c>
      <c r="AM73" s="45"/>
      <c r="AN73" s="45"/>
      <c r="AO73" s="45"/>
      <c r="AP73" s="45"/>
      <c r="AQ73" s="45"/>
      <c r="AR73" s="45"/>
      <c r="AS73" s="45"/>
      <c r="AT73" s="45"/>
      <c r="AU73" s="45"/>
      <c r="AV73" s="45"/>
      <c r="AW73" s="9"/>
      <c r="AX73" s="9"/>
      <c r="AY73" s="9"/>
      <c r="AZ73" s="9"/>
      <c r="BA73" s="10" t="s">
        <v>79</v>
      </c>
      <c r="BB73" s="29" t="s">
        <v>2612</v>
      </c>
      <c r="BC73" s="29" t="s">
        <v>1611</v>
      </c>
      <c r="BD73" s="29" t="s">
        <v>1611</v>
      </c>
      <c r="BE73" s="29" t="s">
        <v>2502</v>
      </c>
      <c r="BF73" s="29" t="s">
        <v>2503</v>
      </c>
      <c r="BG73" s="29" t="s">
        <v>2599</v>
      </c>
      <c r="BH73" s="29" t="s">
        <v>2600</v>
      </c>
      <c r="BI73" s="29" t="s">
        <v>253</v>
      </c>
      <c r="BJ73" s="29" t="s">
        <v>2784</v>
      </c>
      <c r="BK73" s="29" t="s">
        <v>2785</v>
      </c>
      <c r="BL73" s="29" t="s">
        <v>2786</v>
      </c>
      <c r="BM73" s="29" t="s">
        <v>1611</v>
      </c>
      <c r="BN73" s="29" t="s">
        <v>1611</v>
      </c>
      <c r="BO73" s="29" t="s">
        <v>1611</v>
      </c>
      <c r="BP73" s="29" t="s">
        <v>1611</v>
      </c>
      <c r="BQ73" s="29" t="s">
        <v>1611</v>
      </c>
      <c r="BR73" s="29" t="s">
        <v>1611</v>
      </c>
      <c r="BS73" s="29" t="s">
        <v>1611</v>
      </c>
      <c r="BT73" s="29" t="s">
        <v>1611</v>
      </c>
      <c r="BU73" s="29" t="s">
        <v>3687</v>
      </c>
      <c r="BV73" s="29" t="s">
        <v>3688</v>
      </c>
      <c r="BW73" s="29" t="s">
        <v>1611</v>
      </c>
      <c r="BX73" s="29" t="s">
        <v>1611</v>
      </c>
      <c r="BY73" s="29" t="s">
        <v>1611</v>
      </c>
      <c r="BZ73" s="29" t="s">
        <v>1611</v>
      </c>
      <c r="CA73" s="29" t="s">
        <v>1611</v>
      </c>
      <c r="CB73" s="29" t="s">
        <v>1611</v>
      </c>
      <c r="CC73" s="29" t="s">
        <v>1611</v>
      </c>
      <c r="CD73" s="29" t="s">
        <v>1611</v>
      </c>
      <c r="CE73" s="29" t="s">
        <v>1611</v>
      </c>
      <c r="CF73" s="29" t="s">
        <v>1611</v>
      </c>
      <c r="CG73" s="29" t="s">
        <v>1730</v>
      </c>
      <c r="CH73" s="29" t="s">
        <v>1841</v>
      </c>
      <c r="CI73" s="29" t="s">
        <v>1611</v>
      </c>
      <c r="CJ73" s="29" t="s">
        <v>1611</v>
      </c>
      <c r="CK73" s="29" t="s">
        <v>1611</v>
      </c>
      <c r="CL73" s="29" t="s">
        <v>1611</v>
      </c>
      <c r="CM73" s="29" t="s">
        <v>1611</v>
      </c>
      <c r="CN73" s="29" t="s">
        <v>1611</v>
      </c>
      <c r="CO73" s="29" t="s">
        <v>1611</v>
      </c>
      <c r="CP73" s="29" t="s">
        <v>1611</v>
      </c>
      <c r="CQ73" s="29" t="s">
        <v>1611</v>
      </c>
      <c r="CR73" s="29" t="s">
        <v>1611</v>
      </c>
      <c r="CS73" s="29" t="s">
        <v>1611</v>
      </c>
      <c r="CT73" s="29" t="s">
        <v>1611</v>
      </c>
      <c r="CU73" s="29" t="s">
        <v>1611</v>
      </c>
      <c r="CV73" s="29" t="s">
        <v>1611</v>
      </c>
      <c r="CW73" s="29"/>
      <c r="CX73" s="29"/>
      <c r="CY73" s="151"/>
      <c r="CZ73" t="s">
        <v>3600</v>
      </c>
      <c r="DA73" t="s">
        <v>3587</v>
      </c>
      <c r="DC73" s="96" t="s">
        <v>3700</v>
      </c>
      <c r="DD73" s="96" t="str">
        <f t="shared" si="1"/>
        <v>V</v>
      </c>
    </row>
    <row r="74" spans="1:110" ht="16.5" customHeight="1" x14ac:dyDescent="0.3">
      <c r="A74" t="s">
        <v>3798</v>
      </c>
      <c r="B74" t="s">
        <v>3778</v>
      </c>
      <c r="C74" s="105">
        <v>1669402</v>
      </c>
      <c r="D74" s="27">
        <v>68</v>
      </c>
      <c r="E74" s="28" t="s">
        <v>786</v>
      </c>
      <c r="F74" s="28">
        <v>1000855664</v>
      </c>
      <c r="G74" s="29" t="s">
        <v>1614</v>
      </c>
      <c r="H74" s="28">
        <v>1669402</v>
      </c>
      <c r="I74" s="29" t="s">
        <v>909</v>
      </c>
      <c r="J74" s="28" t="s">
        <v>429</v>
      </c>
      <c r="K74" s="7"/>
      <c r="L74" s="104" t="s">
        <v>698</v>
      </c>
      <c r="M74" s="29"/>
      <c r="N74" s="29"/>
      <c r="O74" s="127">
        <v>8649748</v>
      </c>
      <c r="P74" s="28" t="s">
        <v>3514</v>
      </c>
      <c r="Q74" s="28" t="s">
        <v>612</v>
      </c>
      <c r="R74" s="28" t="s">
        <v>1301</v>
      </c>
      <c r="S74" s="28" t="s">
        <v>1301</v>
      </c>
      <c r="T74" s="28" t="s">
        <v>1301</v>
      </c>
      <c r="U74" s="28" t="s">
        <v>1301</v>
      </c>
      <c r="V74" s="28" t="s">
        <v>1301</v>
      </c>
      <c r="W74" s="28" t="s">
        <v>1301</v>
      </c>
      <c r="X74" s="28" t="s">
        <v>1301</v>
      </c>
      <c r="Y74" s="28" t="s">
        <v>1301</v>
      </c>
      <c r="Z74" s="28" t="s">
        <v>1301</v>
      </c>
      <c r="AA74" s="28" t="s">
        <v>1301</v>
      </c>
      <c r="AB74" s="104" t="s">
        <v>663</v>
      </c>
      <c r="AC74" s="104" t="s">
        <v>1340</v>
      </c>
      <c r="AD74" s="9" t="s">
        <v>1269</v>
      </c>
      <c r="AE74" s="9"/>
      <c r="AF74" s="9"/>
      <c r="AG74" s="34"/>
      <c r="AH74" s="9"/>
      <c r="AI74" s="9" t="s">
        <v>2491</v>
      </c>
      <c r="AJ74" s="9"/>
      <c r="AK74" s="45"/>
      <c r="AL74" s="9" t="s">
        <v>2491</v>
      </c>
      <c r="AM74" s="9" t="s">
        <v>46</v>
      </c>
      <c r="AN74" s="9" t="s">
        <v>46</v>
      </c>
      <c r="AO74" s="9" t="s">
        <v>46</v>
      </c>
      <c r="AP74" s="9" t="s">
        <v>46</v>
      </c>
      <c r="AQ74" s="9" t="s">
        <v>46</v>
      </c>
      <c r="AR74" s="9" t="s">
        <v>46</v>
      </c>
      <c r="AS74" s="9" t="s">
        <v>46</v>
      </c>
      <c r="AT74" s="45"/>
      <c r="AU74" s="45"/>
      <c r="AV74" s="45"/>
      <c r="AW74" s="9" t="s">
        <v>46</v>
      </c>
      <c r="AX74" s="9" t="s">
        <v>46</v>
      </c>
      <c r="AY74" s="9" t="s">
        <v>46</v>
      </c>
      <c r="AZ74" s="9" t="s">
        <v>46</v>
      </c>
      <c r="BA74" s="10" t="s">
        <v>147</v>
      </c>
      <c r="BB74" s="29" t="s">
        <v>2695</v>
      </c>
      <c r="BC74" s="29" t="s">
        <v>1611</v>
      </c>
      <c r="BD74" s="29" t="s">
        <v>1611</v>
      </c>
      <c r="BE74" s="29" t="s">
        <v>2514</v>
      </c>
      <c r="BF74" s="29" t="s">
        <v>2515</v>
      </c>
      <c r="BG74" s="29" t="s">
        <v>2660</v>
      </c>
      <c r="BH74" s="29" t="s">
        <v>2661</v>
      </c>
      <c r="BI74" s="29" t="s">
        <v>2653</v>
      </c>
      <c r="BJ74" s="29" t="s">
        <v>2654</v>
      </c>
      <c r="BK74" s="29" t="s">
        <v>208</v>
      </c>
      <c r="BL74" s="29" t="s">
        <v>2609</v>
      </c>
      <c r="BM74" s="29" t="s">
        <v>1611</v>
      </c>
      <c r="BN74" s="29" t="s">
        <v>1611</v>
      </c>
      <c r="BO74" s="29" t="s">
        <v>1611</v>
      </c>
      <c r="BP74" s="29" t="s">
        <v>1611</v>
      </c>
      <c r="BQ74" s="29" t="s">
        <v>1611</v>
      </c>
      <c r="BR74" s="29" t="s">
        <v>1611</v>
      </c>
      <c r="BS74" s="29" t="s">
        <v>1611</v>
      </c>
      <c r="BT74" s="29" t="s">
        <v>1611</v>
      </c>
      <c r="BU74" s="29" t="s">
        <v>3512</v>
      </c>
      <c r="BV74" s="29" t="s">
        <v>3513</v>
      </c>
      <c r="BW74" s="29" t="s">
        <v>1611</v>
      </c>
      <c r="BX74" s="29" t="s">
        <v>1611</v>
      </c>
      <c r="BY74" s="29" t="s">
        <v>1611</v>
      </c>
      <c r="BZ74" s="29" t="s">
        <v>1611</v>
      </c>
      <c r="CA74" s="29" t="s">
        <v>1611</v>
      </c>
      <c r="CB74" s="29" t="s">
        <v>1611</v>
      </c>
      <c r="CC74" s="29" t="s">
        <v>1611</v>
      </c>
      <c r="CD74" s="29" t="s">
        <v>1611</v>
      </c>
      <c r="CE74" s="29" t="s">
        <v>1611</v>
      </c>
      <c r="CF74" s="29" t="s">
        <v>1611</v>
      </c>
      <c r="CG74" s="29" t="s">
        <v>1731</v>
      </c>
      <c r="CH74" s="29" t="s">
        <v>1842</v>
      </c>
      <c r="CI74" s="29" t="s">
        <v>1611</v>
      </c>
      <c r="CJ74" s="29" t="s">
        <v>1611</v>
      </c>
      <c r="CK74" s="29" t="s">
        <v>3538</v>
      </c>
      <c r="CL74" s="29" t="s">
        <v>3540</v>
      </c>
      <c r="CM74" s="29" t="s">
        <v>3539</v>
      </c>
      <c r="CN74" s="29" t="s">
        <v>3541</v>
      </c>
      <c r="CO74" s="29" t="s">
        <v>1611</v>
      </c>
      <c r="CP74" s="29" t="s">
        <v>1611</v>
      </c>
      <c r="CQ74" s="29" t="s">
        <v>1611</v>
      </c>
      <c r="CR74" s="29" t="s">
        <v>1611</v>
      </c>
      <c r="CS74" s="29" t="s">
        <v>1611</v>
      </c>
      <c r="CT74" s="29" t="s">
        <v>1611</v>
      </c>
      <c r="CU74" s="29" t="s">
        <v>1611</v>
      </c>
      <c r="CV74" s="29" t="s">
        <v>1611</v>
      </c>
      <c r="CW74" s="29"/>
      <c r="CX74" s="29"/>
      <c r="CY74" s="151"/>
      <c r="CZ74" t="s">
        <v>3275</v>
      </c>
      <c r="DA74" t="s">
        <v>3634</v>
      </c>
      <c r="DD74" s="96" t="str">
        <f t="shared" si="1"/>
        <v/>
      </c>
      <c r="DF74" s="96" t="s">
        <v>3753</v>
      </c>
    </row>
    <row r="75" spans="1:110" ht="16.5" customHeight="1" x14ac:dyDescent="0.3">
      <c r="C75" s="105">
        <v>1668837</v>
      </c>
      <c r="D75" s="27">
        <v>69</v>
      </c>
      <c r="E75" s="28" t="s">
        <v>794</v>
      </c>
      <c r="F75" s="28">
        <v>1000575020</v>
      </c>
      <c r="G75" s="29" t="s">
        <v>1613</v>
      </c>
      <c r="H75" s="28">
        <v>1668837</v>
      </c>
      <c r="I75" s="29" t="s">
        <v>911</v>
      </c>
      <c r="J75" s="28" t="s">
        <v>429</v>
      </c>
      <c r="K75" s="7"/>
      <c r="L75" s="104" t="s">
        <v>668</v>
      </c>
      <c r="M75" s="29" t="s">
        <v>3516</v>
      </c>
      <c r="N75" s="29" t="s">
        <v>3515</v>
      </c>
      <c r="O75" s="127">
        <v>2132339</v>
      </c>
      <c r="P75" s="28" t="s">
        <v>3514</v>
      </c>
      <c r="Q75" s="28" t="s">
        <v>612</v>
      </c>
      <c r="R75" s="28" t="s">
        <v>1301</v>
      </c>
      <c r="S75" s="28" t="s">
        <v>1301</v>
      </c>
      <c r="T75" s="28" t="s">
        <v>1301</v>
      </c>
      <c r="U75" s="28" t="s">
        <v>1301</v>
      </c>
      <c r="V75" s="28" t="s">
        <v>1301</v>
      </c>
      <c r="W75" s="28" t="s">
        <v>1301</v>
      </c>
      <c r="X75" s="28" t="s">
        <v>1301</v>
      </c>
      <c r="Y75" s="28" t="s">
        <v>1301</v>
      </c>
      <c r="Z75" s="28" t="s">
        <v>1301</v>
      </c>
      <c r="AA75" s="28" t="s">
        <v>1301</v>
      </c>
      <c r="AB75" s="104" t="s">
        <v>663</v>
      </c>
      <c r="AC75" s="104" t="s">
        <v>1340</v>
      </c>
      <c r="AD75" s="9" t="s">
        <v>1269</v>
      </c>
      <c r="AE75" s="39">
        <v>46043</v>
      </c>
      <c r="AF75" s="9" t="s">
        <v>3521</v>
      </c>
      <c r="AG75" s="34" t="s">
        <v>3522</v>
      </c>
      <c r="AH75" s="9"/>
      <c r="AI75" s="9" t="s">
        <v>2491</v>
      </c>
      <c r="AJ75" s="9"/>
      <c r="AK75" s="45"/>
      <c r="AL75" s="9" t="s">
        <v>2491</v>
      </c>
      <c r="AM75" s="9" t="s">
        <v>46</v>
      </c>
      <c r="AN75" s="9" t="s">
        <v>46</v>
      </c>
      <c r="AO75" s="9" t="s">
        <v>46</v>
      </c>
      <c r="AP75" s="9" t="s">
        <v>46</v>
      </c>
      <c r="AQ75" s="9" t="s">
        <v>46</v>
      </c>
      <c r="AR75" s="9" t="s">
        <v>46</v>
      </c>
      <c r="AS75" s="45"/>
      <c r="AT75" s="45"/>
      <c r="AU75" s="45"/>
      <c r="AV75" s="45"/>
      <c r="AW75" s="9"/>
      <c r="AX75" s="9"/>
      <c r="AY75" s="9"/>
      <c r="AZ75" s="9"/>
      <c r="BA75" s="10" t="s">
        <v>92</v>
      </c>
      <c r="BB75" s="29" t="s">
        <v>2628</v>
      </c>
      <c r="BC75" s="29" t="s">
        <v>2496</v>
      </c>
      <c r="BD75" s="29" t="s">
        <v>2550</v>
      </c>
      <c r="BE75" s="29" t="s">
        <v>2514</v>
      </c>
      <c r="BF75" s="29" t="s">
        <v>2515</v>
      </c>
      <c r="BG75" s="29" t="s">
        <v>2650</v>
      </c>
      <c r="BH75" s="29" t="s">
        <v>2651</v>
      </c>
      <c r="BI75" s="29" t="s">
        <v>160</v>
      </c>
      <c r="BJ75" s="29" t="s">
        <v>2541</v>
      </c>
      <c r="BK75" s="29" t="s">
        <v>342</v>
      </c>
      <c r="BL75" s="29" t="s">
        <v>2613</v>
      </c>
      <c r="BM75" s="29" t="s">
        <v>1611</v>
      </c>
      <c r="BN75" s="29" t="s">
        <v>1611</v>
      </c>
      <c r="BO75" s="29" t="s">
        <v>1611</v>
      </c>
      <c r="BP75" s="29" t="s">
        <v>1611</v>
      </c>
      <c r="BQ75" s="29" t="s">
        <v>1611</v>
      </c>
      <c r="BR75" s="29" t="s">
        <v>1611</v>
      </c>
      <c r="BS75" s="29" t="s">
        <v>1611</v>
      </c>
      <c r="BT75" s="29" t="s">
        <v>1611</v>
      </c>
      <c r="BU75" s="29" t="s">
        <v>2365</v>
      </c>
      <c r="BV75" s="29" t="s">
        <v>2408</v>
      </c>
      <c r="BW75" s="29" t="s">
        <v>1611</v>
      </c>
      <c r="BX75" s="29" t="s">
        <v>1611</v>
      </c>
      <c r="BY75" s="29" t="s">
        <v>1611</v>
      </c>
      <c r="BZ75" s="29" t="s">
        <v>1611</v>
      </c>
      <c r="CA75" s="29" t="s">
        <v>1611</v>
      </c>
      <c r="CB75" s="29" t="s">
        <v>1611</v>
      </c>
      <c r="CC75" s="29" t="s">
        <v>1611</v>
      </c>
      <c r="CD75" s="29" t="s">
        <v>1611</v>
      </c>
      <c r="CE75" s="29" t="s">
        <v>1611</v>
      </c>
      <c r="CF75" s="29" t="s">
        <v>1611</v>
      </c>
      <c r="CG75" s="29" t="s">
        <v>1732</v>
      </c>
      <c r="CH75" s="29" t="s">
        <v>1843</v>
      </c>
      <c r="CI75" s="29" t="s">
        <v>1611</v>
      </c>
      <c r="CJ75" s="29" t="s">
        <v>1611</v>
      </c>
      <c r="CK75" s="29" t="s">
        <v>3517</v>
      </c>
      <c r="CL75" s="29" t="s">
        <v>3518</v>
      </c>
      <c r="CM75" s="29" t="s">
        <v>1611</v>
      </c>
      <c r="CN75" s="29" t="s">
        <v>1611</v>
      </c>
      <c r="CO75" s="29" t="s">
        <v>1611</v>
      </c>
      <c r="CP75" s="29" t="s">
        <v>1611</v>
      </c>
      <c r="CQ75" s="29" t="s">
        <v>1611</v>
      </c>
      <c r="CR75" s="29" t="s">
        <v>1611</v>
      </c>
      <c r="CS75" s="29" t="s">
        <v>1611</v>
      </c>
      <c r="CT75" s="29" t="s">
        <v>1611</v>
      </c>
      <c r="CU75" s="29" t="s">
        <v>1611</v>
      </c>
      <c r="CV75" s="29" t="s">
        <v>1611</v>
      </c>
      <c r="CW75" s="29"/>
      <c r="CX75" s="29"/>
      <c r="CY75" s="151"/>
      <c r="CZ75" t="s">
        <v>3601</v>
      </c>
      <c r="DA75" t="s">
        <v>3634</v>
      </c>
      <c r="DD75" s="96" t="str">
        <f t="shared" si="1"/>
        <v>V</v>
      </c>
    </row>
    <row r="76" spans="1:110" ht="16.5" customHeight="1" x14ac:dyDescent="0.3">
      <c r="C76" s="105">
        <v>1659927</v>
      </c>
      <c r="D76" s="27">
        <v>70</v>
      </c>
      <c r="E76" s="28" t="s">
        <v>808</v>
      </c>
      <c r="F76" s="28">
        <v>1000326244</v>
      </c>
      <c r="G76" s="29" t="s">
        <v>1612</v>
      </c>
      <c r="H76" s="28">
        <v>1659927</v>
      </c>
      <c r="I76" s="29" t="s">
        <v>913</v>
      </c>
      <c r="J76" s="28" t="s">
        <v>429</v>
      </c>
      <c r="K76" s="7"/>
      <c r="L76" s="104" t="s">
        <v>1629</v>
      </c>
      <c r="M76" s="29"/>
      <c r="N76" s="29"/>
      <c r="O76" s="127">
        <v>8090609</v>
      </c>
      <c r="P76" s="113" t="s">
        <v>1317</v>
      </c>
      <c r="Q76" s="28" t="s">
        <v>612</v>
      </c>
      <c r="R76" s="28" t="s">
        <v>1628</v>
      </c>
      <c r="S76" s="28" t="s">
        <v>1628</v>
      </c>
      <c r="T76" s="28" t="s">
        <v>1630</v>
      </c>
      <c r="U76" s="28" t="s">
        <v>1631</v>
      </c>
      <c r="V76" s="28" t="s">
        <v>1632</v>
      </c>
      <c r="W76" s="28" t="s">
        <v>1632</v>
      </c>
      <c r="X76" s="28" t="s">
        <v>1632</v>
      </c>
      <c r="Y76" s="28" t="s">
        <v>1632</v>
      </c>
      <c r="Z76" s="28" t="s">
        <v>1301</v>
      </c>
      <c r="AA76" s="28" t="s">
        <v>1301</v>
      </c>
      <c r="AB76" s="104" t="s">
        <v>663</v>
      </c>
      <c r="AC76" s="104" t="s">
        <v>1340</v>
      </c>
      <c r="AD76" s="9" t="s">
        <v>45</v>
      </c>
      <c r="AE76" s="9"/>
      <c r="AF76" s="9"/>
      <c r="AG76" s="34"/>
      <c r="AH76" s="9"/>
      <c r="AI76" s="9" t="s">
        <v>1625</v>
      </c>
      <c r="AJ76" s="9"/>
      <c r="AK76" s="45"/>
      <c r="AL76" s="45" t="s">
        <v>461</v>
      </c>
      <c r="AM76" s="45" t="s">
        <v>461</v>
      </c>
      <c r="AN76" s="45" t="s">
        <v>1625</v>
      </c>
      <c r="AO76" s="45" t="s">
        <v>1625</v>
      </c>
      <c r="AP76" s="45" t="s">
        <v>46</v>
      </c>
      <c r="AQ76" s="45" t="s">
        <v>46</v>
      </c>
      <c r="AR76" s="45" t="s">
        <v>46</v>
      </c>
      <c r="AS76" s="45" t="s">
        <v>461</v>
      </c>
      <c r="AT76" s="45"/>
      <c r="AU76" s="45"/>
      <c r="AV76" s="45"/>
      <c r="AW76" s="9"/>
      <c r="AX76" s="9"/>
      <c r="AY76" s="9"/>
      <c r="AZ76" s="9"/>
      <c r="BA76" s="10" t="s">
        <v>158</v>
      </c>
      <c r="BB76" s="29" t="s">
        <v>2538</v>
      </c>
      <c r="BC76" s="29" t="s">
        <v>1611</v>
      </c>
      <c r="BD76" s="29" t="s">
        <v>1611</v>
      </c>
      <c r="BE76" s="29" t="s">
        <v>2514</v>
      </c>
      <c r="BF76" s="29" t="s">
        <v>2515</v>
      </c>
      <c r="BG76" s="29" t="s">
        <v>2721</v>
      </c>
      <c r="BH76" s="29" t="s">
        <v>2722</v>
      </c>
      <c r="BI76" s="29" t="s">
        <v>282</v>
      </c>
      <c r="BJ76" s="29" t="s">
        <v>2787</v>
      </c>
      <c r="BK76" s="29" t="s">
        <v>283</v>
      </c>
      <c r="BL76" s="29" t="s">
        <v>2788</v>
      </c>
      <c r="BM76" s="29" t="s">
        <v>1611</v>
      </c>
      <c r="BN76" s="29" t="s">
        <v>1611</v>
      </c>
      <c r="BO76" s="29" t="s">
        <v>1611</v>
      </c>
      <c r="BP76" s="29" t="s">
        <v>1611</v>
      </c>
      <c r="BQ76" s="29" t="s">
        <v>1611</v>
      </c>
      <c r="BR76" s="29" t="s">
        <v>1611</v>
      </c>
      <c r="BS76" s="29" t="s">
        <v>1611</v>
      </c>
      <c r="BT76" s="29" t="s">
        <v>1611</v>
      </c>
      <c r="BU76" s="29" t="s">
        <v>284</v>
      </c>
      <c r="BV76" s="29" t="s">
        <v>2789</v>
      </c>
      <c r="BW76" s="29" t="s">
        <v>1611</v>
      </c>
      <c r="BX76" s="29" t="s">
        <v>1611</v>
      </c>
      <c r="BY76" s="29" t="s">
        <v>1611</v>
      </c>
      <c r="BZ76" s="29" t="s">
        <v>1611</v>
      </c>
      <c r="CA76" s="29" t="s">
        <v>1611</v>
      </c>
      <c r="CB76" s="29" t="s">
        <v>1611</v>
      </c>
      <c r="CC76" s="29" t="s">
        <v>1611</v>
      </c>
      <c r="CD76" s="29" t="s">
        <v>1611</v>
      </c>
      <c r="CE76" s="29" t="s">
        <v>1611</v>
      </c>
      <c r="CF76" s="29" t="s">
        <v>1611</v>
      </c>
      <c r="CG76" s="29" t="s">
        <v>285</v>
      </c>
      <c r="CH76" s="29" t="s">
        <v>2790</v>
      </c>
      <c r="CI76" s="29" t="s">
        <v>1611</v>
      </c>
      <c r="CJ76" s="29" t="s">
        <v>1611</v>
      </c>
      <c r="CK76" s="29" t="s">
        <v>2791</v>
      </c>
      <c r="CL76" s="29" t="s">
        <v>2792</v>
      </c>
      <c r="CM76" s="29" t="s">
        <v>2793</v>
      </c>
      <c r="CN76" s="29" t="s">
        <v>3746</v>
      </c>
      <c r="CO76" s="29" t="s">
        <v>1611</v>
      </c>
      <c r="CP76" s="29" t="s">
        <v>1611</v>
      </c>
      <c r="CQ76" s="29" t="s">
        <v>1611</v>
      </c>
      <c r="CR76" s="29" t="s">
        <v>1611</v>
      </c>
      <c r="CS76" s="29" t="s">
        <v>1611</v>
      </c>
      <c r="CT76" s="29" t="s">
        <v>1611</v>
      </c>
      <c r="CU76" s="29" t="s">
        <v>1611</v>
      </c>
      <c r="CV76" s="29" t="s">
        <v>1611</v>
      </c>
      <c r="CW76" s="29"/>
      <c r="CX76" s="29"/>
      <c r="CY76" s="151"/>
      <c r="CZ76" t="s">
        <v>2237</v>
      </c>
      <c r="DA76" t="s">
        <v>3634</v>
      </c>
      <c r="DD76" s="96" t="str">
        <f t="shared" si="1"/>
        <v/>
      </c>
      <c r="DF76" s="96" t="s">
        <v>3753</v>
      </c>
    </row>
    <row r="77" spans="1:110" ht="16.5" customHeight="1" x14ac:dyDescent="0.3">
      <c r="A77" t="s">
        <v>3798</v>
      </c>
      <c r="B77" t="s">
        <v>3778</v>
      </c>
      <c r="C77" s="105">
        <v>1661433</v>
      </c>
      <c r="D77" s="27">
        <v>71</v>
      </c>
      <c r="E77" s="28" t="s">
        <v>818</v>
      </c>
      <c r="F77" s="28">
        <v>1001148872</v>
      </c>
      <c r="G77" s="29" t="s">
        <v>914</v>
      </c>
      <c r="H77" s="28">
        <v>1661433</v>
      </c>
      <c r="I77" s="29" t="s">
        <v>915</v>
      </c>
      <c r="J77" s="28" t="s">
        <v>854</v>
      </c>
      <c r="K77" s="7"/>
      <c r="L77" s="104" t="s">
        <v>699</v>
      </c>
      <c r="M77" s="110" t="s">
        <v>1926</v>
      </c>
      <c r="N77" s="110" t="s">
        <v>1946</v>
      </c>
      <c r="O77" s="127">
        <v>31574</v>
      </c>
      <c r="P77" s="28" t="s">
        <v>1925</v>
      </c>
      <c r="Q77" s="28" t="s">
        <v>1925</v>
      </c>
      <c r="R77" s="28" t="s">
        <v>1301</v>
      </c>
      <c r="S77" s="28" t="s">
        <v>1301</v>
      </c>
      <c r="T77" s="28" t="s">
        <v>1329</v>
      </c>
      <c r="U77" s="28" t="s">
        <v>607</v>
      </c>
      <c r="V77" s="28" t="s">
        <v>1925</v>
      </c>
      <c r="W77" s="28" t="s">
        <v>1925</v>
      </c>
      <c r="X77" s="28" t="s">
        <v>1925</v>
      </c>
      <c r="Y77" s="28" t="s">
        <v>1925</v>
      </c>
      <c r="Z77" s="28" t="s">
        <v>1301</v>
      </c>
      <c r="AA77" s="28" t="s">
        <v>1301</v>
      </c>
      <c r="AB77" s="104" t="s">
        <v>663</v>
      </c>
      <c r="AC77" s="104" t="s">
        <v>1340</v>
      </c>
      <c r="AD77" s="9" t="s">
        <v>1269</v>
      </c>
      <c r="AE77" s="9"/>
      <c r="AF77" s="9"/>
      <c r="AG77" s="34"/>
      <c r="AH77" s="9"/>
      <c r="AI77" s="9" t="s">
        <v>46</v>
      </c>
      <c r="AJ77" s="9"/>
      <c r="AK77" s="45"/>
      <c r="AL77" s="45" t="s">
        <v>461</v>
      </c>
      <c r="AM77" s="45" t="s">
        <v>461</v>
      </c>
      <c r="AN77" s="45" t="s">
        <v>46</v>
      </c>
      <c r="AO77" s="45" t="s">
        <v>46</v>
      </c>
      <c r="AP77" s="45" t="s">
        <v>1633</v>
      </c>
      <c r="AQ77" s="45" t="s">
        <v>46</v>
      </c>
      <c r="AR77" s="45" t="s">
        <v>46</v>
      </c>
      <c r="AS77" s="45" t="s">
        <v>461</v>
      </c>
      <c r="AT77" s="45"/>
      <c r="AU77" s="45"/>
      <c r="AV77" s="45"/>
      <c r="AW77" s="45" t="s">
        <v>461</v>
      </c>
      <c r="AX77" s="45" t="s">
        <v>461</v>
      </c>
      <c r="AY77" s="45" t="s">
        <v>461</v>
      </c>
      <c r="AZ77" s="45" t="s">
        <v>461</v>
      </c>
      <c r="BA77" s="10" t="s">
        <v>79</v>
      </c>
      <c r="BB77" s="29" t="s">
        <v>2612</v>
      </c>
      <c r="BC77" s="29" t="s">
        <v>1611</v>
      </c>
      <c r="BD77" s="29" t="s">
        <v>1611</v>
      </c>
      <c r="BE77" s="29" t="s">
        <v>2502</v>
      </c>
      <c r="BF77" s="29" t="s">
        <v>2503</v>
      </c>
      <c r="BG77" s="29" t="s">
        <v>2539</v>
      </c>
      <c r="BH77" s="29" t="s">
        <v>2540</v>
      </c>
      <c r="BI77" s="29" t="s">
        <v>355</v>
      </c>
      <c r="BJ77" s="29" t="s">
        <v>2551</v>
      </c>
      <c r="BK77" s="29" t="s">
        <v>80</v>
      </c>
      <c r="BL77" s="29" t="s">
        <v>2688</v>
      </c>
      <c r="BM77" s="29" t="s">
        <v>1611</v>
      </c>
      <c r="BN77" s="29" t="s">
        <v>1611</v>
      </c>
      <c r="BO77" s="29" t="s">
        <v>1611</v>
      </c>
      <c r="BP77" s="29" t="s">
        <v>1611</v>
      </c>
      <c r="BQ77" s="29" t="s">
        <v>1611</v>
      </c>
      <c r="BR77" s="29" t="s">
        <v>1611</v>
      </c>
      <c r="BS77" s="29" t="s">
        <v>1611</v>
      </c>
      <c r="BT77" s="29" t="s">
        <v>1611</v>
      </c>
      <c r="BU77" s="29" t="s">
        <v>2371</v>
      </c>
      <c r="BV77" s="29" t="s">
        <v>2414</v>
      </c>
      <c r="BW77" s="29" t="s">
        <v>1611</v>
      </c>
      <c r="BX77" s="29" t="s">
        <v>1611</v>
      </c>
      <c r="BY77" s="29" t="s">
        <v>1611</v>
      </c>
      <c r="BZ77" s="29" t="s">
        <v>1611</v>
      </c>
      <c r="CA77" s="29" t="s">
        <v>1611</v>
      </c>
      <c r="CB77" s="29" t="s">
        <v>1611</v>
      </c>
      <c r="CC77" s="29" t="s">
        <v>1611</v>
      </c>
      <c r="CD77" s="29" t="s">
        <v>1611</v>
      </c>
      <c r="CE77" s="29" t="s">
        <v>1611</v>
      </c>
      <c r="CF77" s="29" t="s">
        <v>1611</v>
      </c>
      <c r="CG77" s="29" t="s">
        <v>2794</v>
      </c>
      <c r="CH77" s="29" t="s">
        <v>2795</v>
      </c>
      <c r="CI77" s="29" t="s">
        <v>1611</v>
      </c>
      <c r="CJ77" s="29" t="s">
        <v>1611</v>
      </c>
      <c r="CK77" s="29" t="s">
        <v>2509</v>
      </c>
      <c r="CL77" s="29" t="s">
        <v>2796</v>
      </c>
      <c r="CM77" s="29" t="s">
        <v>2797</v>
      </c>
      <c r="CN77" s="29" t="s">
        <v>2798</v>
      </c>
      <c r="CO77" s="29" t="s">
        <v>1611</v>
      </c>
      <c r="CP77" s="29" t="s">
        <v>1611</v>
      </c>
      <c r="CQ77" s="29" t="s">
        <v>1611</v>
      </c>
      <c r="CR77" s="29" t="s">
        <v>1611</v>
      </c>
      <c r="CS77" s="29" t="s">
        <v>1611</v>
      </c>
      <c r="CT77" s="29" t="s">
        <v>1611</v>
      </c>
      <c r="CU77" s="29" t="s">
        <v>1611</v>
      </c>
      <c r="CV77" s="29" t="s">
        <v>1611</v>
      </c>
      <c r="CW77" s="29"/>
      <c r="CX77" s="29"/>
      <c r="CY77" s="151"/>
      <c r="CZ77" t="s">
        <v>2238</v>
      </c>
      <c r="DA77" t="s">
        <v>3634</v>
      </c>
      <c r="DD77" s="96" t="str">
        <f t="shared" si="1"/>
        <v/>
      </c>
      <c r="DF77" s="96" t="s">
        <v>3753</v>
      </c>
    </row>
    <row r="78" spans="1:110" ht="16.5" customHeight="1" x14ac:dyDescent="0.3">
      <c r="C78" s="105">
        <v>1664808</v>
      </c>
      <c r="D78" s="27">
        <v>72</v>
      </c>
      <c r="E78" s="28" t="s">
        <v>829</v>
      </c>
      <c r="F78" s="28">
        <v>1001078687</v>
      </c>
      <c r="G78" s="29" t="s">
        <v>917</v>
      </c>
      <c r="H78" s="28">
        <v>1664808</v>
      </c>
      <c r="I78" s="29" t="s">
        <v>918</v>
      </c>
      <c r="J78" s="28" t="s">
        <v>429</v>
      </c>
      <c r="K78" s="7"/>
      <c r="L78" s="104" t="s">
        <v>700</v>
      </c>
      <c r="M78" s="29"/>
      <c r="N78" s="29"/>
      <c r="O78" s="127"/>
      <c r="P78" s="28"/>
      <c r="Q78" s="28"/>
      <c r="R78" s="28"/>
      <c r="S78" s="28"/>
      <c r="T78" s="28"/>
      <c r="U78" s="28"/>
      <c r="V78" s="28"/>
      <c r="W78" s="28"/>
      <c r="X78" s="28"/>
      <c r="Y78" s="28"/>
      <c r="Z78" s="28"/>
      <c r="AA78" s="28"/>
      <c r="AB78" s="104"/>
      <c r="AC78" s="104"/>
      <c r="AD78" s="9" t="s">
        <v>1269</v>
      </c>
      <c r="AE78" s="39">
        <v>45957</v>
      </c>
      <c r="AF78" s="9" t="s">
        <v>1276</v>
      </c>
      <c r="AG78" s="108" t="s">
        <v>2347</v>
      </c>
      <c r="AH78" s="9"/>
      <c r="AI78" s="45" t="s">
        <v>461</v>
      </c>
      <c r="AJ78" s="9"/>
      <c r="AK78" s="45"/>
      <c r="AL78" s="45"/>
      <c r="AM78" s="45"/>
      <c r="AN78" s="45"/>
      <c r="AO78" s="45"/>
      <c r="AP78" s="45"/>
      <c r="AQ78" s="45"/>
      <c r="AR78" s="45"/>
      <c r="AS78" s="45"/>
      <c r="AT78" s="45"/>
      <c r="AU78" s="45"/>
      <c r="AV78" s="45"/>
      <c r="AW78" s="9"/>
      <c r="AX78" s="9"/>
      <c r="AY78" s="9"/>
      <c r="AZ78" s="9"/>
      <c r="BA78" s="10" t="s">
        <v>100</v>
      </c>
      <c r="BB78" s="29" t="s">
        <v>2513</v>
      </c>
      <c r="BC78" s="29" t="s">
        <v>1611</v>
      </c>
      <c r="BD78" s="29" t="s">
        <v>1611</v>
      </c>
      <c r="BE78" s="29" t="s">
        <v>1611</v>
      </c>
      <c r="BF78" s="29" t="s">
        <v>1611</v>
      </c>
      <c r="BG78" s="29" t="s">
        <v>2539</v>
      </c>
      <c r="BH78" s="29" t="s">
        <v>2540</v>
      </c>
      <c r="BI78" s="29" t="s">
        <v>81</v>
      </c>
      <c r="BJ78" s="29" t="s">
        <v>2799</v>
      </c>
      <c r="BK78" s="29" t="s">
        <v>2800</v>
      </c>
      <c r="BL78" s="29" t="s">
        <v>2801</v>
      </c>
      <c r="BM78" s="29" t="s">
        <v>1611</v>
      </c>
      <c r="BN78" s="29" t="s">
        <v>1611</v>
      </c>
      <c r="BO78" s="29" t="s">
        <v>1611</v>
      </c>
      <c r="BP78" s="29" t="s">
        <v>1611</v>
      </c>
      <c r="BQ78" s="29" t="s">
        <v>1611</v>
      </c>
      <c r="BR78" s="29" t="s">
        <v>1611</v>
      </c>
      <c r="BS78" s="29" t="s">
        <v>1611</v>
      </c>
      <c r="BT78" s="29" t="s">
        <v>1611</v>
      </c>
      <c r="BU78" s="29" t="s">
        <v>2802</v>
      </c>
      <c r="BV78" s="29" t="s">
        <v>2803</v>
      </c>
      <c r="BW78" s="29" t="s">
        <v>1611</v>
      </c>
      <c r="BX78" s="29" t="s">
        <v>1611</v>
      </c>
      <c r="BY78" s="29" t="s">
        <v>1611</v>
      </c>
      <c r="BZ78" s="29" t="s">
        <v>1611</v>
      </c>
      <c r="CA78" s="29" t="s">
        <v>1611</v>
      </c>
      <c r="CB78" s="29" t="s">
        <v>1611</v>
      </c>
      <c r="CC78" s="29" t="s">
        <v>1611</v>
      </c>
      <c r="CD78" s="29" t="s">
        <v>1611</v>
      </c>
      <c r="CE78" s="29" t="s">
        <v>1611</v>
      </c>
      <c r="CF78" s="29" t="s">
        <v>1611</v>
      </c>
      <c r="CG78" s="29" t="s">
        <v>1611</v>
      </c>
      <c r="CH78" s="29" t="s">
        <v>1611</v>
      </c>
      <c r="CI78" s="29" t="s">
        <v>1611</v>
      </c>
      <c r="CJ78" s="29" t="s">
        <v>1611</v>
      </c>
      <c r="CK78" s="29" t="s">
        <v>1611</v>
      </c>
      <c r="CL78" s="29" t="s">
        <v>1611</v>
      </c>
      <c r="CM78" s="29" t="s">
        <v>1611</v>
      </c>
      <c r="CN78" s="29" t="s">
        <v>1611</v>
      </c>
      <c r="CO78" s="29" t="s">
        <v>1611</v>
      </c>
      <c r="CP78" s="29" t="s">
        <v>1611</v>
      </c>
      <c r="CQ78" s="29" t="s">
        <v>1611</v>
      </c>
      <c r="CR78" s="29" t="s">
        <v>1611</v>
      </c>
      <c r="CS78" s="29" t="s">
        <v>1611</v>
      </c>
      <c r="CT78" s="29" t="s">
        <v>1611</v>
      </c>
      <c r="CU78" s="29" t="s">
        <v>1611</v>
      </c>
      <c r="CV78" s="29" t="s">
        <v>1611</v>
      </c>
      <c r="CW78" s="29"/>
      <c r="CX78" s="29"/>
      <c r="CY78" s="151"/>
      <c r="CZ78" t="e">
        <v>#N/A</v>
      </c>
      <c r="DA78" t="e">
        <v>#N/A</v>
      </c>
      <c r="DD78" s="96" t="str">
        <f t="shared" si="1"/>
        <v>V</v>
      </c>
    </row>
    <row r="79" spans="1:110" ht="16.5" customHeight="1" x14ac:dyDescent="0.3">
      <c r="C79" s="105">
        <v>1661198</v>
      </c>
      <c r="D79" s="27">
        <v>73</v>
      </c>
      <c r="E79" s="28" t="s">
        <v>843</v>
      </c>
      <c r="F79" s="28">
        <v>1000316497</v>
      </c>
      <c r="G79" s="29" t="s">
        <v>2318</v>
      </c>
      <c r="H79" s="28">
        <v>1661198</v>
      </c>
      <c r="I79" s="29" t="s">
        <v>919</v>
      </c>
      <c r="J79" s="28" t="s">
        <v>854</v>
      </c>
      <c r="K79" s="7"/>
      <c r="L79" s="104" t="s">
        <v>671</v>
      </c>
      <c r="M79" s="29" t="s">
        <v>2321</v>
      </c>
      <c r="N79" s="29" t="s">
        <v>2322</v>
      </c>
      <c r="O79" s="127">
        <v>100142</v>
      </c>
      <c r="P79" s="28" t="s">
        <v>1301</v>
      </c>
      <c r="Q79" s="28" t="s">
        <v>1301</v>
      </c>
      <c r="R79" s="28" t="s">
        <v>1301</v>
      </c>
      <c r="S79" s="28" t="s">
        <v>1301</v>
      </c>
      <c r="T79" s="28" t="s">
        <v>1329</v>
      </c>
      <c r="U79" s="28" t="s">
        <v>612</v>
      </c>
      <c r="V79" s="28" t="s">
        <v>1301</v>
      </c>
      <c r="W79" s="28" t="s">
        <v>1301</v>
      </c>
      <c r="X79" s="28" t="s">
        <v>1301</v>
      </c>
      <c r="Y79" s="28" t="s">
        <v>1301</v>
      </c>
      <c r="Z79" s="28" t="s">
        <v>1301</v>
      </c>
      <c r="AA79" s="28" t="s">
        <v>1301</v>
      </c>
      <c r="AB79" s="104" t="s">
        <v>1339</v>
      </c>
      <c r="AC79" s="104" t="s">
        <v>645</v>
      </c>
      <c r="AD79" s="9" t="s">
        <v>1269</v>
      </c>
      <c r="AE79" s="9"/>
      <c r="AF79" s="9"/>
      <c r="AG79" s="34"/>
      <c r="AH79" s="9"/>
      <c r="AI79" s="9" t="s">
        <v>46</v>
      </c>
      <c r="AJ79" s="9"/>
      <c r="AK79" s="45"/>
      <c r="AL79" s="45" t="s">
        <v>2278</v>
      </c>
      <c r="AM79" s="45" t="s">
        <v>2317</v>
      </c>
      <c r="AN79" s="45" t="s">
        <v>46</v>
      </c>
      <c r="AO79" s="45" t="s">
        <v>46</v>
      </c>
      <c r="AP79" s="45" t="s">
        <v>46</v>
      </c>
      <c r="AQ79" s="45" t="s">
        <v>46</v>
      </c>
      <c r="AR79" s="45" t="s">
        <v>46</v>
      </c>
      <c r="AS79" s="45"/>
      <c r="AT79" s="45"/>
      <c r="AU79" s="45"/>
      <c r="AV79" s="45"/>
      <c r="AW79" s="45" t="s">
        <v>46</v>
      </c>
      <c r="AX79" s="45" t="s">
        <v>46</v>
      </c>
      <c r="AY79" s="45" t="s">
        <v>46</v>
      </c>
      <c r="AZ79" s="45" t="s">
        <v>46</v>
      </c>
      <c r="BA79" s="10" t="s">
        <v>70</v>
      </c>
      <c r="BB79" s="29" t="s">
        <v>2616</v>
      </c>
      <c r="BC79" s="29" t="s">
        <v>1611</v>
      </c>
      <c r="BD79" s="29" t="s">
        <v>1611</v>
      </c>
      <c r="BE79" s="29" t="s">
        <v>2514</v>
      </c>
      <c r="BF79" s="29" t="s">
        <v>2515</v>
      </c>
      <c r="BG79" s="29" t="s">
        <v>2721</v>
      </c>
      <c r="BH79" s="29" t="s">
        <v>2722</v>
      </c>
      <c r="BI79" s="29" t="s">
        <v>2804</v>
      </c>
      <c r="BJ79" s="29" t="s">
        <v>2805</v>
      </c>
      <c r="BK79" s="29" t="s">
        <v>2806</v>
      </c>
      <c r="BL79" s="29" t="s">
        <v>2807</v>
      </c>
      <c r="BM79" s="29" t="s">
        <v>1611</v>
      </c>
      <c r="BN79" s="29" t="s">
        <v>1611</v>
      </c>
      <c r="BO79" s="29" t="s">
        <v>1611</v>
      </c>
      <c r="BP79" s="29" t="s">
        <v>1611</v>
      </c>
      <c r="BQ79" s="29" t="s">
        <v>1611</v>
      </c>
      <c r="BR79" s="29" t="s">
        <v>1611</v>
      </c>
      <c r="BS79" s="29" t="s">
        <v>1611</v>
      </c>
      <c r="BT79" s="29" t="s">
        <v>1611</v>
      </c>
      <c r="BU79" s="29" t="s">
        <v>371</v>
      </c>
      <c r="BV79" s="29" t="s">
        <v>2607</v>
      </c>
      <c r="BW79" s="29" t="s">
        <v>1611</v>
      </c>
      <c r="BX79" s="29" t="s">
        <v>1611</v>
      </c>
      <c r="BY79" s="29" t="s">
        <v>1611</v>
      </c>
      <c r="BZ79" s="29" t="s">
        <v>1611</v>
      </c>
      <c r="CA79" s="29" t="s">
        <v>1611</v>
      </c>
      <c r="CB79" s="29" t="s">
        <v>1611</v>
      </c>
      <c r="CC79" s="29" t="s">
        <v>1611</v>
      </c>
      <c r="CD79" s="29" t="s">
        <v>1611</v>
      </c>
      <c r="CE79" s="29" t="s">
        <v>1611</v>
      </c>
      <c r="CF79" s="29" t="s">
        <v>1611</v>
      </c>
      <c r="CG79" s="29" t="s">
        <v>372</v>
      </c>
      <c r="CH79" s="29" t="s">
        <v>1839</v>
      </c>
      <c r="CI79" s="29" t="s">
        <v>1611</v>
      </c>
      <c r="CJ79" s="29" t="s">
        <v>1611</v>
      </c>
      <c r="CK79" s="29" t="s">
        <v>2808</v>
      </c>
      <c r="CL79" s="29" t="s">
        <v>2809</v>
      </c>
      <c r="CM79" s="29" t="s">
        <v>1611</v>
      </c>
      <c r="CN79" s="29" t="s">
        <v>1611</v>
      </c>
      <c r="CO79" s="29" t="s">
        <v>1611</v>
      </c>
      <c r="CP79" s="29" t="s">
        <v>1611</v>
      </c>
      <c r="CQ79" s="29" t="s">
        <v>1611</v>
      </c>
      <c r="CR79" s="29" t="s">
        <v>1611</v>
      </c>
      <c r="CS79" s="29" t="s">
        <v>1611</v>
      </c>
      <c r="CT79" s="29" t="s">
        <v>1611</v>
      </c>
      <c r="CU79" s="29" t="s">
        <v>1611</v>
      </c>
      <c r="CV79" s="29" t="s">
        <v>1611</v>
      </c>
      <c r="CW79" s="29"/>
      <c r="CX79" s="29"/>
      <c r="CY79" s="151"/>
      <c r="CZ79" t="s">
        <v>3276</v>
      </c>
      <c r="DA79" t="s">
        <v>3634</v>
      </c>
      <c r="DD79" s="96" t="str">
        <f t="shared" si="1"/>
        <v/>
      </c>
      <c r="DF79" s="96" t="s">
        <v>3753</v>
      </c>
    </row>
    <row r="80" spans="1:110" ht="16.5" customHeight="1" x14ac:dyDescent="0.3">
      <c r="C80" s="105">
        <v>1686129</v>
      </c>
      <c r="D80" s="27">
        <v>74</v>
      </c>
      <c r="E80" s="28" t="s">
        <v>786</v>
      </c>
      <c r="F80" s="28">
        <v>1000741492</v>
      </c>
      <c r="G80" s="29" t="s">
        <v>921</v>
      </c>
      <c r="H80" s="28">
        <v>1686129</v>
      </c>
      <c r="I80" s="29" t="s">
        <v>922</v>
      </c>
      <c r="J80" s="28" t="s">
        <v>429</v>
      </c>
      <c r="K80" s="7"/>
      <c r="L80" s="104" t="s">
        <v>304</v>
      </c>
      <c r="M80" s="29"/>
      <c r="N80" s="29"/>
      <c r="O80" s="127"/>
      <c r="P80" s="28"/>
      <c r="Q80" s="28"/>
      <c r="R80" s="28"/>
      <c r="S80" s="28"/>
      <c r="T80" s="28"/>
      <c r="U80" s="28"/>
      <c r="V80" s="28"/>
      <c r="W80" s="28"/>
      <c r="X80" s="28"/>
      <c r="Y80" s="28"/>
      <c r="Z80" s="28"/>
      <c r="AA80" s="28"/>
      <c r="AB80" s="104"/>
      <c r="AC80" s="104"/>
      <c r="AD80" s="9" t="s">
        <v>1269</v>
      </c>
      <c r="AE80" s="39">
        <v>45910</v>
      </c>
      <c r="AF80" s="9" t="s">
        <v>1276</v>
      </c>
      <c r="AG80" s="34" t="s">
        <v>1957</v>
      </c>
      <c r="AH80" s="9"/>
      <c r="AI80" s="9"/>
      <c r="AJ80" s="9"/>
      <c r="AK80" s="45"/>
      <c r="AL80" s="45" t="s">
        <v>46</v>
      </c>
      <c r="AM80" s="45" t="s">
        <v>46</v>
      </c>
      <c r="AN80" s="45" t="s">
        <v>46</v>
      </c>
      <c r="AO80" s="45" t="s">
        <v>46</v>
      </c>
      <c r="AP80" s="45" t="s">
        <v>46</v>
      </c>
      <c r="AQ80" s="45"/>
      <c r="AR80" s="45"/>
      <c r="AS80" s="45"/>
      <c r="AT80" s="45"/>
      <c r="AU80" s="45"/>
      <c r="AV80" s="45"/>
      <c r="AW80" s="9"/>
      <c r="AX80" s="9"/>
      <c r="AY80" s="9"/>
      <c r="AZ80" s="9"/>
      <c r="BA80" s="10" t="s">
        <v>147</v>
      </c>
      <c r="BB80" s="29" t="s">
        <v>2695</v>
      </c>
      <c r="BC80" s="29" t="s">
        <v>1611</v>
      </c>
      <c r="BD80" s="29" t="s">
        <v>1611</v>
      </c>
      <c r="BE80" s="29" t="s">
        <v>2502</v>
      </c>
      <c r="BF80" s="29" t="s">
        <v>2503</v>
      </c>
      <c r="BG80" s="29" t="s">
        <v>2599</v>
      </c>
      <c r="BH80" s="29" t="s">
        <v>2600</v>
      </c>
      <c r="BI80" s="29" t="s">
        <v>230</v>
      </c>
      <c r="BJ80" s="29" t="s">
        <v>2681</v>
      </c>
      <c r="BK80" s="29" t="s">
        <v>231</v>
      </c>
      <c r="BL80" s="29" t="s">
        <v>2682</v>
      </c>
      <c r="BM80" s="29" t="s">
        <v>1611</v>
      </c>
      <c r="BN80" s="29" t="s">
        <v>1611</v>
      </c>
      <c r="BO80" s="29" t="s">
        <v>1611</v>
      </c>
      <c r="BP80" s="29" t="s">
        <v>1611</v>
      </c>
      <c r="BQ80" s="29" t="s">
        <v>1611</v>
      </c>
      <c r="BR80" s="29" t="s">
        <v>1611</v>
      </c>
      <c r="BS80" s="29" t="s">
        <v>1611</v>
      </c>
      <c r="BT80" s="29" t="s">
        <v>1611</v>
      </c>
      <c r="BU80" s="29" t="s">
        <v>2810</v>
      </c>
      <c r="BV80" s="29" t="s">
        <v>2811</v>
      </c>
      <c r="BW80" s="29" t="s">
        <v>1611</v>
      </c>
      <c r="BX80" s="29" t="s">
        <v>1611</v>
      </c>
      <c r="BY80" s="29" t="s">
        <v>1611</v>
      </c>
      <c r="BZ80" s="29" t="s">
        <v>1611</v>
      </c>
      <c r="CA80" s="29" t="s">
        <v>1611</v>
      </c>
      <c r="CB80" s="29" t="s">
        <v>1611</v>
      </c>
      <c r="CC80" s="29" t="s">
        <v>1611</v>
      </c>
      <c r="CD80" s="29" t="s">
        <v>1611</v>
      </c>
      <c r="CE80" s="29" t="s">
        <v>1611</v>
      </c>
      <c r="CF80" s="29" t="s">
        <v>1611</v>
      </c>
      <c r="CG80" s="29" t="s">
        <v>1733</v>
      </c>
      <c r="CH80" s="29" t="s">
        <v>1844</v>
      </c>
      <c r="CI80" s="29" t="s">
        <v>1611</v>
      </c>
      <c r="CJ80" s="29" t="s">
        <v>1611</v>
      </c>
      <c r="CK80" s="29" t="s">
        <v>1611</v>
      </c>
      <c r="CL80" s="29" t="s">
        <v>1611</v>
      </c>
      <c r="CM80" s="29" t="s">
        <v>1611</v>
      </c>
      <c r="CN80" s="29" t="s">
        <v>1611</v>
      </c>
      <c r="CO80" s="29" t="s">
        <v>1611</v>
      </c>
      <c r="CP80" s="29" t="s">
        <v>1611</v>
      </c>
      <c r="CQ80" s="29" t="s">
        <v>1611</v>
      </c>
      <c r="CR80" s="29" t="s">
        <v>1611</v>
      </c>
      <c r="CS80" s="29" t="s">
        <v>1611</v>
      </c>
      <c r="CT80" s="29" t="s">
        <v>1611</v>
      </c>
      <c r="CU80" s="29" t="s">
        <v>1611</v>
      </c>
      <c r="CV80" s="29" t="s">
        <v>1611</v>
      </c>
      <c r="CW80" s="29"/>
      <c r="CX80" s="29"/>
      <c r="CY80" s="151"/>
      <c r="CZ80" t="e">
        <v>#N/A</v>
      </c>
      <c r="DA80" t="e">
        <v>#N/A</v>
      </c>
      <c r="DD80" s="96" t="str">
        <f t="shared" si="1"/>
        <v>V</v>
      </c>
    </row>
    <row r="81" spans="1:110" ht="16.5" customHeight="1" x14ac:dyDescent="0.3">
      <c r="C81" s="105">
        <v>1687118</v>
      </c>
      <c r="D81" s="27">
        <v>75</v>
      </c>
      <c r="E81" s="28" t="s">
        <v>786</v>
      </c>
      <c r="F81" s="28">
        <v>1000325995</v>
      </c>
      <c r="G81" s="29" t="s">
        <v>924</v>
      </c>
      <c r="H81" s="28">
        <v>1687118</v>
      </c>
      <c r="I81" s="29" t="s">
        <v>925</v>
      </c>
      <c r="J81" s="28" t="s">
        <v>429</v>
      </c>
      <c r="K81" s="7"/>
      <c r="L81" s="104" t="s">
        <v>114</v>
      </c>
      <c r="M81" s="110" t="s">
        <v>3664</v>
      </c>
      <c r="N81" s="29" t="s">
        <v>3665</v>
      </c>
      <c r="O81" s="127">
        <v>602196</v>
      </c>
      <c r="P81" s="28" t="s">
        <v>1301</v>
      </c>
      <c r="Q81" s="28" t="s">
        <v>1301</v>
      </c>
      <c r="R81" s="28" t="s">
        <v>1329</v>
      </c>
      <c r="S81" s="28" t="s">
        <v>612</v>
      </c>
      <c r="T81" s="28" t="s">
        <v>1329</v>
      </c>
      <c r="U81" s="28" t="s">
        <v>612</v>
      </c>
      <c r="V81" s="28" t="s">
        <v>1301</v>
      </c>
      <c r="W81" s="28" t="s">
        <v>1301</v>
      </c>
      <c r="X81" s="28" t="s">
        <v>1301</v>
      </c>
      <c r="Y81" s="28" t="s">
        <v>1301</v>
      </c>
      <c r="Z81" s="28" t="s">
        <v>1301</v>
      </c>
      <c r="AA81" s="28" t="s">
        <v>1301</v>
      </c>
      <c r="AB81" s="104" t="s">
        <v>663</v>
      </c>
      <c r="AC81" s="104" t="s">
        <v>1340</v>
      </c>
      <c r="AD81" s="9" t="s">
        <v>1269</v>
      </c>
      <c r="AE81" s="9"/>
      <c r="AF81" s="9"/>
      <c r="AG81" s="34"/>
      <c r="AH81" s="9"/>
      <c r="AI81" s="9"/>
      <c r="AJ81" s="9"/>
      <c r="AK81" s="45" t="s">
        <v>46</v>
      </c>
      <c r="AL81" s="45" t="s">
        <v>2278</v>
      </c>
      <c r="AM81" s="45" t="s">
        <v>46</v>
      </c>
      <c r="AN81" s="45" t="s">
        <v>46</v>
      </c>
      <c r="AO81" s="45" t="s">
        <v>46</v>
      </c>
      <c r="AP81" s="45" t="s">
        <v>46</v>
      </c>
      <c r="AQ81" s="45" t="s">
        <v>46</v>
      </c>
      <c r="AR81" s="45" t="s">
        <v>46</v>
      </c>
      <c r="AS81" s="45" t="s">
        <v>46</v>
      </c>
      <c r="AT81" s="45"/>
      <c r="AU81" s="45"/>
      <c r="AV81" s="45"/>
      <c r="AW81" s="45" t="s">
        <v>46</v>
      </c>
      <c r="AX81" s="45" t="s">
        <v>46</v>
      </c>
      <c r="AY81" s="45" t="s">
        <v>46</v>
      </c>
      <c r="AZ81" s="45" t="s">
        <v>46</v>
      </c>
      <c r="BA81" s="10" t="s">
        <v>70</v>
      </c>
      <c r="BB81" s="29" t="s">
        <v>2616</v>
      </c>
      <c r="BC81" s="29" t="s">
        <v>1611</v>
      </c>
      <c r="BD81" s="29" t="s">
        <v>1611</v>
      </c>
      <c r="BE81" s="29" t="s">
        <v>2502</v>
      </c>
      <c r="BF81" s="29" t="s">
        <v>2503</v>
      </c>
      <c r="BG81" s="29" t="s">
        <v>2599</v>
      </c>
      <c r="BH81" s="29" t="s">
        <v>2600</v>
      </c>
      <c r="BI81" s="29" t="s">
        <v>2653</v>
      </c>
      <c r="BJ81" s="29" t="s">
        <v>2654</v>
      </c>
      <c r="BK81" s="29" t="s">
        <v>336</v>
      </c>
      <c r="BL81" s="29" t="s">
        <v>2662</v>
      </c>
      <c r="BM81" s="29" t="s">
        <v>1611</v>
      </c>
      <c r="BN81" s="29" t="s">
        <v>1611</v>
      </c>
      <c r="BO81" s="29" t="s">
        <v>1611</v>
      </c>
      <c r="BP81" s="29" t="s">
        <v>1611</v>
      </c>
      <c r="BQ81" s="29" t="s">
        <v>1611</v>
      </c>
      <c r="BR81" s="29" t="s">
        <v>1611</v>
      </c>
      <c r="BS81" s="29" t="s">
        <v>1611</v>
      </c>
      <c r="BT81" s="29" t="s">
        <v>1611</v>
      </c>
      <c r="BU81" s="29" t="s">
        <v>3662</v>
      </c>
      <c r="BV81" s="29" t="s">
        <v>3663</v>
      </c>
      <c r="BW81" s="29" t="s">
        <v>1611</v>
      </c>
      <c r="BX81" s="29" t="s">
        <v>1611</v>
      </c>
      <c r="BY81" s="29" t="s">
        <v>1611</v>
      </c>
      <c r="BZ81" s="29" t="s">
        <v>1611</v>
      </c>
      <c r="CA81" s="29" t="s">
        <v>1611</v>
      </c>
      <c r="CB81" s="29" t="s">
        <v>1611</v>
      </c>
      <c r="CC81" s="29" t="s">
        <v>1611</v>
      </c>
      <c r="CD81" s="29" t="s">
        <v>1611</v>
      </c>
      <c r="CE81" s="29" t="s">
        <v>1611</v>
      </c>
      <c r="CF81" s="29" t="s">
        <v>1611</v>
      </c>
      <c r="CG81" s="29" t="s">
        <v>1734</v>
      </c>
      <c r="CH81" s="29" t="s">
        <v>1845</v>
      </c>
      <c r="CI81" s="29" t="s">
        <v>1611</v>
      </c>
      <c r="CJ81" s="29" t="s">
        <v>1611</v>
      </c>
      <c r="CK81" s="29" t="s">
        <v>3666</v>
      </c>
      <c r="CL81" s="29" t="s">
        <v>3669</v>
      </c>
      <c r="CM81" s="29" t="s">
        <v>3667</v>
      </c>
      <c r="CN81" s="29" t="s">
        <v>3668</v>
      </c>
      <c r="CO81" s="29" t="s">
        <v>1611</v>
      </c>
      <c r="CP81" s="29" t="s">
        <v>1611</v>
      </c>
      <c r="CQ81" s="29" t="s">
        <v>1611</v>
      </c>
      <c r="CR81" s="29" t="s">
        <v>1611</v>
      </c>
      <c r="CS81" s="29" t="s">
        <v>1611</v>
      </c>
      <c r="CT81" s="29" t="s">
        <v>1611</v>
      </c>
      <c r="CU81" s="29" t="s">
        <v>1611</v>
      </c>
      <c r="CV81" s="29" t="s">
        <v>1611</v>
      </c>
      <c r="CW81" s="29"/>
      <c r="CX81" s="29"/>
      <c r="CY81" s="151"/>
      <c r="CZ81" t="s">
        <v>3602</v>
      </c>
      <c r="DA81" t="s">
        <v>3634</v>
      </c>
      <c r="DD81" s="96" t="str">
        <f t="shared" si="1"/>
        <v/>
      </c>
      <c r="DF81" s="96" t="s">
        <v>3753</v>
      </c>
    </row>
    <row r="82" spans="1:110" ht="16.5" customHeight="1" x14ac:dyDescent="0.3">
      <c r="C82" s="105">
        <v>1682814</v>
      </c>
      <c r="D82" s="27">
        <v>76</v>
      </c>
      <c r="E82" s="28" t="s">
        <v>808</v>
      </c>
      <c r="F82" s="28">
        <v>1000734708</v>
      </c>
      <c r="G82" s="29" t="s">
        <v>926</v>
      </c>
      <c r="H82" s="28">
        <v>1682814</v>
      </c>
      <c r="I82" s="29" t="s">
        <v>927</v>
      </c>
      <c r="J82" s="28" t="s">
        <v>854</v>
      </c>
      <c r="K82" s="7"/>
      <c r="L82" s="104" t="s">
        <v>274</v>
      </c>
      <c r="M82" s="29"/>
      <c r="N82" s="29"/>
      <c r="O82" s="127"/>
      <c r="P82" s="28"/>
      <c r="Q82" s="28"/>
      <c r="R82" s="28"/>
      <c r="S82" s="28"/>
      <c r="T82" s="28"/>
      <c r="U82" s="28"/>
      <c r="V82" s="28"/>
      <c r="W82" s="28"/>
      <c r="X82" s="28"/>
      <c r="Y82" s="28"/>
      <c r="Z82" s="28"/>
      <c r="AA82" s="28"/>
      <c r="AB82" s="104"/>
      <c r="AC82" s="104"/>
      <c r="AD82" s="9" t="s">
        <v>45</v>
      </c>
      <c r="AE82" s="39">
        <v>46058</v>
      </c>
      <c r="AF82" s="9" t="s">
        <v>1276</v>
      </c>
      <c r="AG82" s="34" t="s">
        <v>3754</v>
      </c>
      <c r="AH82" s="9"/>
      <c r="AI82" s="9"/>
      <c r="AJ82" s="9"/>
      <c r="AK82" s="45"/>
      <c r="AL82" s="45" t="s">
        <v>2278</v>
      </c>
      <c r="AM82" s="45"/>
      <c r="AN82" s="45"/>
      <c r="AO82" s="45"/>
      <c r="AP82" s="45"/>
      <c r="AQ82" s="45"/>
      <c r="AR82" s="45"/>
      <c r="AS82" s="45"/>
      <c r="AT82" s="45"/>
      <c r="AU82" s="45"/>
      <c r="AV82" s="45"/>
      <c r="AW82" s="9"/>
      <c r="AX82" s="9"/>
      <c r="AY82" s="9"/>
      <c r="AZ82" s="9"/>
      <c r="BA82" s="10" t="s">
        <v>184</v>
      </c>
      <c r="BB82" s="29" t="s">
        <v>2568</v>
      </c>
      <c r="BC82" s="29" t="s">
        <v>1611</v>
      </c>
      <c r="BD82" s="29" t="s">
        <v>1611</v>
      </c>
      <c r="BE82" s="29" t="s">
        <v>1611</v>
      </c>
      <c r="BF82" s="29" t="s">
        <v>1611</v>
      </c>
      <c r="BG82" s="29" t="s">
        <v>1611</v>
      </c>
      <c r="BH82" s="29" t="s">
        <v>1611</v>
      </c>
      <c r="BI82" s="29" t="s">
        <v>275</v>
      </c>
      <c r="BJ82" s="29" t="s">
        <v>2645</v>
      </c>
      <c r="BK82" s="29" t="s">
        <v>276</v>
      </c>
      <c r="BL82" s="29" t="s">
        <v>2771</v>
      </c>
      <c r="BM82" s="29" t="s">
        <v>1611</v>
      </c>
      <c r="BN82" s="29" t="s">
        <v>1611</v>
      </c>
      <c r="BO82" s="29" t="s">
        <v>1611</v>
      </c>
      <c r="BP82" s="29" t="s">
        <v>1611</v>
      </c>
      <c r="BQ82" s="29" t="s">
        <v>1611</v>
      </c>
      <c r="BR82" s="29" t="s">
        <v>1611</v>
      </c>
      <c r="BS82" s="29" t="s">
        <v>1611</v>
      </c>
      <c r="BT82" s="29" t="s">
        <v>1611</v>
      </c>
      <c r="BU82" s="29" t="s">
        <v>277</v>
      </c>
      <c r="BV82" s="29" t="s">
        <v>2812</v>
      </c>
      <c r="BW82" s="29" t="s">
        <v>1611</v>
      </c>
      <c r="BX82" s="29" t="s">
        <v>1611</v>
      </c>
      <c r="BY82" s="29" t="s">
        <v>1611</v>
      </c>
      <c r="BZ82" s="29" t="s">
        <v>1611</v>
      </c>
      <c r="CA82" s="29" t="s">
        <v>1611</v>
      </c>
      <c r="CB82" s="29" t="s">
        <v>1611</v>
      </c>
      <c r="CC82" s="29" t="s">
        <v>1611</v>
      </c>
      <c r="CD82" s="29" t="s">
        <v>1611</v>
      </c>
      <c r="CE82" s="29" t="s">
        <v>1611</v>
      </c>
      <c r="CF82" s="29" t="s">
        <v>1611</v>
      </c>
      <c r="CG82" s="29" t="s">
        <v>3484</v>
      </c>
      <c r="CH82" s="29" t="s">
        <v>3483</v>
      </c>
      <c r="CI82" s="29" t="s">
        <v>1611</v>
      </c>
      <c r="CJ82" s="29" t="s">
        <v>1611</v>
      </c>
      <c r="CK82" s="29" t="s">
        <v>1611</v>
      </c>
      <c r="CL82" s="29" t="s">
        <v>1611</v>
      </c>
      <c r="CM82" s="29" t="s">
        <v>1611</v>
      </c>
      <c r="CN82" s="29" t="s">
        <v>1611</v>
      </c>
      <c r="CO82" s="29" t="s">
        <v>1611</v>
      </c>
      <c r="CP82" s="29" t="s">
        <v>1611</v>
      </c>
      <c r="CQ82" s="29" t="s">
        <v>1611</v>
      </c>
      <c r="CR82" s="29" t="s">
        <v>1611</v>
      </c>
      <c r="CS82" s="29" t="s">
        <v>1611</v>
      </c>
      <c r="CT82" s="29" t="s">
        <v>1611</v>
      </c>
      <c r="CU82" s="29" t="s">
        <v>1611</v>
      </c>
      <c r="CV82" s="29" t="s">
        <v>1611</v>
      </c>
      <c r="CW82" s="29"/>
      <c r="CX82" s="29"/>
      <c r="CY82" s="151"/>
      <c r="CZ82" t="s">
        <v>3604</v>
      </c>
      <c r="DA82" t="s">
        <v>3587</v>
      </c>
      <c r="DC82" s="96" t="s">
        <v>3700</v>
      </c>
      <c r="DD82" s="96" t="str">
        <f t="shared" si="1"/>
        <v>V</v>
      </c>
    </row>
    <row r="83" spans="1:110" ht="16.5" customHeight="1" x14ac:dyDescent="0.3">
      <c r="A83" t="s">
        <v>3873</v>
      </c>
      <c r="B83" t="s">
        <v>3778</v>
      </c>
      <c r="C83" s="105">
        <v>1671288</v>
      </c>
      <c r="D83" s="27">
        <v>77</v>
      </c>
      <c r="E83" s="28" t="s">
        <v>656</v>
      </c>
      <c r="F83" s="28">
        <v>1000326239</v>
      </c>
      <c r="G83" s="29" t="s">
        <v>928</v>
      </c>
      <c r="H83" s="28">
        <v>1671288</v>
      </c>
      <c r="I83" s="29" t="s">
        <v>929</v>
      </c>
      <c r="J83" s="28" t="s">
        <v>429</v>
      </c>
      <c r="K83" s="7"/>
      <c r="L83" s="104" t="s">
        <v>701</v>
      </c>
      <c r="M83" s="110" t="s">
        <v>206</v>
      </c>
      <c r="N83" s="29" t="s">
        <v>2352</v>
      </c>
      <c r="O83" s="127">
        <v>5829700</v>
      </c>
      <c r="P83" s="113" t="s">
        <v>1624</v>
      </c>
      <c r="Q83" s="28" t="s">
        <v>612</v>
      </c>
      <c r="R83" s="28" t="s">
        <v>1301</v>
      </c>
      <c r="S83" s="28" t="s">
        <v>1301</v>
      </c>
      <c r="T83" s="28" t="s">
        <v>1301</v>
      </c>
      <c r="U83" s="28" t="s">
        <v>1301</v>
      </c>
      <c r="V83" s="28" t="s">
        <v>1301</v>
      </c>
      <c r="W83" s="28" t="s">
        <v>1301</v>
      </c>
      <c r="X83" s="28" t="s">
        <v>1301</v>
      </c>
      <c r="Y83" s="28" t="s">
        <v>1301</v>
      </c>
      <c r="Z83" s="28" t="s">
        <v>1301</v>
      </c>
      <c r="AA83" s="28" t="s">
        <v>1301</v>
      </c>
      <c r="AB83" s="104" t="s">
        <v>2353</v>
      </c>
      <c r="AC83" s="104" t="s">
        <v>1340</v>
      </c>
      <c r="AD83" s="9" t="s">
        <v>1269</v>
      </c>
      <c r="AE83" s="9"/>
      <c r="AF83" s="9"/>
      <c r="AG83" s="34"/>
      <c r="AH83" s="9"/>
      <c r="AI83" s="45" t="s">
        <v>46</v>
      </c>
      <c r="AJ83" s="9"/>
      <c r="AK83" s="45"/>
      <c r="AL83" s="45" t="s">
        <v>2278</v>
      </c>
      <c r="AM83" s="45" t="s">
        <v>46</v>
      </c>
      <c r="AN83" s="45" t="s">
        <v>46</v>
      </c>
      <c r="AO83" s="45" t="s">
        <v>46</v>
      </c>
      <c r="AP83" s="45" t="s">
        <v>46</v>
      </c>
      <c r="AQ83" s="45" t="s">
        <v>46</v>
      </c>
      <c r="AR83" s="45" t="s">
        <v>46</v>
      </c>
      <c r="AS83" s="45" t="s">
        <v>46</v>
      </c>
      <c r="AT83" s="45"/>
      <c r="AU83" s="45"/>
      <c r="AV83" s="45"/>
      <c r="AW83" s="9" t="s">
        <v>461</v>
      </c>
      <c r="AX83" s="9" t="s">
        <v>461</v>
      </c>
      <c r="AY83" s="9" t="s">
        <v>461</v>
      </c>
      <c r="AZ83" s="9" t="s">
        <v>461</v>
      </c>
      <c r="BA83" s="10" t="s">
        <v>100</v>
      </c>
      <c r="BB83" s="29" t="s">
        <v>2513</v>
      </c>
      <c r="BC83" s="29" t="s">
        <v>1611</v>
      </c>
      <c r="BD83" s="29" t="s">
        <v>1611</v>
      </c>
      <c r="BE83" s="29" t="s">
        <v>2514</v>
      </c>
      <c r="BF83" s="29" t="s">
        <v>2515</v>
      </c>
      <c r="BG83" s="29" t="s">
        <v>2660</v>
      </c>
      <c r="BH83" s="29" t="s">
        <v>2661</v>
      </c>
      <c r="BI83" s="29" t="s">
        <v>2666</v>
      </c>
      <c r="BJ83" s="29" t="s">
        <v>2667</v>
      </c>
      <c r="BK83" s="29" t="s">
        <v>2518</v>
      </c>
      <c r="BL83" s="29" t="s">
        <v>2519</v>
      </c>
      <c r="BM83" s="29" t="s">
        <v>1611</v>
      </c>
      <c r="BN83" s="29" t="s">
        <v>1611</v>
      </c>
      <c r="BO83" s="29" t="s">
        <v>1611</v>
      </c>
      <c r="BP83" s="29" t="s">
        <v>1611</v>
      </c>
      <c r="BQ83" s="29" t="s">
        <v>1611</v>
      </c>
      <c r="BR83" s="29" t="s">
        <v>1611</v>
      </c>
      <c r="BS83" s="29" t="s">
        <v>1611</v>
      </c>
      <c r="BT83" s="29" t="s">
        <v>1611</v>
      </c>
      <c r="BU83" s="29" t="s">
        <v>2691</v>
      </c>
      <c r="BV83" s="29" t="s">
        <v>2692</v>
      </c>
      <c r="BW83" s="29" t="s">
        <v>2384</v>
      </c>
      <c r="BX83" s="29" t="s">
        <v>2431</v>
      </c>
      <c r="BY83" s="29" t="s">
        <v>1611</v>
      </c>
      <c r="BZ83" s="29" t="s">
        <v>1611</v>
      </c>
      <c r="CA83" s="29" t="s">
        <v>1611</v>
      </c>
      <c r="CB83" s="29" t="s">
        <v>1611</v>
      </c>
      <c r="CC83" s="29" t="s">
        <v>1611</v>
      </c>
      <c r="CD83" s="29" t="s">
        <v>1611</v>
      </c>
      <c r="CE83" s="29" t="s">
        <v>1611</v>
      </c>
      <c r="CF83" s="29" t="s">
        <v>1611</v>
      </c>
      <c r="CG83" s="29" t="s">
        <v>1735</v>
      </c>
      <c r="CH83" s="29" t="s">
        <v>1847</v>
      </c>
      <c r="CI83" s="29" t="s">
        <v>1611</v>
      </c>
      <c r="CJ83" s="29" t="s">
        <v>1611</v>
      </c>
      <c r="CK83" s="29" t="s">
        <v>2813</v>
      </c>
      <c r="CL83" s="29" t="s">
        <v>2814</v>
      </c>
      <c r="CM83" s="29" t="s">
        <v>2815</v>
      </c>
      <c r="CN83" s="29" t="s">
        <v>2816</v>
      </c>
      <c r="CO83" s="29" t="s">
        <v>1611</v>
      </c>
      <c r="CP83" s="29" t="s">
        <v>1611</v>
      </c>
      <c r="CQ83" s="29" t="s">
        <v>1611</v>
      </c>
      <c r="CR83" s="29" t="s">
        <v>1611</v>
      </c>
      <c r="CS83" s="29" t="s">
        <v>1611</v>
      </c>
      <c r="CT83" s="29" t="s">
        <v>1611</v>
      </c>
      <c r="CU83" s="29" t="s">
        <v>1611</v>
      </c>
      <c r="CV83" s="29" t="s">
        <v>1611</v>
      </c>
      <c r="CW83" s="29"/>
      <c r="CX83" s="29"/>
      <c r="CY83" s="151"/>
      <c r="CZ83" t="s">
        <v>3277</v>
      </c>
      <c r="DA83" t="s">
        <v>3634</v>
      </c>
      <c r="DD83" s="96" t="str">
        <f t="shared" si="1"/>
        <v/>
      </c>
      <c r="DF83" s="96" t="s">
        <v>3753</v>
      </c>
    </row>
    <row r="84" spans="1:110" ht="16.5" customHeight="1" x14ac:dyDescent="0.3">
      <c r="C84" s="105">
        <v>1707140</v>
      </c>
      <c r="D84" s="27">
        <v>78</v>
      </c>
      <c r="E84" s="28" t="s">
        <v>822</v>
      </c>
      <c r="F84" s="28">
        <v>1000953430</v>
      </c>
      <c r="G84" s="29" t="s">
        <v>931</v>
      </c>
      <c r="H84" s="28">
        <v>1707140</v>
      </c>
      <c r="I84" s="29" t="s">
        <v>932</v>
      </c>
      <c r="J84" s="28" t="s">
        <v>659</v>
      </c>
      <c r="K84" s="7"/>
      <c r="L84" s="104" t="s">
        <v>702</v>
      </c>
      <c r="M84" s="29"/>
      <c r="N84" s="29"/>
      <c r="O84" s="127"/>
      <c r="P84" s="28"/>
      <c r="Q84" s="28"/>
      <c r="R84" s="28"/>
      <c r="S84" s="28"/>
      <c r="T84" s="28"/>
      <c r="U84" s="28"/>
      <c r="V84" s="28"/>
      <c r="W84" s="28"/>
      <c r="X84" s="28"/>
      <c r="Y84" s="28"/>
      <c r="Z84" s="28"/>
      <c r="AA84" s="28"/>
      <c r="AB84" s="104"/>
      <c r="AC84" s="104"/>
      <c r="AD84" s="9" t="s">
        <v>1269</v>
      </c>
      <c r="AE84" s="39">
        <v>46058</v>
      </c>
      <c r="AF84" s="9" t="s">
        <v>1276</v>
      </c>
      <c r="AG84" s="34" t="s">
        <v>3704</v>
      </c>
      <c r="AH84" s="9"/>
      <c r="AI84" s="9" t="s">
        <v>2491</v>
      </c>
      <c r="AJ84" s="9"/>
      <c r="AK84" s="45"/>
      <c r="AL84" s="9" t="s">
        <v>2491</v>
      </c>
      <c r="AM84" s="45"/>
      <c r="AN84" s="45"/>
      <c r="AO84" s="45"/>
      <c r="AP84" s="45"/>
      <c r="AQ84" s="45"/>
      <c r="AR84" s="45"/>
      <c r="AS84" s="45"/>
      <c r="AT84" s="45"/>
      <c r="AU84" s="45"/>
      <c r="AV84" s="45"/>
      <c r="AW84" s="9"/>
      <c r="AX84" s="9"/>
      <c r="AY84" s="9"/>
      <c r="AZ84" s="9"/>
      <c r="BA84" s="10" t="s">
        <v>79</v>
      </c>
      <c r="BB84" s="29" t="s">
        <v>2612</v>
      </c>
      <c r="BC84" s="29" t="s">
        <v>1611</v>
      </c>
      <c r="BD84" s="29" t="s">
        <v>1611</v>
      </c>
      <c r="BE84" s="29" t="s">
        <v>1611</v>
      </c>
      <c r="BF84" s="29" t="s">
        <v>1611</v>
      </c>
      <c r="BG84" s="29" t="s">
        <v>2569</v>
      </c>
      <c r="BH84" s="29" t="s">
        <v>2570</v>
      </c>
      <c r="BI84" s="29" t="s">
        <v>584</v>
      </c>
      <c r="BJ84" s="29" t="s">
        <v>2711</v>
      </c>
      <c r="BK84" s="29" t="s">
        <v>3695</v>
      </c>
      <c r="BL84" s="29" t="s">
        <v>2787</v>
      </c>
      <c r="BM84" s="29" t="s">
        <v>1611</v>
      </c>
      <c r="BN84" s="29" t="s">
        <v>1611</v>
      </c>
      <c r="BO84" s="29" t="s">
        <v>1611</v>
      </c>
      <c r="BP84" s="29" t="s">
        <v>1611</v>
      </c>
      <c r="BQ84" s="29" t="s">
        <v>1611</v>
      </c>
      <c r="BR84" s="29" t="s">
        <v>1611</v>
      </c>
      <c r="BS84" s="29" t="s">
        <v>1611</v>
      </c>
      <c r="BT84" s="29" t="s">
        <v>1611</v>
      </c>
      <c r="BU84" s="29" t="s">
        <v>2366</v>
      </c>
      <c r="BV84" s="29" t="s">
        <v>2409</v>
      </c>
      <c r="BW84" s="29" t="s">
        <v>1611</v>
      </c>
      <c r="BX84" s="29" t="s">
        <v>1611</v>
      </c>
      <c r="BY84" s="29" t="s">
        <v>1611</v>
      </c>
      <c r="BZ84" s="29" t="s">
        <v>1611</v>
      </c>
      <c r="CA84" s="29" t="s">
        <v>1611</v>
      </c>
      <c r="CB84" s="29" t="s">
        <v>1611</v>
      </c>
      <c r="CC84" s="29" t="s">
        <v>1611</v>
      </c>
      <c r="CD84" s="29" t="s">
        <v>1611</v>
      </c>
      <c r="CE84" s="29" t="s">
        <v>1611</v>
      </c>
      <c r="CF84" s="29" t="s">
        <v>1611</v>
      </c>
      <c r="CG84" s="29" t="s">
        <v>1649</v>
      </c>
      <c r="CH84" s="29" t="s">
        <v>1848</v>
      </c>
      <c r="CI84" s="29" t="s">
        <v>1611</v>
      </c>
      <c r="CJ84" s="29" t="s">
        <v>1611</v>
      </c>
      <c r="CK84" s="29" t="s">
        <v>1611</v>
      </c>
      <c r="CL84" s="29" t="s">
        <v>1611</v>
      </c>
      <c r="CM84" s="29" t="s">
        <v>1611</v>
      </c>
      <c r="CN84" s="29" t="s">
        <v>1611</v>
      </c>
      <c r="CO84" s="29" t="s">
        <v>1611</v>
      </c>
      <c r="CP84" s="29" t="s">
        <v>1611</v>
      </c>
      <c r="CQ84" s="29" t="s">
        <v>1611</v>
      </c>
      <c r="CR84" s="29" t="s">
        <v>1611</v>
      </c>
      <c r="CS84" s="29" t="s">
        <v>1611</v>
      </c>
      <c r="CT84" s="29" t="s">
        <v>1611</v>
      </c>
      <c r="CU84" s="29" t="s">
        <v>1611</v>
      </c>
      <c r="CV84" s="29" t="s">
        <v>1611</v>
      </c>
      <c r="CW84" s="29"/>
      <c r="CX84" s="29"/>
      <c r="CY84" s="151"/>
      <c r="CZ84" t="s">
        <v>3605</v>
      </c>
      <c r="DA84" t="s">
        <v>3587</v>
      </c>
      <c r="DC84" s="96" t="s">
        <v>3700</v>
      </c>
      <c r="DD84" s="96" t="str">
        <f t="shared" si="1"/>
        <v>V</v>
      </c>
    </row>
    <row r="85" spans="1:110" ht="16.5" customHeight="1" x14ac:dyDescent="0.3">
      <c r="C85" s="105">
        <v>1658486</v>
      </c>
      <c r="D85" s="27">
        <v>79</v>
      </c>
      <c r="E85" s="28" t="s">
        <v>822</v>
      </c>
      <c r="F85" s="28">
        <v>1000326117</v>
      </c>
      <c r="G85" s="29" t="s">
        <v>934</v>
      </c>
      <c r="H85" s="28">
        <v>1658486</v>
      </c>
      <c r="I85" s="29" t="s">
        <v>935</v>
      </c>
      <c r="J85" s="28" t="s">
        <v>429</v>
      </c>
      <c r="K85" s="7"/>
      <c r="L85" s="104" t="s">
        <v>34</v>
      </c>
      <c r="M85" s="29"/>
      <c r="N85" s="29"/>
      <c r="O85" s="127"/>
      <c r="P85" s="28"/>
      <c r="Q85" s="28"/>
      <c r="R85" s="28"/>
      <c r="S85" s="28"/>
      <c r="T85" s="28"/>
      <c r="U85" s="28"/>
      <c r="V85" s="28"/>
      <c r="W85" s="28"/>
      <c r="X85" s="28"/>
      <c r="Y85" s="28"/>
      <c r="Z85" s="28"/>
      <c r="AA85" s="28"/>
      <c r="AB85" s="104"/>
      <c r="AC85" s="104"/>
      <c r="AD85" s="9" t="s">
        <v>1269</v>
      </c>
      <c r="AE85" s="39">
        <v>45995</v>
      </c>
      <c r="AF85" s="9" t="s">
        <v>1276</v>
      </c>
      <c r="AG85" s="108" t="s">
        <v>3651</v>
      </c>
      <c r="AH85" s="9"/>
      <c r="AI85" s="9"/>
      <c r="AJ85" s="9"/>
      <c r="AK85" s="45"/>
      <c r="AL85" s="45" t="s">
        <v>2315</v>
      </c>
      <c r="AM85" s="45"/>
      <c r="AN85" s="45"/>
      <c r="AO85" s="45"/>
      <c r="AP85" s="45"/>
      <c r="AQ85" s="45"/>
      <c r="AR85" s="45"/>
      <c r="AS85" s="45"/>
      <c r="AT85" s="45"/>
      <c r="AU85" s="45"/>
      <c r="AV85" s="45"/>
      <c r="AW85" s="9"/>
      <c r="AX85" s="9"/>
      <c r="AY85" s="9"/>
      <c r="AZ85" s="9"/>
      <c r="BA85" s="10" t="s">
        <v>2500</v>
      </c>
      <c r="BB85" s="29" t="s">
        <v>2817</v>
      </c>
      <c r="BC85" s="29" t="s">
        <v>1611</v>
      </c>
      <c r="BD85" s="29" t="s">
        <v>1611</v>
      </c>
      <c r="BE85" s="29" t="s">
        <v>2514</v>
      </c>
      <c r="BF85" s="29" t="s">
        <v>2515</v>
      </c>
      <c r="BG85" s="29" t="s">
        <v>2721</v>
      </c>
      <c r="BH85" s="29" t="s">
        <v>2722</v>
      </c>
      <c r="BI85" s="29" t="s">
        <v>225</v>
      </c>
      <c r="BJ85" s="29" t="s">
        <v>2728</v>
      </c>
      <c r="BK85" s="29" t="s">
        <v>282</v>
      </c>
      <c r="BL85" s="29" t="s">
        <v>2787</v>
      </c>
      <c r="BM85" s="29" t="s">
        <v>1611</v>
      </c>
      <c r="BN85" s="29" t="s">
        <v>1611</v>
      </c>
      <c r="BO85" s="29" t="s">
        <v>1611</v>
      </c>
      <c r="BP85" s="29" t="s">
        <v>1611</v>
      </c>
      <c r="BQ85" s="29" t="s">
        <v>1611</v>
      </c>
      <c r="BR85" s="29" t="s">
        <v>1611</v>
      </c>
      <c r="BS85" s="29" t="s">
        <v>1611</v>
      </c>
      <c r="BT85" s="29" t="s">
        <v>1611</v>
      </c>
      <c r="BU85" s="29" t="s">
        <v>100</v>
      </c>
      <c r="BV85" s="29" t="s">
        <v>2818</v>
      </c>
      <c r="BW85" s="29" t="s">
        <v>1611</v>
      </c>
      <c r="BX85" s="29" t="s">
        <v>1611</v>
      </c>
      <c r="BY85" s="29" t="s">
        <v>1611</v>
      </c>
      <c r="BZ85" s="29" t="s">
        <v>1611</v>
      </c>
      <c r="CA85" s="29" t="s">
        <v>1611</v>
      </c>
      <c r="CB85" s="29" t="s">
        <v>1611</v>
      </c>
      <c r="CC85" s="29" t="s">
        <v>1611</v>
      </c>
      <c r="CD85" s="29" t="s">
        <v>1611</v>
      </c>
      <c r="CE85" s="29" t="s">
        <v>1611</v>
      </c>
      <c r="CF85" s="29" t="s">
        <v>1611</v>
      </c>
      <c r="CG85" s="29" t="s">
        <v>1736</v>
      </c>
      <c r="CH85" s="29" t="s">
        <v>1849</v>
      </c>
      <c r="CI85" s="29" t="s">
        <v>1611</v>
      </c>
      <c r="CJ85" s="29" t="s">
        <v>1611</v>
      </c>
      <c r="CK85" s="29" t="s">
        <v>1611</v>
      </c>
      <c r="CL85" s="29" t="s">
        <v>1611</v>
      </c>
      <c r="CM85" s="29" t="s">
        <v>1611</v>
      </c>
      <c r="CN85" s="29" t="s">
        <v>1611</v>
      </c>
      <c r="CO85" s="29" t="s">
        <v>1611</v>
      </c>
      <c r="CP85" s="29" t="s">
        <v>1611</v>
      </c>
      <c r="CQ85" s="29" t="s">
        <v>1611</v>
      </c>
      <c r="CR85" s="29" t="s">
        <v>1611</v>
      </c>
      <c r="CS85" s="29" t="s">
        <v>1611</v>
      </c>
      <c r="CT85" s="29" t="s">
        <v>1611</v>
      </c>
      <c r="CU85" s="29" t="s">
        <v>1611</v>
      </c>
      <c r="CV85" s="29" t="s">
        <v>1611</v>
      </c>
      <c r="CW85" s="29"/>
      <c r="CX85" s="29"/>
      <c r="CY85" s="151"/>
      <c r="CZ85" t="s">
        <v>3743</v>
      </c>
      <c r="DA85" t="s">
        <v>3724</v>
      </c>
      <c r="DD85" s="96" t="str">
        <f t="shared" si="1"/>
        <v>V</v>
      </c>
    </row>
    <row r="86" spans="1:110" ht="16.5" customHeight="1" x14ac:dyDescent="0.3">
      <c r="A86" t="s">
        <v>3893</v>
      </c>
      <c r="B86" t="s">
        <v>3778</v>
      </c>
      <c r="C86" s="105">
        <v>1670502</v>
      </c>
      <c r="D86" s="27">
        <v>80</v>
      </c>
      <c r="E86" s="28" t="s">
        <v>656</v>
      </c>
      <c r="F86" s="28">
        <v>1001438239</v>
      </c>
      <c r="G86" s="29" t="s">
        <v>2330</v>
      </c>
      <c r="H86" s="28">
        <v>1670502</v>
      </c>
      <c r="I86" s="29" t="s">
        <v>937</v>
      </c>
      <c r="J86" s="28" t="s">
        <v>429</v>
      </c>
      <c r="K86" s="7"/>
      <c r="L86" s="104" t="s">
        <v>701</v>
      </c>
      <c r="M86" s="29" t="s">
        <v>2357</v>
      </c>
      <c r="N86" s="29" t="s">
        <v>2352</v>
      </c>
      <c r="O86" s="127">
        <v>8973476</v>
      </c>
      <c r="P86" s="113" t="s">
        <v>1624</v>
      </c>
      <c r="Q86" s="28" t="s">
        <v>612</v>
      </c>
      <c r="R86" s="28" t="s">
        <v>1301</v>
      </c>
      <c r="S86" s="28" t="s">
        <v>1301</v>
      </c>
      <c r="T86" s="28" t="s">
        <v>1301</v>
      </c>
      <c r="U86" s="28" t="s">
        <v>1301</v>
      </c>
      <c r="V86" s="28" t="s">
        <v>1301</v>
      </c>
      <c r="W86" s="28" t="s">
        <v>1301</v>
      </c>
      <c r="X86" s="28" t="s">
        <v>1301</v>
      </c>
      <c r="Y86" s="28" t="s">
        <v>1301</v>
      </c>
      <c r="Z86" s="28" t="s">
        <v>1301</v>
      </c>
      <c r="AA86" s="28" t="s">
        <v>1301</v>
      </c>
      <c r="AB86" s="104" t="s">
        <v>2353</v>
      </c>
      <c r="AC86" s="104" t="s">
        <v>1340</v>
      </c>
      <c r="AD86" s="9" t="s">
        <v>1269</v>
      </c>
      <c r="AE86" s="9"/>
      <c r="AF86" s="9"/>
      <c r="AG86" s="34"/>
      <c r="AH86" s="9"/>
      <c r="AI86" s="9"/>
      <c r="AJ86" s="9"/>
      <c r="AK86" s="45"/>
      <c r="AL86" s="45" t="s">
        <v>2278</v>
      </c>
      <c r="AM86" s="45" t="s">
        <v>46</v>
      </c>
      <c r="AN86" s="45" t="s">
        <v>46</v>
      </c>
      <c r="AO86" s="45" t="s">
        <v>46</v>
      </c>
      <c r="AP86" s="45" t="s">
        <v>46</v>
      </c>
      <c r="AQ86" s="45" t="s">
        <v>46</v>
      </c>
      <c r="AR86" s="45" t="s">
        <v>46</v>
      </c>
      <c r="AS86" s="45"/>
      <c r="AT86" s="45"/>
      <c r="AU86" s="45"/>
      <c r="AV86" s="45"/>
      <c r="AW86" s="45" t="s">
        <v>461</v>
      </c>
      <c r="AX86" s="45" t="s">
        <v>461</v>
      </c>
      <c r="AY86" s="45" t="s">
        <v>461</v>
      </c>
      <c r="AZ86" s="45" t="s">
        <v>461</v>
      </c>
      <c r="BA86" s="10" t="s">
        <v>173</v>
      </c>
      <c r="BB86" s="29" t="s">
        <v>2717</v>
      </c>
      <c r="BC86" s="29" t="s">
        <v>1611</v>
      </c>
      <c r="BD86" s="29" t="s">
        <v>1611</v>
      </c>
      <c r="BE86" s="29" t="s">
        <v>2502</v>
      </c>
      <c r="BF86" s="29" t="s">
        <v>2503</v>
      </c>
      <c r="BG86" s="29" t="s">
        <v>2721</v>
      </c>
      <c r="BH86" s="29" t="s">
        <v>2722</v>
      </c>
      <c r="BI86" s="29" t="s">
        <v>2666</v>
      </c>
      <c r="BJ86" s="29" t="s">
        <v>2667</v>
      </c>
      <c r="BK86" s="29" t="s">
        <v>356</v>
      </c>
      <c r="BL86" s="29" t="s">
        <v>2552</v>
      </c>
      <c r="BM86" s="29" t="s">
        <v>1611</v>
      </c>
      <c r="BN86" s="29" t="s">
        <v>1611</v>
      </c>
      <c r="BO86" s="29" t="s">
        <v>1611</v>
      </c>
      <c r="BP86" s="29" t="s">
        <v>1611</v>
      </c>
      <c r="BQ86" s="29" t="s">
        <v>1611</v>
      </c>
      <c r="BR86" s="29" t="s">
        <v>1611</v>
      </c>
      <c r="BS86" s="29" t="s">
        <v>1611</v>
      </c>
      <c r="BT86" s="29" t="s">
        <v>1611</v>
      </c>
      <c r="BU86" s="29" t="s">
        <v>2691</v>
      </c>
      <c r="BV86" s="29" t="s">
        <v>2692</v>
      </c>
      <c r="BW86" s="29" t="s">
        <v>1611</v>
      </c>
      <c r="BX86" s="29" t="s">
        <v>1611</v>
      </c>
      <c r="BY86" s="29" t="s">
        <v>1611</v>
      </c>
      <c r="BZ86" s="29" t="s">
        <v>1611</v>
      </c>
      <c r="CA86" s="29" t="s">
        <v>1611</v>
      </c>
      <c r="CB86" s="29" t="s">
        <v>1611</v>
      </c>
      <c r="CC86" s="29" t="s">
        <v>1611</v>
      </c>
      <c r="CD86" s="29" t="s">
        <v>1611</v>
      </c>
      <c r="CE86" s="29" t="s">
        <v>1611</v>
      </c>
      <c r="CF86" s="29" t="s">
        <v>1611</v>
      </c>
      <c r="CG86" s="29" t="s">
        <v>1737</v>
      </c>
      <c r="CH86" s="29" t="s">
        <v>1850</v>
      </c>
      <c r="CI86" s="29" t="s">
        <v>1611</v>
      </c>
      <c r="CJ86" s="29" t="s">
        <v>1611</v>
      </c>
      <c r="CK86" s="29" t="s">
        <v>2819</v>
      </c>
      <c r="CL86" s="29" t="s">
        <v>2820</v>
      </c>
      <c r="CM86" s="29" t="s">
        <v>2821</v>
      </c>
      <c r="CN86" s="29" t="s">
        <v>2822</v>
      </c>
      <c r="CO86" s="29" t="s">
        <v>1611</v>
      </c>
      <c r="CP86" s="29" t="s">
        <v>1611</v>
      </c>
      <c r="CQ86" s="29" t="s">
        <v>1611</v>
      </c>
      <c r="CR86" s="29" t="s">
        <v>1611</v>
      </c>
      <c r="CS86" s="29" t="s">
        <v>1611</v>
      </c>
      <c r="CT86" s="29" t="s">
        <v>1611</v>
      </c>
      <c r="CU86" s="29" t="s">
        <v>1611</v>
      </c>
      <c r="CV86" s="29" t="s">
        <v>1611</v>
      </c>
      <c r="CW86" s="29"/>
      <c r="CX86" s="29"/>
      <c r="CY86" s="151"/>
      <c r="CZ86" t="s">
        <v>3278</v>
      </c>
      <c r="DA86" t="s">
        <v>3634</v>
      </c>
      <c r="DD86" s="96" t="str">
        <f t="shared" si="1"/>
        <v/>
      </c>
      <c r="DF86" s="96" t="s">
        <v>3753</v>
      </c>
    </row>
    <row r="87" spans="1:110" ht="16.5" customHeight="1" x14ac:dyDescent="0.3">
      <c r="C87" s="105">
        <v>1683651</v>
      </c>
      <c r="D87" s="27">
        <v>81</v>
      </c>
      <c r="E87" s="28" t="s">
        <v>656</v>
      </c>
      <c r="F87" s="28">
        <v>1000704681</v>
      </c>
      <c r="G87" s="29" t="s">
        <v>939</v>
      </c>
      <c r="H87" s="28">
        <v>1683651</v>
      </c>
      <c r="I87" s="29" t="s">
        <v>940</v>
      </c>
      <c r="J87" s="28" t="s">
        <v>659</v>
      </c>
      <c r="K87" s="7"/>
      <c r="L87" s="104" t="s">
        <v>703</v>
      </c>
      <c r="M87" s="29"/>
      <c r="N87" s="29"/>
      <c r="O87" s="127"/>
      <c r="P87" s="28"/>
      <c r="Q87" s="28"/>
      <c r="R87" s="28"/>
      <c r="S87" s="28"/>
      <c r="T87" s="28"/>
      <c r="U87" s="28"/>
      <c r="V87" s="28"/>
      <c r="W87" s="28"/>
      <c r="X87" s="28"/>
      <c r="Y87" s="28"/>
      <c r="Z87" s="28"/>
      <c r="AA87" s="28"/>
      <c r="AB87" s="104"/>
      <c r="AC87" s="28"/>
      <c r="AD87" s="9" t="s">
        <v>1269</v>
      </c>
      <c r="AE87" s="39">
        <v>45873</v>
      </c>
      <c r="AF87" s="9" t="s">
        <v>1276</v>
      </c>
      <c r="AG87" s="34" t="s">
        <v>1316</v>
      </c>
      <c r="AH87" s="9"/>
      <c r="AI87" s="9"/>
      <c r="AJ87" s="9"/>
      <c r="AK87" s="45"/>
      <c r="AL87" s="45" t="s">
        <v>1611</v>
      </c>
      <c r="AM87" s="45"/>
      <c r="AN87" s="45"/>
      <c r="AO87" s="45"/>
      <c r="AP87" s="45"/>
      <c r="AQ87" s="45"/>
      <c r="AR87" s="45"/>
      <c r="AS87" s="45"/>
      <c r="AT87" s="45"/>
      <c r="AU87" s="45"/>
      <c r="AV87" s="45"/>
      <c r="AW87" s="9"/>
      <c r="AX87" s="9"/>
      <c r="AY87" s="9"/>
      <c r="AZ87" s="9"/>
      <c r="BA87" s="10" t="s">
        <v>184</v>
      </c>
      <c r="BB87" s="29" t="s">
        <v>2568</v>
      </c>
      <c r="BC87" s="29" t="s">
        <v>1611</v>
      </c>
      <c r="BD87" s="29" t="s">
        <v>1611</v>
      </c>
      <c r="BE87" s="29" t="s">
        <v>1611</v>
      </c>
      <c r="BF87" s="29" t="s">
        <v>1611</v>
      </c>
      <c r="BG87" s="29" t="s">
        <v>2569</v>
      </c>
      <c r="BH87" s="29" t="s">
        <v>2570</v>
      </c>
      <c r="BI87" s="29" t="s">
        <v>71</v>
      </c>
      <c r="BJ87" s="29" t="s">
        <v>2823</v>
      </c>
      <c r="BK87" s="29" t="s">
        <v>94</v>
      </c>
      <c r="BL87" s="29" t="s">
        <v>2630</v>
      </c>
      <c r="BM87" s="29" t="s">
        <v>1611</v>
      </c>
      <c r="BN87" s="29" t="s">
        <v>1611</v>
      </c>
      <c r="BO87" s="29" t="s">
        <v>1611</v>
      </c>
      <c r="BP87" s="29" t="s">
        <v>1611</v>
      </c>
      <c r="BQ87" s="29" t="s">
        <v>1611</v>
      </c>
      <c r="BR87" s="29" t="s">
        <v>1611</v>
      </c>
      <c r="BS87" s="29" t="s">
        <v>1611</v>
      </c>
      <c r="BT87" s="29" t="s">
        <v>1611</v>
      </c>
      <c r="BU87" s="29" t="s">
        <v>2824</v>
      </c>
      <c r="BV87" s="29" t="s">
        <v>2825</v>
      </c>
      <c r="BW87" s="29" t="s">
        <v>1611</v>
      </c>
      <c r="BX87" s="29" t="s">
        <v>1611</v>
      </c>
      <c r="BY87" s="29" t="s">
        <v>1611</v>
      </c>
      <c r="BZ87" s="29" t="s">
        <v>1611</v>
      </c>
      <c r="CA87" s="29" t="s">
        <v>1611</v>
      </c>
      <c r="CB87" s="29" t="s">
        <v>1611</v>
      </c>
      <c r="CC87" s="29" t="s">
        <v>1611</v>
      </c>
      <c r="CD87" s="29" t="s">
        <v>1611</v>
      </c>
      <c r="CE87" s="29" t="s">
        <v>1611</v>
      </c>
      <c r="CF87" s="29" t="s">
        <v>1611</v>
      </c>
      <c r="CG87" s="29" t="s">
        <v>2826</v>
      </c>
      <c r="CH87" s="29" t="s">
        <v>2827</v>
      </c>
      <c r="CI87" s="29" t="s">
        <v>1611</v>
      </c>
      <c r="CJ87" s="29" t="s">
        <v>1611</v>
      </c>
      <c r="CK87" s="29" t="s">
        <v>1611</v>
      </c>
      <c r="CL87" s="29" t="s">
        <v>1611</v>
      </c>
      <c r="CM87" s="29" t="s">
        <v>1611</v>
      </c>
      <c r="CN87" s="29" t="s">
        <v>1611</v>
      </c>
      <c r="CO87" s="29" t="s">
        <v>1611</v>
      </c>
      <c r="CP87" s="29" t="s">
        <v>1611</v>
      </c>
      <c r="CQ87" s="29" t="s">
        <v>1611</v>
      </c>
      <c r="CR87" s="29" t="s">
        <v>1611</v>
      </c>
      <c r="CS87" s="29" t="s">
        <v>1611</v>
      </c>
      <c r="CT87" s="29" t="s">
        <v>1611</v>
      </c>
      <c r="CU87" s="29" t="s">
        <v>1611</v>
      </c>
      <c r="CV87" s="29" t="s">
        <v>1611</v>
      </c>
      <c r="CW87" s="29"/>
      <c r="CX87" s="29"/>
      <c r="CY87" s="151"/>
      <c r="CZ87" t="e">
        <v>#N/A</v>
      </c>
      <c r="DA87" t="e">
        <v>#N/A</v>
      </c>
      <c r="DD87" s="96" t="str">
        <f t="shared" si="1"/>
        <v>V</v>
      </c>
    </row>
    <row r="88" spans="1:110" ht="16.5" customHeight="1" x14ac:dyDescent="0.3">
      <c r="C88" s="105">
        <v>1679121</v>
      </c>
      <c r="D88" s="27">
        <v>82</v>
      </c>
      <c r="E88" s="28" t="s">
        <v>808</v>
      </c>
      <c r="F88" s="28">
        <v>1000317012</v>
      </c>
      <c r="G88" s="29" t="s">
        <v>941</v>
      </c>
      <c r="H88" s="28">
        <v>1679121</v>
      </c>
      <c r="I88" s="29" t="s">
        <v>942</v>
      </c>
      <c r="J88" s="28" t="s">
        <v>659</v>
      </c>
      <c r="K88" s="7"/>
      <c r="L88" s="104" t="s">
        <v>704</v>
      </c>
      <c r="M88" s="29" t="s">
        <v>1599</v>
      </c>
      <c r="N88" s="29"/>
      <c r="O88" s="127">
        <v>8090609</v>
      </c>
      <c r="P88" s="113" t="s">
        <v>1600</v>
      </c>
      <c r="Q88" s="28" t="s">
        <v>1601</v>
      </c>
      <c r="R88" s="28" t="s">
        <v>1602</v>
      </c>
      <c r="S88" s="28" t="s">
        <v>1602</v>
      </c>
      <c r="T88" s="28" t="s">
        <v>1603</v>
      </c>
      <c r="U88" s="28" t="s">
        <v>1601</v>
      </c>
      <c r="V88" s="28" t="s">
        <v>1602</v>
      </c>
      <c r="W88" s="28" t="s">
        <v>1602</v>
      </c>
      <c r="X88" s="28" t="s">
        <v>1602</v>
      </c>
      <c r="Y88" s="28" t="s">
        <v>1602</v>
      </c>
      <c r="Z88" s="28" t="s">
        <v>1301</v>
      </c>
      <c r="AA88" s="28" t="s">
        <v>1301</v>
      </c>
      <c r="AB88" s="104" t="s">
        <v>1306</v>
      </c>
      <c r="AC88" s="104" t="s">
        <v>1307</v>
      </c>
      <c r="AD88" s="9" t="s">
        <v>1269</v>
      </c>
      <c r="AE88" s="9"/>
      <c r="AF88" s="9"/>
      <c r="AG88" s="34"/>
      <c r="AH88" s="45"/>
      <c r="AI88" s="45" t="s">
        <v>1303</v>
      </c>
      <c r="AJ88" s="9"/>
      <c r="AK88" s="45"/>
      <c r="AL88" s="45" t="s">
        <v>461</v>
      </c>
      <c r="AM88" s="45" t="s">
        <v>1303</v>
      </c>
      <c r="AN88" s="45" t="s">
        <v>1303</v>
      </c>
      <c r="AO88" s="45" t="s">
        <v>46</v>
      </c>
      <c r="AP88" s="45" t="s">
        <v>46</v>
      </c>
      <c r="AQ88" s="45" t="s">
        <v>46</v>
      </c>
      <c r="AR88" s="45" t="s">
        <v>46</v>
      </c>
      <c r="AS88" s="45" t="s">
        <v>461</v>
      </c>
      <c r="AT88" s="45"/>
      <c r="AU88" s="45"/>
      <c r="AV88" s="45"/>
      <c r="AW88" s="45" t="s">
        <v>461</v>
      </c>
      <c r="AX88" s="45" t="s">
        <v>461</v>
      </c>
      <c r="AY88" s="45" t="s">
        <v>461</v>
      </c>
      <c r="AZ88" s="9" t="s">
        <v>461</v>
      </c>
      <c r="BA88" s="10" t="s">
        <v>1611</v>
      </c>
      <c r="BB88" s="29" t="s">
        <v>1611</v>
      </c>
      <c r="BC88" s="29" t="s">
        <v>1611</v>
      </c>
      <c r="BD88" s="29" t="s">
        <v>1611</v>
      </c>
      <c r="BE88" s="29" t="s">
        <v>1611</v>
      </c>
      <c r="BF88" s="29" t="s">
        <v>1611</v>
      </c>
      <c r="BG88" s="29" t="s">
        <v>1611</v>
      </c>
      <c r="BH88" s="29" t="s">
        <v>1611</v>
      </c>
      <c r="BI88" s="29" t="s">
        <v>2754</v>
      </c>
      <c r="BJ88" s="29" t="s">
        <v>2755</v>
      </c>
      <c r="BK88" s="29" t="s">
        <v>2828</v>
      </c>
      <c r="BL88" s="29" t="s">
        <v>2829</v>
      </c>
      <c r="BM88" s="29" t="s">
        <v>1611</v>
      </c>
      <c r="BN88" s="29" t="s">
        <v>1611</v>
      </c>
      <c r="BO88" s="29" t="s">
        <v>1611</v>
      </c>
      <c r="BP88" s="29" t="s">
        <v>1611</v>
      </c>
      <c r="BQ88" s="29" t="s">
        <v>1611</v>
      </c>
      <c r="BR88" s="29" t="s">
        <v>1611</v>
      </c>
      <c r="BS88" s="29" t="s">
        <v>1611</v>
      </c>
      <c r="BT88" s="29" t="s">
        <v>1611</v>
      </c>
      <c r="BU88" s="29" t="s">
        <v>2830</v>
      </c>
      <c r="BV88" s="29" t="s">
        <v>2831</v>
      </c>
      <c r="BW88" s="29" t="s">
        <v>1611</v>
      </c>
      <c r="BX88" s="29" t="s">
        <v>1611</v>
      </c>
      <c r="BY88" s="29" t="s">
        <v>1611</v>
      </c>
      <c r="BZ88" s="29" t="s">
        <v>1611</v>
      </c>
      <c r="CA88" s="29" t="s">
        <v>1611</v>
      </c>
      <c r="CB88" s="29" t="s">
        <v>1611</v>
      </c>
      <c r="CC88" s="29" t="s">
        <v>1611</v>
      </c>
      <c r="CD88" s="29" t="s">
        <v>1611</v>
      </c>
      <c r="CE88" s="29" t="s">
        <v>1611</v>
      </c>
      <c r="CF88" s="29" t="s">
        <v>1611</v>
      </c>
      <c r="CG88" s="29" t="s">
        <v>2832</v>
      </c>
      <c r="CH88" s="29" t="s">
        <v>2833</v>
      </c>
      <c r="CI88" s="29" t="s">
        <v>1611</v>
      </c>
      <c r="CJ88" s="29" t="s">
        <v>1611</v>
      </c>
      <c r="CK88" s="29" t="s">
        <v>2834</v>
      </c>
      <c r="CL88" s="29" t="s">
        <v>2835</v>
      </c>
      <c r="CM88" s="29"/>
      <c r="CN88" s="29"/>
      <c r="CO88" s="29" t="s">
        <v>1611</v>
      </c>
      <c r="CP88" s="29" t="s">
        <v>1611</v>
      </c>
      <c r="CQ88" s="29" t="s">
        <v>1611</v>
      </c>
      <c r="CR88" s="29" t="s">
        <v>1611</v>
      </c>
      <c r="CS88" s="29" t="s">
        <v>1611</v>
      </c>
      <c r="CT88" s="29" t="s">
        <v>1611</v>
      </c>
      <c r="CU88" s="29" t="s">
        <v>1611</v>
      </c>
      <c r="CV88" s="29" t="s">
        <v>1611</v>
      </c>
      <c r="CW88" s="29"/>
      <c r="CX88" s="29"/>
      <c r="CY88" s="151"/>
      <c r="CZ88" t="s">
        <v>2247</v>
      </c>
      <c r="DA88" t="s">
        <v>3634</v>
      </c>
      <c r="DD88" s="96" t="str">
        <f t="shared" si="1"/>
        <v/>
      </c>
      <c r="DF88" s="96" t="s">
        <v>3753</v>
      </c>
    </row>
    <row r="89" spans="1:110" ht="16.5" customHeight="1" x14ac:dyDescent="0.3">
      <c r="C89" s="105">
        <v>1688777</v>
      </c>
      <c r="D89" s="27">
        <v>83</v>
      </c>
      <c r="E89" s="28" t="s">
        <v>829</v>
      </c>
      <c r="F89" s="28">
        <v>1001330099</v>
      </c>
      <c r="G89" s="29" t="s">
        <v>943</v>
      </c>
      <c r="H89" s="28">
        <v>1688777</v>
      </c>
      <c r="I89" s="29" t="s">
        <v>944</v>
      </c>
      <c r="J89" s="28" t="s">
        <v>429</v>
      </c>
      <c r="K89" s="7"/>
      <c r="L89" s="104" t="s">
        <v>62</v>
      </c>
      <c r="M89" s="29" t="s">
        <v>3172</v>
      </c>
      <c r="N89" s="29" t="s">
        <v>3173</v>
      </c>
      <c r="O89" s="127">
        <v>3320172</v>
      </c>
      <c r="P89" s="113" t="s">
        <v>3174</v>
      </c>
      <c r="Q89" s="28" t="s">
        <v>612</v>
      </c>
      <c r="R89" s="28" t="s">
        <v>1301</v>
      </c>
      <c r="S89" s="28" t="s">
        <v>1301</v>
      </c>
      <c r="T89" s="28" t="s">
        <v>1301</v>
      </c>
      <c r="U89" s="28" t="s">
        <v>1301</v>
      </c>
      <c r="V89" s="28" t="s">
        <v>1301</v>
      </c>
      <c r="W89" s="28" t="s">
        <v>1301</v>
      </c>
      <c r="X89" s="28" t="s">
        <v>1301</v>
      </c>
      <c r="Y89" s="28" t="s">
        <v>1301</v>
      </c>
      <c r="Z89" s="28" t="s">
        <v>1301</v>
      </c>
      <c r="AA89" s="28" t="s">
        <v>1301</v>
      </c>
      <c r="AB89" s="104" t="s">
        <v>1306</v>
      </c>
      <c r="AC89" s="104" t="s">
        <v>1307</v>
      </c>
      <c r="AD89" s="9" t="s">
        <v>45</v>
      </c>
      <c r="AE89" s="9"/>
      <c r="AF89" s="9"/>
      <c r="AG89" s="34"/>
      <c r="AH89" s="9"/>
      <c r="AI89" s="9"/>
      <c r="AJ89" s="9"/>
      <c r="AK89" s="45"/>
      <c r="AL89" s="45" t="s">
        <v>461</v>
      </c>
      <c r="AM89" s="45" t="s">
        <v>461</v>
      </c>
      <c r="AN89" s="45" t="s">
        <v>461</v>
      </c>
      <c r="AO89" s="45" t="s">
        <v>461</v>
      </c>
      <c r="AP89" s="45" t="s">
        <v>461</v>
      </c>
      <c r="AQ89" s="45" t="s">
        <v>461</v>
      </c>
      <c r="AR89" s="45" t="s">
        <v>461</v>
      </c>
      <c r="AS89" s="45"/>
      <c r="AT89" s="45"/>
      <c r="AU89" s="45"/>
      <c r="AV89" s="45"/>
      <c r="AW89" s="9"/>
      <c r="AX89" s="9"/>
      <c r="AY89" s="9"/>
      <c r="AZ89" s="9"/>
      <c r="BA89" s="10" t="s">
        <v>173</v>
      </c>
      <c r="BB89" s="29" t="s">
        <v>2717</v>
      </c>
      <c r="BC89" s="29" t="s">
        <v>1611</v>
      </c>
      <c r="BD89" s="29" t="s">
        <v>1611</v>
      </c>
      <c r="BE89" s="29" t="s">
        <v>2502</v>
      </c>
      <c r="BF89" s="29" t="s">
        <v>2503</v>
      </c>
      <c r="BG89" s="29" t="s">
        <v>40</v>
      </c>
      <c r="BH89" s="29" t="s">
        <v>2572</v>
      </c>
      <c r="BI89" s="29" t="s">
        <v>148</v>
      </c>
      <c r="BJ89" s="29" t="s">
        <v>2678</v>
      </c>
      <c r="BK89" s="29" t="s">
        <v>311</v>
      </c>
      <c r="BL89" s="29" t="s">
        <v>2725</v>
      </c>
      <c r="BM89" s="29" t="s">
        <v>1611</v>
      </c>
      <c r="BN89" s="29" t="s">
        <v>1611</v>
      </c>
      <c r="BO89" s="29" t="s">
        <v>1611</v>
      </c>
      <c r="BP89" s="29" t="s">
        <v>1611</v>
      </c>
      <c r="BQ89" s="29" t="s">
        <v>1611</v>
      </c>
      <c r="BR89" s="29" t="s">
        <v>1611</v>
      </c>
      <c r="BS89" s="29" t="s">
        <v>1611</v>
      </c>
      <c r="BT89" s="29" t="s">
        <v>1611</v>
      </c>
      <c r="BU89" s="29" t="s">
        <v>312</v>
      </c>
      <c r="BV89" s="29" t="s">
        <v>2836</v>
      </c>
      <c r="BW89" s="29" t="s">
        <v>1611</v>
      </c>
      <c r="BX89" s="29" t="s">
        <v>1611</v>
      </c>
      <c r="BY89" s="29" t="s">
        <v>1611</v>
      </c>
      <c r="BZ89" s="29" t="s">
        <v>1611</v>
      </c>
      <c r="CA89" s="29" t="s">
        <v>1611</v>
      </c>
      <c r="CB89" s="29" t="s">
        <v>1611</v>
      </c>
      <c r="CC89" s="29" t="s">
        <v>1611</v>
      </c>
      <c r="CD89" s="29" t="s">
        <v>1611</v>
      </c>
      <c r="CE89" s="29" t="s">
        <v>1611</v>
      </c>
      <c r="CF89" s="29" t="s">
        <v>1611</v>
      </c>
      <c r="CG89" s="29" t="s">
        <v>314</v>
      </c>
      <c r="CH89" s="29" t="s">
        <v>2837</v>
      </c>
      <c r="CI89" s="29" t="s">
        <v>1611</v>
      </c>
      <c r="CJ89" s="29" t="s">
        <v>1611</v>
      </c>
      <c r="CK89" s="29" t="s">
        <v>3175</v>
      </c>
      <c r="CL89" s="29" t="s">
        <v>3176</v>
      </c>
      <c r="CM89" s="29" t="s">
        <v>1611</v>
      </c>
      <c r="CN89" s="29" t="s">
        <v>1611</v>
      </c>
      <c r="CO89" s="29" t="s">
        <v>1611</v>
      </c>
      <c r="CP89" s="29" t="s">
        <v>1611</v>
      </c>
      <c r="CQ89" s="29" t="s">
        <v>1611</v>
      </c>
      <c r="CR89" s="29" t="s">
        <v>1611</v>
      </c>
      <c r="CS89" s="29" t="s">
        <v>1611</v>
      </c>
      <c r="CT89" s="29" t="s">
        <v>1611</v>
      </c>
      <c r="CU89" s="29" t="s">
        <v>1611</v>
      </c>
      <c r="CV89" s="29" t="s">
        <v>1611</v>
      </c>
      <c r="CW89" s="29"/>
      <c r="CX89" s="29"/>
      <c r="CY89" s="151"/>
      <c r="CZ89" t="s">
        <v>3279</v>
      </c>
      <c r="DA89" t="s">
        <v>3634</v>
      </c>
      <c r="DD89" s="96" t="str">
        <f t="shared" si="1"/>
        <v/>
      </c>
      <c r="DF89" s="96" t="s">
        <v>3753</v>
      </c>
    </row>
    <row r="90" spans="1:110" ht="16.5" customHeight="1" x14ac:dyDescent="0.3">
      <c r="C90" s="105">
        <v>1685837</v>
      </c>
      <c r="D90" s="27">
        <v>84</v>
      </c>
      <c r="E90" s="28" t="s">
        <v>792</v>
      </c>
      <c r="F90" s="28">
        <v>1001261445</v>
      </c>
      <c r="G90" s="29" t="s">
        <v>945</v>
      </c>
      <c r="H90" s="28">
        <v>1685837</v>
      </c>
      <c r="I90" s="29" t="s">
        <v>946</v>
      </c>
      <c r="J90" s="28" t="s">
        <v>659</v>
      </c>
      <c r="K90" s="7"/>
      <c r="L90" s="104" t="s">
        <v>304</v>
      </c>
      <c r="M90" s="29"/>
      <c r="N90" s="29"/>
      <c r="O90" s="127"/>
      <c r="P90" s="28"/>
      <c r="Q90" s="28"/>
      <c r="R90" s="28"/>
      <c r="S90" s="28"/>
      <c r="T90" s="28"/>
      <c r="U90" s="28"/>
      <c r="V90" s="28"/>
      <c r="W90" s="28"/>
      <c r="X90" s="28"/>
      <c r="Y90" s="28"/>
      <c r="Z90" s="28"/>
      <c r="AA90" s="28"/>
      <c r="AB90" s="104"/>
      <c r="AC90" s="104"/>
      <c r="AD90" s="9" t="s">
        <v>1269</v>
      </c>
      <c r="AE90" s="39">
        <v>46058</v>
      </c>
      <c r="AF90" s="9" t="s">
        <v>1276</v>
      </c>
      <c r="AG90" s="34" t="s">
        <v>3758</v>
      </c>
      <c r="AH90" s="9"/>
      <c r="AI90" s="9"/>
      <c r="AJ90" s="9"/>
      <c r="AK90" s="45"/>
      <c r="AL90" s="45" t="s">
        <v>461</v>
      </c>
      <c r="AM90" s="45"/>
      <c r="AN90" s="45"/>
      <c r="AO90" s="45"/>
      <c r="AP90" s="45"/>
      <c r="AQ90" s="45"/>
      <c r="AR90" s="45"/>
      <c r="AS90" s="45"/>
      <c r="AT90" s="45"/>
      <c r="AU90" s="45"/>
      <c r="AV90" s="45"/>
      <c r="AW90" s="9"/>
      <c r="AX90" s="9"/>
      <c r="AY90" s="9"/>
      <c r="AZ90" s="9"/>
      <c r="BA90" s="10" t="s">
        <v>1611</v>
      </c>
      <c r="BB90" s="29" t="s">
        <v>1611</v>
      </c>
      <c r="BC90" s="29" t="s">
        <v>1611</v>
      </c>
      <c r="BD90" s="29" t="s">
        <v>1611</v>
      </c>
      <c r="BE90" s="29" t="s">
        <v>1611</v>
      </c>
      <c r="BF90" s="29" t="s">
        <v>1611</v>
      </c>
      <c r="BG90" s="29" t="s">
        <v>1611</v>
      </c>
      <c r="BH90" s="29" t="s">
        <v>1611</v>
      </c>
      <c r="BI90" s="29" t="s">
        <v>570</v>
      </c>
      <c r="BJ90" s="29" t="s">
        <v>2696</v>
      </c>
      <c r="BK90" s="29" t="s">
        <v>216</v>
      </c>
      <c r="BL90" s="29" t="s">
        <v>2532</v>
      </c>
      <c r="BM90" s="29" t="s">
        <v>1611</v>
      </c>
      <c r="BN90" s="29" t="s">
        <v>1611</v>
      </c>
      <c r="BO90" s="29" t="s">
        <v>1611</v>
      </c>
      <c r="BP90" s="29" t="s">
        <v>1611</v>
      </c>
      <c r="BQ90" s="29" t="s">
        <v>1611</v>
      </c>
      <c r="BR90" s="29" t="s">
        <v>1611</v>
      </c>
      <c r="BS90" s="29" t="s">
        <v>1611</v>
      </c>
      <c r="BT90" s="29" t="s">
        <v>1611</v>
      </c>
      <c r="BU90" s="29" t="s">
        <v>2533</v>
      </c>
      <c r="BV90" s="29" t="s">
        <v>2534</v>
      </c>
      <c r="BW90" s="29" t="s">
        <v>1611</v>
      </c>
      <c r="BX90" s="29" t="s">
        <v>1611</v>
      </c>
      <c r="BY90" s="29" t="s">
        <v>1611</v>
      </c>
      <c r="BZ90" s="29" t="s">
        <v>1611</v>
      </c>
      <c r="CA90" s="29" t="s">
        <v>1611</v>
      </c>
      <c r="CB90" s="29" t="s">
        <v>1611</v>
      </c>
      <c r="CC90" s="29" t="s">
        <v>1611</v>
      </c>
      <c r="CD90" s="29" t="s">
        <v>1611</v>
      </c>
      <c r="CE90" s="29" t="s">
        <v>1611</v>
      </c>
      <c r="CF90" s="29" t="s">
        <v>1611</v>
      </c>
      <c r="CG90" s="29" t="s">
        <v>1738</v>
      </c>
      <c r="CH90" s="29" t="s">
        <v>1851</v>
      </c>
      <c r="CI90" s="29" t="s">
        <v>1611</v>
      </c>
      <c r="CJ90" s="29" t="s">
        <v>1611</v>
      </c>
      <c r="CK90" s="29" t="s">
        <v>1611</v>
      </c>
      <c r="CL90" s="29" t="s">
        <v>1611</v>
      </c>
      <c r="CM90" s="29" t="s">
        <v>1611</v>
      </c>
      <c r="CN90" s="29" t="s">
        <v>1611</v>
      </c>
      <c r="CO90" s="29" t="s">
        <v>1611</v>
      </c>
      <c r="CP90" s="29" t="s">
        <v>1611</v>
      </c>
      <c r="CQ90" s="29" t="s">
        <v>1611</v>
      </c>
      <c r="CR90" s="29" t="s">
        <v>1611</v>
      </c>
      <c r="CS90" s="29" t="s">
        <v>1611</v>
      </c>
      <c r="CT90" s="29" t="s">
        <v>1611</v>
      </c>
      <c r="CU90" s="29" t="s">
        <v>1611</v>
      </c>
      <c r="CV90" s="29" t="s">
        <v>1611</v>
      </c>
      <c r="CW90" s="29"/>
      <c r="CX90" s="29"/>
      <c r="CY90" s="151"/>
      <c r="CZ90" t="s">
        <v>3606</v>
      </c>
      <c r="DA90" t="s">
        <v>3587</v>
      </c>
      <c r="DC90" s="96" t="s">
        <v>3700</v>
      </c>
      <c r="DD90" s="96" t="str">
        <f t="shared" si="1"/>
        <v>V</v>
      </c>
    </row>
    <row r="91" spans="1:110" ht="16.5" customHeight="1" x14ac:dyDescent="0.3">
      <c r="C91" s="105">
        <v>1687853</v>
      </c>
      <c r="D91" s="27">
        <v>85</v>
      </c>
      <c r="E91" s="28" t="s">
        <v>829</v>
      </c>
      <c r="F91" s="28">
        <v>1000682279</v>
      </c>
      <c r="G91" s="29" t="s">
        <v>948</v>
      </c>
      <c r="H91" s="28">
        <v>1687853</v>
      </c>
      <c r="I91" s="29" t="s">
        <v>949</v>
      </c>
      <c r="J91" s="28" t="s">
        <v>429</v>
      </c>
      <c r="K91" s="7"/>
      <c r="L91" s="104" t="s">
        <v>304</v>
      </c>
      <c r="M91" s="29"/>
      <c r="N91" s="29"/>
      <c r="O91" s="127"/>
      <c r="P91" s="28"/>
      <c r="Q91" s="28"/>
      <c r="R91" s="28"/>
      <c r="S91" s="28"/>
      <c r="T91" s="28"/>
      <c r="U91" s="28"/>
      <c r="V91" s="28"/>
      <c r="W91" s="28"/>
      <c r="X91" s="28"/>
      <c r="Y91" s="28"/>
      <c r="Z91" s="28"/>
      <c r="AA91" s="28"/>
      <c r="AB91" s="104"/>
      <c r="AC91" s="104"/>
      <c r="AD91" s="9" t="s">
        <v>45</v>
      </c>
      <c r="AE91" s="39">
        <v>45992</v>
      </c>
      <c r="AF91" s="9" t="s">
        <v>1276</v>
      </c>
      <c r="AG91" s="34" t="s">
        <v>1316</v>
      </c>
      <c r="AH91" s="9"/>
      <c r="AI91" s="9"/>
      <c r="AJ91" s="9"/>
      <c r="AK91" s="45"/>
      <c r="AL91" s="45" t="s">
        <v>2278</v>
      </c>
      <c r="AM91" s="45"/>
      <c r="AN91" s="45"/>
      <c r="AO91" s="45"/>
      <c r="AP91" s="45"/>
      <c r="AQ91" s="45"/>
      <c r="AR91" s="45"/>
      <c r="AS91" s="45"/>
      <c r="AT91" s="45"/>
      <c r="AU91" s="45"/>
      <c r="AV91" s="45"/>
      <c r="AW91" s="9"/>
      <c r="AX91" s="9"/>
      <c r="AY91" s="9"/>
      <c r="AZ91" s="9"/>
      <c r="BA91" s="10" t="s">
        <v>158</v>
      </c>
      <c r="BB91" s="29" t="s">
        <v>2538</v>
      </c>
      <c r="BC91" s="29" t="s">
        <v>1611</v>
      </c>
      <c r="BD91" s="29" t="s">
        <v>1611</v>
      </c>
      <c r="BE91" s="29" t="s">
        <v>2502</v>
      </c>
      <c r="BF91" s="29" t="s">
        <v>2503</v>
      </c>
      <c r="BG91" s="29" t="s">
        <v>40</v>
      </c>
      <c r="BH91" s="29" t="s">
        <v>2572</v>
      </c>
      <c r="BI91" s="29" t="s">
        <v>584</v>
      </c>
      <c r="BJ91" s="29" t="s">
        <v>2711</v>
      </c>
      <c r="BK91" s="29" t="s">
        <v>253</v>
      </c>
      <c r="BL91" s="29" t="s">
        <v>2784</v>
      </c>
      <c r="BM91" s="29" t="s">
        <v>1611</v>
      </c>
      <c r="BN91" s="29" t="s">
        <v>1611</v>
      </c>
      <c r="BO91" s="29" t="s">
        <v>1611</v>
      </c>
      <c r="BP91" s="29" t="s">
        <v>1611</v>
      </c>
      <c r="BQ91" s="29" t="s">
        <v>1611</v>
      </c>
      <c r="BR91" s="29" t="s">
        <v>1611</v>
      </c>
      <c r="BS91" s="29" t="s">
        <v>1611</v>
      </c>
      <c r="BT91" s="29" t="s">
        <v>1611</v>
      </c>
      <c r="BU91" s="29" t="s">
        <v>2838</v>
      </c>
      <c r="BV91" s="29" t="s">
        <v>2839</v>
      </c>
      <c r="BW91" s="29" t="s">
        <v>1611</v>
      </c>
      <c r="BX91" s="29" t="s">
        <v>1611</v>
      </c>
      <c r="BY91" s="29" t="s">
        <v>1611</v>
      </c>
      <c r="BZ91" s="29" t="s">
        <v>1611</v>
      </c>
      <c r="CA91" s="29" t="s">
        <v>1611</v>
      </c>
      <c r="CB91" s="29" t="s">
        <v>1611</v>
      </c>
      <c r="CC91" s="29" t="s">
        <v>1611</v>
      </c>
      <c r="CD91" s="29" t="s">
        <v>1611</v>
      </c>
      <c r="CE91" s="29" t="s">
        <v>1611</v>
      </c>
      <c r="CF91" s="29" t="s">
        <v>1611</v>
      </c>
      <c r="CG91" s="29" t="s">
        <v>1739</v>
      </c>
      <c r="CH91" s="29" t="s">
        <v>1852</v>
      </c>
      <c r="CI91" s="29" t="s">
        <v>1611</v>
      </c>
      <c r="CJ91" s="29" t="s">
        <v>1611</v>
      </c>
      <c r="CK91" s="29" t="s">
        <v>1611</v>
      </c>
      <c r="CL91" s="29" t="s">
        <v>1611</v>
      </c>
      <c r="CM91" s="29" t="s">
        <v>1611</v>
      </c>
      <c r="CN91" s="29" t="s">
        <v>1611</v>
      </c>
      <c r="CO91" s="29" t="s">
        <v>1611</v>
      </c>
      <c r="CP91" s="29" t="s">
        <v>1611</v>
      </c>
      <c r="CQ91" s="29" t="s">
        <v>1611</v>
      </c>
      <c r="CR91" s="29" t="s">
        <v>1611</v>
      </c>
      <c r="CS91" s="29" t="s">
        <v>1611</v>
      </c>
      <c r="CT91" s="29" t="s">
        <v>1611</v>
      </c>
      <c r="CU91" s="29" t="s">
        <v>1611</v>
      </c>
      <c r="CV91" s="29" t="s">
        <v>1611</v>
      </c>
      <c r="CW91" s="29"/>
      <c r="CX91" s="29"/>
      <c r="CY91" s="151"/>
      <c r="CZ91" t="s">
        <v>3726</v>
      </c>
      <c r="DA91" t="s">
        <v>3724</v>
      </c>
      <c r="DD91" s="96" t="str">
        <f t="shared" si="1"/>
        <v>V</v>
      </c>
    </row>
    <row r="92" spans="1:110" ht="16.5" customHeight="1" x14ac:dyDescent="0.3">
      <c r="C92" s="105">
        <v>1668814</v>
      </c>
      <c r="D92" s="27">
        <v>86</v>
      </c>
      <c r="E92" s="28" t="s">
        <v>808</v>
      </c>
      <c r="F92" s="28">
        <v>1001098619</v>
      </c>
      <c r="G92" s="29" t="s">
        <v>951</v>
      </c>
      <c r="H92" s="28">
        <v>1668814</v>
      </c>
      <c r="I92" s="29" t="s">
        <v>952</v>
      </c>
      <c r="J92" s="28" t="s">
        <v>429</v>
      </c>
      <c r="K92" s="7"/>
      <c r="L92" s="104" t="s">
        <v>665</v>
      </c>
      <c r="M92" s="29"/>
      <c r="N92" s="29"/>
      <c r="O92" s="127"/>
      <c r="P92" s="28"/>
      <c r="Q92" s="28"/>
      <c r="R92" s="28"/>
      <c r="S92" s="28"/>
      <c r="T92" s="28"/>
      <c r="U92" s="28"/>
      <c r="V92" s="28"/>
      <c r="W92" s="28"/>
      <c r="X92" s="28"/>
      <c r="Y92" s="28"/>
      <c r="Z92" s="28"/>
      <c r="AA92" s="28"/>
      <c r="AB92" s="104"/>
      <c r="AC92" s="28"/>
      <c r="AD92" s="9" t="s">
        <v>1269</v>
      </c>
      <c r="AE92" s="39">
        <v>45866</v>
      </c>
      <c r="AF92" s="9" t="s">
        <v>1276</v>
      </c>
      <c r="AG92" s="34" t="s">
        <v>1281</v>
      </c>
      <c r="AH92" s="9"/>
      <c r="AI92" s="9"/>
      <c r="AJ92" s="9"/>
      <c r="AK92" s="45"/>
      <c r="AL92" s="45" t="s">
        <v>1611</v>
      </c>
      <c r="AM92" s="45"/>
      <c r="AN92" s="45"/>
      <c r="AO92" s="45"/>
      <c r="AP92" s="45"/>
      <c r="AQ92" s="45"/>
      <c r="AR92" s="45"/>
      <c r="AS92" s="45"/>
      <c r="AT92" s="45"/>
      <c r="AU92" s="45"/>
      <c r="AV92" s="45"/>
      <c r="AW92" s="9"/>
      <c r="AX92" s="9"/>
      <c r="AY92" s="9"/>
      <c r="AZ92" s="9"/>
      <c r="BA92" s="10" t="s">
        <v>70</v>
      </c>
      <c r="BB92" s="29" t="s">
        <v>2616</v>
      </c>
      <c r="BC92" s="29" t="s">
        <v>1611</v>
      </c>
      <c r="BD92" s="29" t="s">
        <v>1611</v>
      </c>
      <c r="BE92" s="29" t="s">
        <v>2502</v>
      </c>
      <c r="BF92" s="29" t="s">
        <v>2503</v>
      </c>
      <c r="BG92" s="29" t="s">
        <v>2539</v>
      </c>
      <c r="BH92" s="29" t="s">
        <v>2540</v>
      </c>
      <c r="BI92" s="29" t="s">
        <v>225</v>
      </c>
      <c r="BJ92" s="29" t="s">
        <v>2728</v>
      </c>
      <c r="BK92" s="29" t="s">
        <v>93</v>
      </c>
      <c r="BL92" s="29" t="s">
        <v>2629</v>
      </c>
      <c r="BM92" s="29" t="s">
        <v>1611</v>
      </c>
      <c r="BN92" s="29" t="s">
        <v>1611</v>
      </c>
      <c r="BO92" s="29" t="s">
        <v>1611</v>
      </c>
      <c r="BP92" s="29" t="s">
        <v>1611</v>
      </c>
      <c r="BQ92" s="29" t="s">
        <v>1611</v>
      </c>
      <c r="BR92" s="29" t="s">
        <v>1611</v>
      </c>
      <c r="BS92" s="29" t="s">
        <v>1611</v>
      </c>
      <c r="BT92" s="29" t="s">
        <v>1611</v>
      </c>
      <c r="BU92" s="29" t="s">
        <v>2840</v>
      </c>
      <c r="BV92" s="29" t="s">
        <v>2841</v>
      </c>
      <c r="BW92" s="29" t="s">
        <v>1611</v>
      </c>
      <c r="BX92" s="29" t="s">
        <v>1611</v>
      </c>
      <c r="BY92" s="29" t="s">
        <v>1611</v>
      </c>
      <c r="BZ92" s="29" t="s">
        <v>1611</v>
      </c>
      <c r="CA92" s="29" t="s">
        <v>1611</v>
      </c>
      <c r="CB92" s="29" t="s">
        <v>1611</v>
      </c>
      <c r="CC92" s="29" t="s">
        <v>1611</v>
      </c>
      <c r="CD92" s="29" t="s">
        <v>1611</v>
      </c>
      <c r="CE92" s="29" t="s">
        <v>1611</v>
      </c>
      <c r="CF92" s="29" t="s">
        <v>1611</v>
      </c>
      <c r="CG92" s="29" t="s">
        <v>2842</v>
      </c>
      <c r="CH92" s="29" t="s">
        <v>2843</v>
      </c>
      <c r="CI92" s="29" t="s">
        <v>1611</v>
      </c>
      <c r="CJ92" s="29" t="s">
        <v>1611</v>
      </c>
      <c r="CK92" s="29" t="s">
        <v>1611</v>
      </c>
      <c r="CL92" s="29" t="s">
        <v>1611</v>
      </c>
      <c r="CM92" s="29" t="s">
        <v>1611</v>
      </c>
      <c r="CN92" s="29" t="s">
        <v>1611</v>
      </c>
      <c r="CO92" s="29" t="s">
        <v>1611</v>
      </c>
      <c r="CP92" s="29" t="s">
        <v>1611</v>
      </c>
      <c r="CQ92" s="29" t="s">
        <v>1611</v>
      </c>
      <c r="CR92" s="29" t="s">
        <v>1611</v>
      </c>
      <c r="CS92" s="29" t="s">
        <v>1611</v>
      </c>
      <c r="CT92" s="29" t="s">
        <v>1611</v>
      </c>
      <c r="CU92" s="29" t="s">
        <v>1611</v>
      </c>
      <c r="CV92" s="29" t="s">
        <v>1611</v>
      </c>
      <c r="CW92" s="29"/>
      <c r="CX92" s="29"/>
      <c r="CY92" s="151"/>
      <c r="CZ92" t="e">
        <v>#N/A</v>
      </c>
      <c r="DA92" t="e">
        <v>#N/A</v>
      </c>
      <c r="DD92" s="96" t="str">
        <f t="shared" si="1"/>
        <v>V</v>
      </c>
    </row>
    <row r="93" spans="1:110" ht="16.5" customHeight="1" x14ac:dyDescent="0.3">
      <c r="C93" s="105">
        <v>1658417</v>
      </c>
      <c r="D93" s="27">
        <v>87</v>
      </c>
      <c r="E93" s="28" t="s">
        <v>818</v>
      </c>
      <c r="F93" s="28">
        <v>1000326224</v>
      </c>
      <c r="G93" s="29" t="s">
        <v>953</v>
      </c>
      <c r="H93" s="28">
        <v>1658417</v>
      </c>
      <c r="I93" s="29" t="s">
        <v>954</v>
      </c>
      <c r="J93" s="28" t="s">
        <v>854</v>
      </c>
      <c r="K93" s="7"/>
      <c r="L93" s="104" t="s">
        <v>705</v>
      </c>
      <c r="M93" s="29"/>
      <c r="N93" s="29"/>
      <c r="O93" s="127"/>
      <c r="P93" s="28"/>
      <c r="Q93" s="28"/>
      <c r="R93" s="28"/>
      <c r="S93" s="28"/>
      <c r="T93" s="28"/>
      <c r="U93" s="28"/>
      <c r="V93" s="28"/>
      <c r="W93" s="28"/>
      <c r="X93" s="28"/>
      <c r="Y93" s="28"/>
      <c r="Z93" s="28"/>
      <c r="AA93" s="28"/>
      <c r="AB93" s="104"/>
      <c r="AC93" s="104"/>
      <c r="AD93" s="9" t="s">
        <v>1269</v>
      </c>
      <c r="AE93" s="39">
        <v>46062</v>
      </c>
      <c r="AF93" s="9" t="s">
        <v>1276</v>
      </c>
      <c r="AG93" s="34" t="s">
        <v>3754</v>
      </c>
      <c r="AH93" s="9"/>
      <c r="AI93" s="9" t="s">
        <v>2491</v>
      </c>
      <c r="AJ93" s="9"/>
      <c r="AK93" s="45"/>
      <c r="AL93" s="9" t="s">
        <v>2491</v>
      </c>
      <c r="AM93" s="45"/>
      <c r="AN93" s="45"/>
      <c r="AO93" s="45"/>
      <c r="AP93" s="45"/>
      <c r="AQ93" s="45"/>
      <c r="AR93" s="45"/>
      <c r="AS93" s="45"/>
      <c r="AT93" s="45"/>
      <c r="AU93" s="45"/>
      <c r="AV93" s="45"/>
      <c r="AW93" s="9"/>
      <c r="AX93" s="9"/>
      <c r="AY93" s="9"/>
      <c r="AZ93" s="9"/>
      <c r="BA93" s="10" t="s">
        <v>291</v>
      </c>
      <c r="BB93" s="29" t="s">
        <v>2704</v>
      </c>
      <c r="BC93" s="29" t="s">
        <v>1611</v>
      </c>
      <c r="BD93" s="29" t="s">
        <v>1611</v>
      </c>
      <c r="BE93" s="29" t="s">
        <v>1611</v>
      </c>
      <c r="BF93" s="29" t="s">
        <v>1611</v>
      </c>
      <c r="BG93" s="29" t="s">
        <v>1762</v>
      </c>
      <c r="BH93" s="29" t="s">
        <v>2504</v>
      </c>
      <c r="BI93" s="29" t="s">
        <v>2666</v>
      </c>
      <c r="BJ93" s="29" t="s">
        <v>2667</v>
      </c>
      <c r="BK93" s="29" t="s">
        <v>71</v>
      </c>
      <c r="BL93" s="29" t="s">
        <v>2823</v>
      </c>
      <c r="BM93" s="29" t="s">
        <v>1611</v>
      </c>
      <c r="BN93" s="29" t="s">
        <v>1611</v>
      </c>
      <c r="BO93" s="29" t="s">
        <v>1611</v>
      </c>
      <c r="BP93" s="29" t="s">
        <v>1611</v>
      </c>
      <c r="BQ93" s="29" t="s">
        <v>1611</v>
      </c>
      <c r="BR93" s="29" t="s">
        <v>1611</v>
      </c>
      <c r="BS93" s="29" t="s">
        <v>1611</v>
      </c>
      <c r="BT93" s="29" t="s">
        <v>1611</v>
      </c>
      <c r="BU93" s="29" t="s">
        <v>2367</v>
      </c>
      <c r="BV93" s="29" t="s">
        <v>2410</v>
      </c>
      <c r="BW93" s="29" t="s">
        <v>1611</v>
      </c>
      <c r="BX93" s="29" t="s">
        <v>1611</v>
      </c>
      <c r="BY93" s="29" t="s">
        <v>1611</v>
      </c>
      <c r="BZ93" s="29" t="s">
        <v>1611</v>
      </c>
      <c r="CA93" s="29" t="s">
        <v>1611</v>
      </c>
      <c r="CB93" s="29" t="s">
        <v>1611</v>
      </c>
      <c r="CC93" s="29" t="s">
        <v>1611</v>
      </c>
      <c r="CD93" s="29" t="s">
        <v>1611</v>
      </c>
      <c r="CE93" s="29" t="s">
        <v>1611</v>
      </c>
      <c r="CF93" s="29" t="s">
        <v>1611</v>
      </c>
      <c r="CG93" s="29" t="s">
        <v>3030</v>
      </c>
      <c r="CH93" s="29" t="s">
        <v>3029</v>
      </c>
      <c r="CI93" s="29" t="s">
        <v>1611</v>
      </c>
      <c r="CJ93" s="29" t="s">
        <v>1611</v>
      </c>
      <c r="CK93" s="29" t="s">
        <v>1611</v>
      </c>
      <c r="CL93" s="29" t="s">
        <v>1611</v>
      </c>
      <c r="CM93" s="29" t="s">
        <v>1611</v>
      </c>
      <c r="CN93" s="29" t="s">
        <v>1611</v>
      </c>
      <c r="CO93" s="29" t="s">
        <v>1611</v>
      </c>
      <c r="CP93" s="29" t="s">
        <v>1611</v>
      </c>
      <c r="CQ93" s="29" t="s">
        <v>1611</v>
      </c>
      <c r="CR93" s="29" t="s">
        <v>1611</v>
      </c>
      <c r="CS93" s="29" t="s">
        <v>1611</v>
      </c>
      <c r="CT93" s="29" t="s">
        <v>1611</v>
      </c>
      <c r="CU93" s="29" t="s">
        <v>1611</v>
      </c>
      <c r="CV93" s="29" t="s">
        <v>1611</v>
      </c>
      <c r="CW93" s="29"/>
      <c r="CX93" s="29"/>
      <c r="CY93" s="151"/>
      <c r="CZ93" t="s">
        <v>3607</v>
      </c>
      <c r="DA93" t="s">
        <v>3587</v>
      </c>
      <c r="DC93" s="96" t="s">
        <v>3700</v>
      </c>
      <c r="DD93" s="96" t="str">
        <f t="shared" si="1"/>
        <v>V</v>
      </c>
    </row>
    <row r="94" spans="1:110" ht="16.5" customHeight="1" x14ac:dyDescent="0.3">
      <c r="C94" s="105">
        <v>1683936</v>
      </c>
      <c r="D94" s="27">
        <v>88</v>
      </c>
      <c r="E94" s="28" t="s">
        <v>818</v>
      </c>
      <c r="F94" s="28">
        <v>1000636221</v>
      </c>
      <c r="G94" s="29" t="s">
        <v>956</v>
      </c>
      <c r="H94" s="28">
        <v>1683936</v>
      </c>
      <c r="I94" s="29" t="s">
        <v>957</v>
      </c>
      <c r="J94" s="28" t="s">
        <v>854</v>
      </c>
      <c r="K94" s="7"/>
      <c r="L94" s="104" t="s">
        <v>706</v>
      </c>
      <c r="M94" s="29"/>
      <c r="N94" s="29"/>
      <c r="O94" s="127"/>
      <c r="P94" s="28"/>
      <c r="Q94" s="28"/>
      <c r="R94" s="28"/>
      <c r="S94" s="28"/>
      <c r="T94" s="28"/>
      <c r="U94" s="28"/>
      <c r="V94" s="28"/>
      <c r="W94" s="28"/>
      <c r="X94" s="28"/>
      <c r="Y94" s="28"/>
      <c r="Z94" s="28"/>
      <c r="AA94" s="28"/>
      <c r="AB94" s="104"/>
      <c r="AC94" s="28"/>
      <c r="AD94" s="9" t="s">
        <v>1269</v>
      </c>
      <c r="AE94" s="39">
        <v>45861</v>
      </c>
      <c r="AF94" s="9" t="s">
        <v>1276</v>
      </c>
      <c r="AG94" s="34" t="s">
        <v>1278</v>
      </c>
      <c r="AH94" s="9"/>
      <c r="AI94" s="9"/>
      <c r="AJ94" s="9"/>
      <c r="AK94" s="45"/>
      <c r="AL94" s="45" t="s">
        <v>1611</v>
      </c>
      <c r="AM94" s="45"/>
      <c r="AN94" s="45"/>
      <c r="AO94" s="45"/>
      <c r="AP94" s="45"/>
      <c r="AQ94" s="45"/>
      <c r="AR94" s="45"/>
      <c r="AS94" s="45"/>
      <c r="AT94" s="45"/>
      <c r="AU94" s="45"/>
      <c r="AV94" s="45"/>
      <c r="AW94" s="9"/>
      <c r="AX94" s="9"/>
      <c r="AY94" s="9"/>
      <c r="AZ94" s="9"/>
      <c r="BA94" s="10" t="s">
        <v>268</v>
      </c>
      <c r="BB94" s="29" t="s">
        <v>2608</v>
      </c>
      <c r="BC94" s="29" t="s">
        <v>1611</v>
      </c>
      <c r="BD94" s="29" t="s">
        <v>1611</v>
      </c>
      <c r="BE94" s="29" t="s">
        <v>1611</v>
      </c>
      <c r="BF94" s="29" t="s">
        <v>1611</v>
      </c>
      <c r="BG94" s="29" t="s">
        <v>2599</v>
      </c>
      <c r="BH94" s="29" t="s">
        <v>2600</v>
      </c>
      <c r="BI94" s="29" t="s">
        <v>355</v>
      </c>
      <c r="BJ94" s="29" t="s">
        <v>2551</v>
      </c>
      <c r="BK94" s="29" t="s">
        <v>330</v>
      </c>
      <c r="BL94" s="29" t="s">
        <v>2520</v>
      </c>
      <c r="BM94" s="29" t="s">
        <v>1611</v>
      </c>
      <c r="BN94" s="29" t="s">
        <v>1611</v>
      </c>
      <c r="BO94" s="29" t="s">
        <v>1611</v>
      </c>
      <c r="BP94" s="29" t="s">
        <v>1611</v>
      </c>
      <c r="BQ94" s="29" t="s">
        <v>1611</v>
      </c>
      <c r="BR94" s="29" t="s">
        <v>1611</v>
      </c>
      <c r="BS94" s="29" t="s">
        <v>1611</v>
      </c>
      <c r="BT94" s="29" t="s">
        <v>1611</v>
      </c>
      <c r="BU94" s="29" t="s">
        <v>277</v>
      </c>
      <c r="BV94" s="29" t="s">
        <v>2525</v>
      </c>
      <c r="BW94" s="29" t="s">
        <v>1611</v>
      </c>
      <c r="BX94" s="29" t="s">
        <v>1611</v>
      </c>
      <c r="BY94" s="29" t="s">
        <v>1611</v>
      </c>
      <c r="BZ94" s="29" t="s">
        <v>1611</v>
      </c>
      <c r="CA94" s="29" t="s">
        <v>1611</v>
      </c>
      <c r="CB94" s="29" t="s">
        <v>1611</v>
      </c>
      <c r="CC94" s="29" t="s">
        <v>1611</v>
      </c>
      <c r="CD94" s="29" t="s">
        <v>1611</v>
      </c>
      <c r="CE94" s="29" t="s">
        <v>1611</v>
      </c>
      <c r="CF94" s="29" t="s">
        <v>1611</v>
      </c>
      <c r="CG94" s="29" t="s">
        <v>2844</v>
      </c>
      <c r="CH94" s="29" t="s">
        <v>2845</v>
      </c>
      <c r="CI94" s="29" t="s">
        <v>1611</v>
      </c>
      <c r="CJ94" s="29" t="s">
        <v>1611</v>
      </c>
      <c r="CK94" s="29" t="s">
        <v>1611</v>
      </c>
      <c r="CL94" s="29" t="s">
        <v>1611</v>
      </c>
      <c r="CM94" s="29" t="s">
        <v>1611</v>
      </c>
      <c r="CN94" s="29" t="s">
        <v>1611</v>
      </c>
      <c r="CO94" s="29" t="s">
        <v>1611</v>
      </c>
      <c r="CP94" s="29" t="s">
        <v>1611</v>
      </c>
      <c r="CQ94" s="29" t="s">
        <v>1611</v>
      </c>
      <c r="CR94" s="29" t="s">
        <v>1611</v>
      </c>
      <c r="CS94" s="29" t="s">
        <v>1611</v>
      </c>
      <c r="CT94" s="29" t="s">
        <v>1611</v>
      </c>
      <c r="CU94" s="29" t="s">
        <v>1611</v>
      </c>
      <c r="CV94" s="29" t="s">
        <v>1611</v>
      </c>
      <c r="CW94" s="29"/>
      <c r="CX94" s="29"/>
      <c r="CY94" s="151"/>
      <c r="CZ94" t="e">
        <v>#N/A</v>
      </c>
      <c r="DA94" t="e">
        <v>#N/A</v>
      </c>
      <c r="DD94" s="96" t="str">
        <f t="shared" si="1"/>
        <v>V</v>
      </c>
    </row>
    <row r="95" spans="1:110" ht="16.5" customHeight="1" x14ac:dyDescent="0.3">
      <c r="C95" s="105">
        <v>1667966</v>
      </c>
      <c r="D95" s="27">
        <v>89</v>
      </c>
      <c r="E95" s="28" t="s">
        <v>794</v>
      </c>
      <c r="F95" s="28">
        <v>1000317119</v>
      </c>
      <c r="G95" s="29" t="s">
        <v>958</v>
      </c>
      <c r="H95" s="28">
        <v>1667966</v>
      </c>
      <c r="I95" s="29" t="s">
        <v>959</v>
      </c>
      <c r="J95" s="28" t="s">
        <v>854</v>
      </c>
      <c r="K95" s="7"/>
      <c r="L95" s="104" t="s">
        <v>707</v>
      </c>
      <c r="M95" s="29"/>
      <c r="N95" s="29"/>
      <c r="O95" s="127"/>
      <c r="P95" s="28"/>
      <c r="Q95" s="28"/>
      <c r="R95" s="28"/>
      <c r="S95" s="28"/>
      <c r="T95" s="28"/>
      <c r="U95" s="28"/>
      <c r="V95" s="28"/>
      <c r="W95" s="28"/>
      <c r="X95" s="28"/>
      <c r="Y95" s="28"/>
      <c r="Z95" s="28"/>
      <c r="AA95" s="28"/>
      <c r="AB95" s="104"/>
      <c r="AC95" s="28"/>
      <c r="AD95" s="9" t="s">
        <v>1269</v>
      </c>
      <c r="AE95" s="39">
        <v>45867</v>
      </c>
      <c r="AF95" s="9" t="s">
        <v>1276</v>
      </c>
      <c r="AG95" s="34" t="s">
        <v>1297</v>
      </c>
      <c r="AH95" s="9"/>
      <c r="AI95" s="9"/>
      <c r="AJ95" s="9"/>
      <c r="AK95" s="45"/>
      <c r="AL95" s="45" t="s">
        <v>1611</v>
      </c>
      <c r="AM95" s="45"/>
      <c r="AN95" s="45"/>
      <c r="AO95" s="45"/>
      <c r="AP95" s="45"/>
      <c r="AQ95" s="45"/>
      <c r="AR95" s="45"/>
      <c r="AS95" s="45"/>
      <c r="AT95" s="45"/>
      <c r="AU95" s="45"/>
      <c r="AV95" s="45"/>
      <c r="AW95" s="9"/>
      <c r="AX95" s="9"/>
      <c r="AY95" s="9"/>
      <c r="AZ95" s="9"/>
      <c r="BA95" s="10" t="s">
        <v>2497</v>
      </c>
      <c r="BB95" s="29" t="s">
        <v>2567</v>
      </c>
      <c r="BC95" s="29" t="s">
        <v>1611</v>
      </c>
      <c r="BD95" s="29" t="s">
        <v>1611</v>
      </c>
      <c r="BE95" s="29" t="s">
        <v>2502</v>
      </c>
      <c r="BF95" s="29" t="s">
        <v>2503</v>
      </c>
      <c r="BG95" s="29" t="s">
        <v>2660</v>
      </c>
      <c r="BH95" s="29" t="s">
        <v>2661</v>
      </c>
      <c r="BI95" s="29" t="s">
        <v>329</v>
      </c>
      <c r="BJ95" s="29" t="s">
        <v>2591</v>
      </c>
      <c r="BK95" s="29" t="s">
        <v>591</v>
      </c>
      <c r="BL95" s="29" t="s">
        <v>2617</v>
      </c>
      <c r="BM95" s="29" t="s">
        <v>1611</v>
      </c>
      <c r="BN95" s="29" t="s">
        <v>1611</v>
      </c>
      <c r="BO95" s="29" t="s">
        <v>1611</v>
      </c>
      <c r="BP95" s="29" t="s">
        <v>1611</v>
      </c>
      <c r="BQ95" s="29" t="s">
        <v>1611</v>
      </c>
      <c r="BR95" s="29" t="s">
        <v>1611</v>
      </c>
      <c r="BS95" s="29" t="s">
        <v>1611</v>
      </c>
      <c r="BT95" s="29" t="s">
        <v>1611</v>
      </c>
      <c r="BU95" s="29" t="s">
        <v>2846</v>
      </c>
      <c r="BV95" s="29" t="s">
        <v>2847</v>
      </c>
      <c r="BW95" s="29" t="s">
        <v>1611</v>
      </c>
      <c r="BX95" s="29" t="s">
        <v>1611</v>
      </c>
      <c r="BY95" s="29" t="s">
        <v>1611</v>
      </c>
      <c r="BZ95" s="29" t="s">
        <v>1611</v>
      </c>
      <c r="CA95" s="29" t="s">
        <v>1611</v>
      </c>
      <c r="CB95" s="29" t="s">
        <v>1611</v>
      </c>
      <c r="CC95" s="29" t="s">
        <v>1611</v>
      </c>
      <c r="CD95" s="29" t="s">
        <v>1611</v>
      </c>
      <c r="CE95" s="29" t="s">
        <v>1611</v>
      </c>
      <c r="CF95" s="29" t="s">
        <v>1611</v>
      </c>
      <c r="CG95" s="29" t="s">
        <v>1793</v>
      </c>
      <c r="CH95" s="29" t="s">
        <v>1911</v>
      </c>
      <c r="CI95" s="29" t="s">
        <v>1611</v>
      </c>
      <c r="CJ95" s="29" t="s">
        <v>1611</v>
      </c>
      <c r="CK95" s="29" t="s">
        <v>1611</v>
      </c>
      <c r="CL95" s="29" t="s">
        <v>1611</v>
      </c>
      <c r="CM95" s="29" t="s">
        <v>1611</v>
      </c>
      <c r="CN95" s="29" t="s">
        <v>1611</v>
      </c>
      <c r="CO95" s="29" t="s">
        <v>1611</v>
      </c>
      <c r="CP95" s="29" t="s">
        <v>1611</v>
      </c>
      <c r="CQ95" s="29" t="s">
        <v>1611</v>
      </c>
      <c r="CR95" s="29" t="s">
        <v>1611</v>
      </c>
      <c r="CS95" s="29" t="s">
        <v>1611</v>
      </c>
      <c r="CT95" s="29" t="s">
        <v>1611</v>
      </c>
      <c r="CU95" s="29" t="s">
        <v>1611</v>
      </c>
      <c r="CV95" s="29" t="s">
        <v>1611</v>
      </c>
      <c r="CW95" s="29"/>
      <c r="CX95" s="29"/>
      <c r="CY95" s="151"/>
      <c r="CZ95" t="e">
        <v>#N/A</v>
      </c>
      <c r="DA95" t="e">
        <v>#N/A</v>
      </c>
      <c r="DD95" s="96" t="str">
        <f t="shared" si="1"/>
        <v>V</v>
      </c>
    </row>
    <row r="96" spans="1:110" ht="16.5" customHeight="1" x14ac:dyDescent="0.3">
      <c r="C96" s="105">
        <v>1671940</v>
      </c>
      <c r="D96" s="27">
        <v>90</v>
      </c>
      <c r="E96" s="28" t="s">
        <v>829</v>
      </c>
      <c r="F96" s="28">
        <v>1000326253</v>
      </c>
      <c r="G96" s="29" t="s">
        <v>960</v>
      </c>
      <c r="H96" s="28">
        <v>1671940</v>
      </c>
      <c r="I96" s="29" t="s">
        <v>961</v>
      </c>
      <c r="J96" s="28" t="s">
        <v>429</v>
      </c>
      <c r="K96" s="7"/>
      <c r="L96" s="104" t="s">
        <v>679</v>
      </c>
      <c r="M96" s="29" t="s">
        <v>3182</v>
      </c>
      <c r="N96" s="29" t="s">
        <v>3183</v>
      </c>
      <c r="O96" s="127">
        <v>626329</v>
      </c>
      <c r="P96" s="28" t="s">
        <v>1301</v>
      </c>
      <c r="Q96" s="28" t="s">
        <v>1301</v>
      </c>
      <c r="R96" s="28" t="s">
        <v>1329</v>
      </c>
      <c r="S96" s="28" t="s">
        <v>612</v>
      </c>
      <c r="T96" s="28" t="s">
        <v>1329</v>
      </c>
      <c r="U96" s="28" t="s">
        <v>612</v>
      </c>
      <c r="V96" s="28" t="s">
        <v>1301</v>
      </c>
      <c r="W96" s="28" t="s">
        <v>1301</v>
      </c>
      <c r="X96" s="28" t="s">
        <v>1301</v>
      </c>
      <c r="Y96" s="28" t="s">
        <v>1301</v>
      </c>
      <c r="Z96" s="28" t="s">
        <v>1301</v>
      </c>
      <c r="AA96" s="28" t="s">
        <v>1301</v>
      </c>
      <c r="AB96" s="104" t="s">
        <v>1949</v>
      </c>
      <c r="AC96" s="104" t="s">
        <v>1950</v>
      </c>
      <c r="AD96" s="9" t="s">
        <v>1269</v>
      </c>
      <c r="AE96" s="9"/>
      <c r="AF96" s="9"/>
      <c r="AG96" s="34"/>
      <c r="AH96" s="9"/>
      <c r="AI96" s="9"/>
      <c r="AJ96" s="9"/>
      <c r="AK96" s="45"/>
      <c r="AL96" s="45" t="s">
        <v>2351</v>
      </c>
      <c r="AM96" s="45" t="s">
        <v>46</v>
      </c>
      <c r="AN96" s="45" t="s">
        <v>46</v>
      </c>
      <c r="AO96" s="45" t="s">
        <v>46</v>
      </c>
      <c r="AP96" s="45" t="s">
        <v>46</v>
      </c>
      <c r="AQ96" s="45" t="s">
        <v>46</v>
      </c>
      <c r="AR96" s="45" t="s">
        <v>46</v>
      </c>
      <c r="AS96" s="45"/>
      <c r="AT96" s="45"/>
      <c r="AU96" s="45"/>
      <c r="AV96" s="45"/>
      <c r="AW96" s="45" t="s">
        <v>46</v>
      </c>
      <c r="AX96" s="45" t="s">
        <v>46</v>
      </c>
      <c r="AY96" s="45" t="s">
        <v>46</v>
      </c>
      <c r="AZ96" s="9" t="s">
        <v>46</v>
      </c>
      <c r="BA96" s="10" t="s">
        <v>70</v>
      </c>
      <c r="BB96" s="29" t="s">
        <v>2616</v>
      </c>
      <c r="BC96" s="29" t="s">
        <v>1611</v>
      </c>
      <c r="BD96" s="29" t="s">
        <v>1611</v>
      </c>
      <c r="BE96" s="29" t="s">
        <v>2502</v>
      </c>
      <c r="BF96" s="29" t="s">
        <v>2503</v>
      </c>
      <c r="BG96" s="29" t="s">
        <v>40</v>
      </c>
      <c r="BH96" s="29" t="s">
        <v>2572</v>
      </c>
      <c r="BI96" s="29" t="s">
        <v>129</v>
      </c>
      <c r="BJ96" s="29" t="s">
        <v>2652</v>
      </c>
      <c r="BK96" s="29" t="s">
        <v>149</v>
      </c>
      <c r="BL96" s="29" t="s">
        <v>2679</v>
      </c>
      <c r="BM96" s="29" t="s">
        <v>1611</v>
      </c>
      <c r="BN96" s="29" t="s">
        <v>1611</v>
      </c>
      <c r="BO96" s="29" t="s">
        <v>1611</v>
      </c>
      <c r="BP96" s="29" t="s">
        <v>1611</v>
      </c>
      <c r="BQ96" s="29" t="s">
        <v>1611</v>
      </c>
      <c r="BR96" s="29" t="s">
        <v>1611</v>
      </c>
      <c r="BS96" s="29" t="s">
        <v>1611</v>
      </c>
      <c r="BT96" s="29" t="s">
        <v>1611</v>
      </c>
      <c r="BU96" s="29" t="s">
        <v>2848</v>
      </c>
      <c r="BV96" s="29" t="s">
        <v>3089</v>
      </c>
      <c r="BW96" s="29" t="s">
        <v>1611</v>
      </c>
      <c r="BX96" s="29" t="s">
        <v>1611</v>
      </c>
      <c r="BY96" s="29" t="s">
        <v>1611</v>
      </c>
      <c r="BZ96" s="29" t="s">
        <v>1611</v>
      </c>
      <c r="CA96" s="29" t="s">
        <v>1611</v>
      </c>
      <c r="CB96" s="29" t="s">
        <v>1611</v>
      </c>
      <c r="CC96" s="29" t="s">
        <v>1611</v>
      </c>
      <c r="CD96" s="29" t="s">
        <v>1611</v>
      </c>
      <c r="CE96" s="29" t="s">
        <v>1611</v>
      </c>
      <c r="CF96" s="29" t="s">
        <v>1611</v>
      </c>
      <c r="CG96" s="29" t="s">
        <v>1740</v>
      </c>
      <c r="CH96" s="29" t="s">
        <v>1853</v>
      </c>
      <c r="CI96" s="29" t="s">
        <v>1611</v>
      </c>
      <c r="CJ96" s="29" t="s">
        <v>1611</v>
      </c>
      <c r="CK96" s="29" t="s">
        <v>3178</v>
      </c>
      <c r="CL96" s="29" t="s">
        <v>3181</v>
      </c>
      <c r="CM96" s="29" t="s">
        <v>3179</v>
      </c>
      <c r="CN96" s="29" t="s">
        <v>3180</v>
      </c>
      <c r="CO96" s="29" t="s">
        <v>1611</v>
      </c>
      <c r="CP96" s="29" t="s">
        <v>1611</v>
      </c>
      <c r="CQ96" s="29" t="s">
        <v>1611</v>
      </c>
      <c r="CR96" s="29" t="s">
        <v>1611</v>
      </c>
      <c r="CS96" s="29" t="s">
        <v>1611</v>
      </c>
      <c r="CT96" s="29" t="s">
        <v>1611</v>
      </c>
      <c r="CU96" s="29" t="s">
        <v>1611</v>
      </c>
      <c r="CV96" s="29" t="s">
        <v>1611</v>
      </c>
      <c r="CW96" s="29"/>
      <c r="CX96" s="29"/>
      <c r="CY96" s="151"/>
      <c r="CZ96" t="s">
        <v>3280</v>
      </c>
      <c r="DA96" t="s">
        <v>3634</v>
      </c>
      <c r="DD96" s="96" t="str">
        <f t="shared" si="1"/>
        <v/>
      </c>
      <c r="DF96" s="96" t="s">
        <v>3753</v>
      </c>
    </row>
    <row r="97" spans="1:110" ht="16.5" customHeight="1" x14ac:dyDescent="0.3">
      <c r="C97" s="105">
        <v>1689086</v>
      </c>
      <c r="D97" s="27">
        <v>91</v>
      </c>
      <c r="E97" s="28" t="s">
        <v>818</v>
      </c>
      <c r="F97" s="28">
        <v>1000314686</v>
      </c>
      <c r="G97" s="29" t="s">
        <v>962</v>
      </c>
      <c r="H97" s="28">
        <v>1689086</v>
      </c>
      <c r="I97" s="29" t="s">
        <v>963</v>
      </c>
      <c r="J97" s="28" t="s">
        <v>429</v>
      </c>
      <c r="K97" s="7"/>
      <c r="L97" s="104" t="s">
        <v>335</v>
      </c>
      <c r="M97" s="29"/>
      <c r="N97" s="29"/>
      <c r="O97" s="127"/>
      <c r="P97" s="28"/>
      <c r="Q97" s="28"/>
      <c r="R97" s="28"/>
      <c r="S97" s="28"/>
      <c r="T97" s="28"/>
      <c r="U97" s="28"/>
      <c r="V97" s="28"/>
      <c r="W97" s="28"/>
      <c r="X97" s="28"/>
      <c r="Y97" s="28"/>
      <c r="Z97" s="28"/>
      <c r="AA97" s="28"/>
      <c r="AB97" s="104"/>
      <c r="AC97" s="104"/>
      <c r="AD97" s="9" t="s">
        <v>45</v>
      </c>
      <c r="AE97" s="39">
        <v>46058</v>
      </c>
      <c r="AF97" s="9" t="s">
        <v>1276</v>
      </c>
      <c r="AG97" s="34" t="s">
        <v>3757</v>
      </c>
      <c r="AH97" s="9"/>
      <c r="AI97" s="9"/>
      <c r="AJ97" s="9"/>
      <c r="AK97" s="45"/>
      <c r="AL97" s="45"/>
      <c r="AM97" s="45"/>
      <c r="AN97" s="45"/>
      <c r="AO97" s="45"/>
      <c r="AP97" s="45"/>
      <c r="AQ97" s="45"/>
      <c r="AR97" s="45"/>
      <c r="AS97" s="45"/>
      <c r="AT97" s="45"/>
      <c r="AU97" s="45"/>
      <c r="AV97" s="45"/>
      <c r="AW97" s="9"/>
      <c r="AX97" s="9"/>
      <c r="AY97" s="9"/>
      <c r="AZ97" s="9"/>
      <c r="BA97" s="10" t="s">
        <v>184</v>
      </c>
      <c r="BB97" s="29" t="s">
        <v>2568</v>
      </c>
      <c r="BC97" s="29" t="s">
        <v>1611</v>
      </c>
      <c r="BD97" s="29" t="s">
        <v>1611</v>
      </c>
      <c r="BE97" s="29" t="s">
        <v>2514</v>
      </c>
      <c r="BF97" s="29" t="s">
        <v>2515</v>
      </c>
      <c r="BG97" s="29" t="s">
        <v>40</v>
      </c>
      <c r="BH97" s="29" t="s">
        <v>2572</v>
      </c>
      <c r="BI97" s="29" t="s">
        <v>130</v>
      </c>
      <c r="BJ97" s="29" t="s">
        <v>2850</v>
      </c>
      <c r="BK97" s="29" t="s">
        <v>80</v>
      </c>
      <c r="BL97" s="29" t="s">
        <v>2688</v>
      </c>
      <c r="BM97" s="29" t="s">
        <v>1611</v>
      </c>
      <c r="BN97" s="29" t="s">
        <v>1611</v>
      </c>
      <c r="BO97" s="29" t="s">
        <v>1611</v>
      </c>
      <c r="BP97" s="29" t="s">
        <v>1611</v>
      </c>
      <c r="BQ97" s="29" t="s">
        <v>1611</v>
      </c>
      <c r="BR97" s="29" t="s">
        <v>1611</v>
      </c>
      <c r="BS97" s="29" t="s">
        <v>1611</v>
      </c>
      <c r="BT97" s="29" t="s">
        <v>1611</v>
      </c>
      <c r="BU97" s="29" t="s">
        <v>2368</v>
      </c>
      <c r="BV97" s="29" t="s">
        <v>2411</v>
      </c>
      <c r="BW97" s="29" t="s">
        <v>1611</v>
      </c>
      <c r="BX97" s="29" t="s">
        <v>1611</v>
      </c>
      <c r="BY97" s="29" t="s">
        <v>1611</v>
      </c>
      <c r="BZ97" s="29" t="s">
        <v>1611</v>
      </c>
      <c r="CA97" s="29" t="s">
        <v>1611</v>
      </c>
      <c r="CB97" s="29" t="s">
        <v>1611</v>
      </c>
      <c r="CC97" s="29" t="s">
        <v>1611</v>
      </c>
      <c r="CD97" s="29" t="s">
        <v>1611</v>
      </c>
      <c r="CE97" s="29" t="s">
        <v>1611</v>
      </c>
      <c r="CF97" s="29" t="s">
        <v>1611</v>
      </c>
      <c r="CG97" s="29" t="s">
        <v>1741</v>
      </c>
      <c r="CH97" s="29" t="s">
        <v>1854</v>
      </c>
      <c r="CI97" s="29" t="s">
        <v>1611</v>
      </c>
      <c r="CJ97" s="29" t="s">
        <v>1611</v>
      </c>
      <c r="CK97" s="29" t="s">
        <v>1611</v>
      </c>
      <c r="CL97" s="29" t="s">
        <v>1611</v>
      </c>
      <c r="CM97" s="29" t="s">
        <v>1611</v>
      </c>
      <c r="CN97" s="29" t="s">
        <v>1611</v>
      </c>
      <c r="CO97" s="29" t="s">
        <v>1611</v>
      </c>
      <c r="CP97" s="29" t="s">
        <v>1611</v>
      </c>
      <c r="CQ97" s="29" t="s">
        <v>1611</v>
      </c>
      <c r="CR97" s="29" t="s">
        <v>1611</v>
      </c>
      <c r="CS97" s="29" t="s">
        <v>1611</v>
      </c>
      <c r="CT97" s="29" t="s">
        <v>1611</v>
      </c>
      <c r="CU97" s="29" t="s">
        <v>1611</v>
      </c>
      <c r="CV97" s="29" t="s">
        <v>1611</v>
      </c>
      <c r="CW97" s="29"/>
      <c r="CX97" s="29"/>
      <c r="CY97" s="151"/>
      <c r="CZ97" t="e">
        <v>#N/A</v>
      </c>
      <c r="DA97" t="e">
        <v>#N/A</v>
      </c>
      <c r="DC97" s="96" t="s">
        <v>3700</v>
      </c>
      <c r="DD97" s="96" t="str">
        <f t="shared" si="1"/>
        <v>V</v>
      </c>
    </row>
    <row r="98" spans="1:110" ht="16.5" customHeight="1" x14ac:dyDescent="0.3">
      <c r="C98" s="105">
        <v>1681503</v>
      </c>
      <c r="D98" s="27">
        <v>92</v>
      </c>
      <c r="E98" s="28" t="s">
        <v>822</v>
      </c>
      <c r="F98" s="28">
        <v>1000316828</v>
      </c>
      <c r="G98" s="29" t="s">
        <v>964</v>
      </c>
      <c r="H98" s="28">
        <v>1681503</v>
      </c>
      <c r="I98" s="29" t="s">
        <v>965</v>
      </c>
      <c r="J98" s="28" t="s">
        <v>659</v>
      </c>
      <c r="K98" s="7"/>
      <c r="L98" s="104" t="s">
        <v>702</v>
      </c>
      <c r="M98" s="29"/>
      <c r="N98" s="29"/>
      <c r="O98" s="127"/>
      <c r="P98" s="28"/>
      <c r="Q98" s="28"/>
      <c r="R98" s="28"/>
      <c r="S98" s="28"/>
      <c r="T98" s="28"/>
      <c r="U98" s="28"/>
      <c r="V98" s="28"/>
      <c r="W98" s="28"/>
      <c r="X98" s="28"/>
      <c r="Y98" s="28"/>
      <c r="Z98" s="28"/>
      <c r="AA98" s="28"/>
      <c r="AB98" s="104"/>
      <c r="AC98" s="104"/>
      <c r="AD98" s="9" t="s">
        <v>1269</v>
      </c>
      <c r="AE98" s="39">
        <v>46058</v>
      </c>
      <c r="AF98" s="9" t="s">
        <v>1276</v>
      </c>
      <c r="AG98" s="34" t="s">
        <v>3759</v>
      </c>
      <c r="AH98" s="9"/>
      <c r="AI98" s="9"/>
      <c r="AJ98" s="9"/>
      <c r="AK98" s="45"/>
      <c r="AL98" s="45" t="s">
        <v>2278</v>
      </c>
      <c r="AM98" s="45"/>
      <c r="AN98" s="45"/>
      <c r="AO98" s="45"/>
      <c r="AP98" s="45"/>
      <c r="AQ98" s="45"/>
      <c r="AR98" s="45"/>
      <c r="AS98" s="45"/>
      <c r="AT98" s="45"/>
      <c r="AU98" s="45"/>
      <c r="AV98" s="45"/>
      <c r="AW98" s="9"/>
      <c r="AX98" s="9"/>
      <c r="AY98" s="9"/>
      <c r="AZ98" s="9"/>
      <c r="BA98" s="10" t="s">
        <v>1611</v>
      </c>
      <c r="BB98" s="29" t="s">
        <v>1611</v>
      </c>
      <c r="BC98" s="29" t="s">
        <v>1611</v>
      </c>
      <c r="BD98" s="29" t="s">
        <v>1611</v>
      </c>
      <c r="BE98" s="29" t="s">
        <v>1611</v>
      </c>
      <c r="BF98" s="29" t="s">
        <v>1611</v>
      </c>
      <c r="BG98" s="29" t="s">
        <v>1611</v>
      </c>
      <c r="BH98" s="29" t="s">
        <v>1611</v>
      </c>
      <c r="BI98" s="29" t="s">
        <v>139</v>
      </c>
      <c r="BJ98" s="29" t="s">
        <v>2659</v>
      </c>
      <c r="BK98" s="29" t="s">
        <v>2754</v>
      </c>
      <c r="BL98" s="29" t="s">
        <v>2755</v>
      </c>
      <c r="BM98" s="29" t="s">
        <v>1611</v>
      </c>
      <c r="BN98" s="29" t="s">
        <v>1611</v>
      </c>
      <c r="BO98" s="29" t="s">
        <v>1611</v>
      </c>
      <c r="BP98" s="29" t="s">
        <v>1611</v>
      </c>
      <c r="BQ98" s="29" t="s">
        <v>1611</v>
      </c>
      <c r="BR98" s="29" t="s">
        <v>1611</v>
      </c>
      <c r="BS98" s="29" t="s">
        <v>1611</v>
      </c>
      <c r="BT98" s="29" t="s">
        <v>1611</v>
      </c>
      <c r="BU98" s="29" t="s">
        <v>2851</v>
      </c>
      <c r="BV98" s="29" t="s">
        <v>2852</v>
      </c>
      <c r="BW98" s="29" t="s">
        <v>1611</v>
      </c>
      <c r="BX98" s="29" t="s">
        <v>1611</v>
      </c>
      <c r="BY98" s="29" t="s">
        <v>1611</v>
      </c>
      <c r="BZ98" s="29" t="s">
        <v>1611</v>
      </c>
      <c r="CA98" s="29" t="s">
        <v>1611</v>
      </c>
      <c r="CB98" s="29" t="s">
        <v>1611</v>
      </c>
      <c r="CC98" s="29" t="s">
        <v>1611</v>
      </c>
      <c r="CD98" s="29" t="s">
        <v>1611</v>
      </c>
      <c r="CE98" s="29" t="s">
        <v>1611</v>
      </c>
      <c r="CF98" s="29" t="s">
        <v>1611</v>
      </c>
      <c r="CG98" s="29" t="s">
        <v>1742</v>
      </c>
      <c r="CH98" s="29" t="s">
        <v>1855</v>
      </c>
      <c r="CI98" s="29" t="s">
        <v>1611</v>
      </c>
      <c r="CJ98" s="29" t="s">
        <v>1611</v>
      </c>
      <c r="CK98" s="29" t="s">
        <v>1611</v>
      </c>
      <c r="CL98" s="29" t="s">
        <v>1611</v>
      </c>
      <c r="CM98" s="29" t="s">
        <v>1611</v>
      </c>
      <c r="CN98" s="29" t="s">
        <v>1611</v>
      </c>
      <c r="CO98" s="29" t="s">
        <v>1611</v>
      </c>
      <c r="CP98" s="29" t="s">
        <v>1611</v>
      </c>
      <c r="CQ98" s="29" t="s">
        <v>1611</v>
      </c>
      <c r="CR98" s="29" t="s">
        <v>1611</v>
      </c>
      <c r="CS98" s="29" t="s">
        <v>1611</v>
      </c>
      <c r="CT98" s="29" t="s">
        <v>1611</v>
      </c>
      <c r="CU98" s="29" t="s">
        <v>1611</v>
      </c>
      <c r="CV98" s="29" t="s">
        <v>1611</v>
      </c>
      <c r="CW98" s="29"/>
      <c r="CX98" s="29"/>
      <c r="CY98" s="151"/>
      <c r="CZ98" t="s">
        <v>3608</v>
      </c>
      <c r="DA98" t="s">
        <v>3587</v>
      </c>
      <c r="DC98" s="96" t="s">
        <v>3700</v>
      </c>
      <c r="DD98" s="96" t="str">
        <f t="shared" si="1"/>
        <v>V</v>
      </c>
    </row>
    <row r="99" spans="1:110" ht="16.5" customHeight="1" x14ac:dyDescent="0.3">
      <c r="A99" t="s">
        <v>3873</v>
      </c>
      <c r="B99" t="s">
        <v>3778</v>
      </c>
      <c r="C99" s="105">
        <v>1657536</v>
      </c>
      <c r="D99" s="27">
        <v>93</v>
      </c>
      <c r="E99" s="28" t="s">
        <v>808</v>
      </c>
      <c r="F99" s="28">
        <v>1000584416</v>
      </c>
      <c r="G99" s="29" t="s">
        <v>967</v>
      </c>
      <c r="H99" s="28">
        <v>1657536</v>
      </c>
      <c r="I99" s="29" t="s">
        <v>968</v>
      </c>
      <c r="J99" s="28" t="s">
        <v>429</v>
      </c>
      <c r="K99" s="7"/>
      <c r="L99" s="104" t="s">
        <v>3877</v>
      </c>
      <c r="M99" s="29" t="s">
        <v>36</v>
      </c>
      <c r="N99" s="29" t="s">
        <v>3876</v>
      </c>
      <c r="O99" s="127">
        <v>17917</v>
      </c>
      <c r="P99" s="28" t="s">
        <v>362</v>
      </c>
      <c r="Q99" s="28" t="s">
        <v>362</v>
      </c>
      <c r="R99" s="28" t="s">
        <v>362</v>
      </c>
      <c r="S99" s="28" t="s">
        <v>362</v>
      </c>
      <c r="T99" s="28" t="s">
        <v>3769</v>
      </c>
      <c r="U99" s="28" t="s">
        <v>3878</v>
      </c>
      <c r="V99" s="28" t="s">
        <v>362</v>
      </c>
      <c r="W99" s="28" t="s">
        <v>362</v>
      </c>
      <c r="X99" s="28" t="s">
        <v>362</v>
      </c>
      <c r="Y99" s="28" t="s">
        <v>362</v>
      </c>
      <c r="Z99" s="28" t="s">
        <v>362</v>
      </c>
      <c r="AA99" s="28" t="s">
        <v>362</v>
      </c>
      <c r="AB99" s="104" t="s">
        <v>1949</v>
      </c>
      <c r="AC99" s="104" t="s">
        <v>1950</v>
      </c>
      <c r="AD99" s="9" t="s">
        <v>1269</v>
      </c>
      <c r="AE99" s="9"/>
      <c r="AF99" s="9" t="s">
        <v>3780</v>
      </c>
      <c r="AG99" s="34"/>
      <c r="AH99" s="9"/>
      <c r="AI99" s="9"/>
      <c r="AJ99" s="9"/>
      <c r="AK99" s="45"/>
      <c r="AL99" s="45" t="s">
        <v>3059</v>
      </c>
      <c r="AM99" s="45"/>
      <c r="AN99" s="45"/>
      <c r="AO99" s="45"/>
      <c r="AP99" s="45"/>
      <c r="AQ99" s="45"/>
      <c r="AR99" s="45"/>
      <c r="AS99" s="45"/>
      <c r="AT99" s="45"/>
      <c r="AU99" s="45"/>
      <c r="AV99" s="45"/>
      <c r="AW99" s="9" t="s">
        <v>3874</v>
      </c>
      <c r="AX99" s="9" t="s">
        <v>3874</v>
      </c>
      <c r="AY99" s="9" t="s">
        <v>3874</v>
      </c>
      <c r="AZ99" s="9" t="s">
        <v>461</v>
      </c>
      <c r="BA99" s="10" t="s">
        <v>268</v>
      </c>
      <c r="BB99" s="29" t="s">
        <v>2608</v>
      </c>
      <c r="BC99" s="29" t="s">
        <v>1611</v>
      </c>
      <c r="BD99" s="29" t="s">
        <v>1611</v>
      </c>
      <c r="BE99" s="29" t="s">
        <v>2514</v>
      </c>
      <c r="BF99" s="29" t="s">
        <v>2515</v>
      </c>
      <c r="BG99" s="29" t="s">
        <v>2569</v>
      </c>
      <c r="BH99" s="29" t="s">
        <v>2570</v>
      </c>
      <c r="BI99" s="29" t="s">
        <v>305</v>
      </c>
      <c r="BJ99" s="29" t="s">
        <v>2769</v>
      </c>
      <c r="BK99" s="29" t="s">
        <v>512</v>
      </c>
      <c r="BL99" s="29" t="s">
        <v>2770</v>
      </c>
      <c r="BM99" s="29" t="s">
        <v>1611</v>
      </c>
      <c r="BN99" s="29" t="s">
        <v>1611</v>
      </c>
      <c r="BO99" s="29" t="s">
        <v>1611</v>
      </c>
      <c r="BP99" s="29" t="s">
        <v>1611</v>
      </c>
      <c r="BQ99" s="29" t="s">
        <v>1611</v>
      </c>
      <c r="BR99" s="29" t="s">
        <v>1611</v>
      </c>
      <c r="BS99" s="29" t="s">
        <v>1611</v>
      </c>
      <c r="BT99" s="29" t="s">
        <v>1611</v>
      </c>
      <c r="BU99" s="29" t="s">
        <v>2369</v>
      </c>
      <c r="BV99" s="29" t="s">
        <v>3836</v>
      </c>
      <c r="BW99" s="29" t="s">
        <v>1611</v>
      </c>
      <c r="BX99" s="29" t="s">
        <v>1611</v>
      </c>
      <c r="BY99" s="29" t="s">
        <v>1611</v>
      </c>
      <c r="BZ99" s="29" t="s">
        <v>1611</v>
      </c>
      <c r="CA99" s="29" t="s">
        <v>1611</v>
      </c>
      <c r="CB99" s="29" t="s">
        <v>1611</v>
      </c>
      <c r="CC99" s="29" t="s">
        <v>1611</v>
      </c>
      <c r="CD99" s="29" t="s">
        <v>1611</v>
      </c>
      <c r="CE99" s="29" t="s">
        <v>1611</v>
      </c>
      <c r="CF99" s="29" t="s">
        <v>1611</v>
      </c>
      <c r="CG99" s="29" t="s">
        <v>1743</v>
      </c>
      <c r="CH99" s="29" t="s">
        <v>3485</v>
      </c>
      <c r="CI99" s="29" t="s">
        <v>1611</v>
      </c>
      <c r="CJ99" s="29" t="s">
        <v>1611</v>
      </c>
      <c r="CK99" s="29" t="s">
        <v>3879</v>
      </c>
      <c r="CL99" s="29" t="s">
        <v>3880</v>
      </c>
      <c r="CM99" s="29" t="s">
        <v>1611</v>
      </c>
      <c r="CN99" s="29" t="s">
        <v>1611</v>
      </c>
      <c r="CO99" s="29" t="s">
        <v>1611</v>
      </c>
      <c r="CP99" s="29" t="s">
        <v>1611</v>
      </c>
      <c r="CQ99" s="29" t="s">
        <v>1611</v>
      </c>
      <c r="CR99" s="29" t="s">
        <v>1611</v>
      </c>
      <c r="CS99" s="29" t="s">
        <v>1611</v>
      </c>
      <c r="CT99" s="29" t="s">
        <v>1611</v>
      </c>
      <c r="CU99" s="29" t="s">
        <v>1611</v>
      </c>
      <c r="CV99" s="29" t="s">
        <v>1611</v>
      </c>
      <c r="CW99" s="29"/>
      <c r="CX99" s="29"/>
      <c r="CY99" s="151"/>
      <c r="CZ99" t="s">
        <v>3609</v>
      </c>
      <c r="DA99" t="s">
        <v>3634</v>
      </c>
      <c r="DC99" s="96" t="s">
        <v>3700</v>
      </c>
      <c r="DD99" s="96" t="str">
        <f t="shared" si="1"/>
        <v/>
      </c>
      <c r="DF99" s="96" t="s">
        <v>3753</v>
      </c>
    </row>
    <row r="100" spans="1:110" ht="16.5" customHeight="1" x14ac:dyDescent="0.3">
      <c r="C100" s="105">
        <v>1689472</v>
      </c>
      <c r="D100" s="27">
        <v>94</v>
      </c>
      <c r="E100" s="28" t="s">
        <v>656</v>
      </c>
      <c r="F100" s="28">
        <v>1000314936</v>
      </c>
      <c r="G100" s="29" t="s">
        <v>2308</v>
      </c>
      <c r="H100" s="28">
        <v>1689472</v>
      </c>
      <c r="I100" s="29" t="s">
        <v>970</v>
      </c>
      <c r="J100" s="28" t="s">
        <v>659</v>
      </c>
      <c r="K100" s="7"/>
      <c r="L100" s="104" t="s">
        <v>708</v>
      </c>
      <c r="M100" s="29" t="s">
        <v>2325</v>
      </c>
      <c r="N100" s="29" t="s">
        <v>2301</v>
      </c>
      <c r="O100" s="127">
        <v>257934</v>
      </c>
      <c r="P100" s="113" t="s">
        <v>1624</v>
      </c>
      <c r="Q100" s="28" t="s">
        <v>612</v>
      </c>
      <c r="R100" s="28" t="s">
        <v>1301</v>
      </c>
      <c r="S100" s="28" t="s">
        <v>1301</v>
      </c>
      <c r="T100" s="28" t="s">
        <v>1301</v>
      </c>
      <c r="U100" s="28" t="s">
        <v>1301</v>
      </c>
      <c r="V100" s="28" t="s">
        <v>1301</v>
      </c>
      <c r="W100" s="28" t="s">
        <v>1301</v>
      </c>
      <c r="X100" s="28" t="s">
        <v>1301</v>
      </c>
      <c r="Y100" s="28" t="s">
        <v>1301</v>
      </c>
      <c r="Z100" s="28" t="s">
        <v>1301</v>
      </c>
      <c r="AA100" s="28" t="s">
        <v>1301</v>
      </c>
      <c r="AB100" s="104" t="s">
        <v>1949</v>
      </c>
      <c r="AC100" s="104" t="s">
        <v>1950</v>
      </c>
      <c r="AD100" s="9" t="s">
        <v>1269</v>
      </c>
      <c r="AE100" s="9"/>
      <c r="AF100" s="9"/>
      <c r="AG100" s="34"/>
      <c r="AH100" s="9"/>
      <c r="AI100" s="9"/>
      <c r="AJ100" s="9"/>
      <c r="AK100" s="45"/>
      <c r="AL100" s="45" t="s">
        <v>461</v>
      </c>
      <c r="AM100" s="45" t="s">
        <v>461</v>
      </c>
      <c r="AN100" s="45" t="s">
        <v>461</v>
      </c>
      <c r="AO100" s="45" t="s">
        <v>461</v>
      </c>
      <c r="AP100" s="45" t="s">
        <v>461</v>
      </c>
      <c r="AQ100" s="45" t="s">
        <v>461</v>
      </c>
      <c r="AR100" s="45" t="s">
        <v>461</v>
      </c>
      <c r="AS100" s="45"/>
      <c r="AT100" s="45"/>
      <c r="AU100" s="45"/>
      <c r="AV100" s="45"/>
      <c r="AW100" s="9"/>
      <c r="AX100" s="9"/>
      <c r="AY100" s="9"/>
      <c r="AZ100" s="9"/>
      <c r="BA100" s="10" t="s">
        <v>1611</v>
      </c>
      <c r="BB100" s="29" t="s">
        <v>1611</v>
      </c>
      <c r="BC100" s="29" t="s">
        <v>1611</v>
      </c>
      <c r="BD100" s="29" t="s">
        <v>1611</v>
      </c>
      <c r="BE100" s="29" t="s">
        <v>1611</v>
      </c>
      <c r="BF100" s="29" t="s">
        <v>1611</v>
      </c>
      <c r="BG100" s="29" t="s">
        <v>1611</v>
      </c>
      <c r="BH100" s="29" t="s">
        <v>1611</v>
      </c>
      <c r="BI100" s="29" t="s">
        <v>149</v>
      </c>
      <c r="BJ100" s="29" t="s">
        <v>2679</v>
      </c>
      <c r="BK100" s="29" t="s">
        <v>230</v>
      </c>
      <c r="BL100" s="29" t="s">
        <v>2681</v>
      </c>
      <c r="BM100" s="29" t="s">
        <v>1611</v>
      </c>
      <c r="BN100" s="29" t="s">
        <v>1611</v>
      </c>
      <c r="BO100" s="29" t="s">
        <v>1611</v>
      </c>
      <c r="BP100" s="29" t="s">
        <v>1611</v>
      </c>
      <c r="BQ100" s="29" t="s">
        <v>1611</v>
      </c>
      <c r="BR100" s="29" t="s">
        <v>1611</v>
      </c>
      <c r="BS100" s="29" t="s">
        <v>1611</v>
      </c>
      <c r="BT100" s="29" t="s">
        <v>1611</v>
      </c>
      <c r="BU100" s="29" t="s">
        <v>96</v>
      </c>
      <c r="BV100" s="29" t="s">
        <v>2631</v>
      </c>
      <c r="BW100" s="29" t="s">
        <v>1611</v>
      </c>
      <c r="BX100" s="29" t="s">
        <v>1611</v>
      </c>
      <c r="BY100" s="29" t="s">
        <v>1611</v>
      </c>
      <c r="BZ100" s="29" t="s">
        <v>1611</v>
      </c>
      <c r="CA100" s="29" t="s">
        <v>1611</v>
      </c>
      <c r="CB100" s="29" t="s">
        <v>1611</v>
      </c>
      <c r="CC100" s="29" t="s">
        <v>1611</v>
      </c>
      <c r="CD100" s="29" t="s">
        <v>1611</v>
      </c>
      <c r="CE100" s="29" t="s">
        <v>1611</v>
      </c>
      <c r="CF100" s="29" t="s">
        <v>1611</v>
      </c>
      <c r="CG100" s="29" t="s">
        <v>1753</v>
      </c>
      <c r="CH100" s="29" t="s">
        <v>1866</v>
      </c>
      <c r="CI100" s="29" t="s">
        <v>1611</v>
      </c>
      <c r="CJ100" s="29" t="s">
        <v>1611</v>
      </c>
      <c r="CK100" s="29" t="s">
        <v>2853</v>
      </c>
      <c r="CL100" s="29" t="s">
        <v>2854</v>
      </c>
      <c r="CM100" s="29" t="s">
        <v>2855</v>
      </c>
      <c r="CN100" s="29" t="s">
        <v>2856</v>
      </c>
      <c r="CO100" s="29" t="s">
        <v>1611</v>
      </c>
      <c r="CP100" s="29" t="s">
        <v>1611</v>
      </c>
      <c r="CQ100" s="29" t="s">
        <v>1611</v>
      </c>
      <c r="CR100" s="29" t="s">
        <v>1611</v>
      </c>
      <c r="CS100" s="29" t="s">
        <v>1611</v>
      </c>
      <c r="CT100" s="29" t="s">
        <v>1611</v>
      </c>
      <c r="CU100" s="29" t="s">
        <v>1611</v>
      </c>
      <c r="CV100" s="29" t="s">
        <v>1611</v>
      </c>
      <c r="CW100" s="29"/>
      <c r="CX100" s="29"/>
      <c r="CY100" s="151"/>
      <c r="CZ100" t="s">
        <v>3281</v>
      </c>
      <c r="DA100" t="s">
        <v>3634</v>
      </c>
      <c r="DD100" s="96" t="str">
        <f t="shared" si="1"/>
        <v/>
      </c>
      <c r="DF100" s="96" t="s">
        <v>3753</v>
      </c>
    </row>
    <row r="101" spans="1:110" x14ac:dyDescent="0.3">
      <c r="C101" s="105">
        <v>1684212</v>
      </c>
      <c r="D101" s="27">
        <v>95</v>
      </c>
      <c r="E101" s="28" t="s">
        <v>822</v>
      </c>
      <c r="F101" s="28">
        <v>1000563922</v>
      </c>
      <c r="G101" s="29" t="s">
        <v>972</v>
      </c>
      <c r="H101" s="28">
        <v>1684212</v>
      </c>
      <c r="I101" s="29" t="s">
        <v>973</v>
      </c>
      <c r="J101" s="28" t="s">
        <v>659</v>
      </c>
      <c r="K101" s="7"/>
      <c r="L101" s="104" t="s">
        <v>709</v>
      </c>
      <c r="M101" s="29"/>
      <c r="N101" s="29"/>
      <c r="O101" s="127"/>
      <c r="P101" s="28"/>
      <c r="Q101" s="28"/>
      <c r="R101" s="28"/>
      <c r="S101" s="28"/>
      <c r="T101" s="28"/>
      <c r="U101" s="28"/>
      <c r="V101" s="28"/>
      <c r="W101" s="28"/>
      <c r="X101" s="28"/>
      <c r="Y101" s="28"/>
      <c r="Z101" s="28"/>
      <c r="AA101" s="28"/>
      <c r="AB101" s="104"/>
      <c r="AC101" s="104"/>
      <c r="AD101" s="9" t="s">
        <v>1269</v>
      </c>
      <c r="AE101" s="39">
        <v>46063</v>
      </c>
      <c r="AF101" s="9" t="s">
        <v>1276</v>
      </c>
      <c r="AG101" s="34" t="s">
        <v>3759</v>
      </c>
      <c r="AH101" s="9"/>
      <c r="AI101" s="9"/>
      <c r="AJ101" s="9"/>
      <c r="AK101" s="45"/>
      <c r="AL101" s="45"/>
      <c r="AM101" s="45"/>
      <c r="AN101" s="45"/>
      <c r="AO101" s="45"/>
      <c r="AP101" s="45"/>
      <c r="AQ101" s="45"/>
      <c r="AR101" s="45"/>
      <c r="AS101" s="45"/>
      <c r="AT101" s="45"/>
      <c r="AU101" s="45"/>
      <c r="AV101" s="45"/>
      <c r="AW101" s="9"/>
      <c r="AX101" s="9"/>
      <c r="AY101" s="9"/>
      <c r="AZ101" s="9"/>
      <c r="BA101" s="10" t="s">
        <v>268</v>
      </c>
      <c r="BB101" s="29" t="s">
        <v>2608</v>
      </c>
      <c r="BC101" s="29" t="s">
        <v>2496</v>
      </c>
      <c r="BD101" s="29" t="s">
        <v>2550</v>
      </c>
      <c r="BE101" s="29" t="s">
        <v>2502</v>
      </c>
      <c r="BF101" s="29" t="s">
        <v>2503</v>
      </c>
      <c r="BG101" s="29" t="s">
        <v>2660</v>
      </c>
      <c r="BH101" s="29" t="s">
        <v>2661</v>
      </c>
      <c r="BI101" s="29" t="s">
        <v>1611</v>
      </c>
      <c r="BJ101" s="29" t="s">
        <v>1611</v>
      </c>
      <c r="BK101" s="29" t="s">
        <v>148</v>
      </c>
      <c r="BL101" s="29" t="s">
        <v>2678</v>
      </c>
      <c r="BM101" s="29" t="s">
        <v>1611</v>
      </c>
      <c r="BN101" s="29" t="s">
        <v>1611</v>
      </c>
      <c r="BO101" s="29" t="s">
        <v>1611</v>
      </c>
      <c r="BP101" s="29" t="s">
        <v>1611</v>
      </c>
      <c r="BQ101" s="29" t="s">
        <v>1611</v>
      </c>
      <c r="BR101" s="29" t="s">
        <v>1611</v>
      </c>
      <c r="BS101" s="29" t="s">
        <v>1611</v>
      </c>
      <c r="BT101" s="29" t="s">
        <v>1611</v>
      </c>
      <c r="BU101" s="29" t="s">
        <v>2370</v>
      </c>
      <c r="BV101" s="29" t="s">
        <v>2413</v>
      </c>
      <c r="BW101" s="29" t="s">
        <v>1611</v>
      </c>
      <c r="BX101" s="29" t="s">
        <v>1611</v>
      </c>
      <c r="BY101" s="29" t="s">
        <v>1611</v>
      </c>
      <c r="BZ101" s="29" t="s">
        <v>1611</v>
      </c>
      <c r="CA101" s="29" t="s">
        <v>1611</v>
      </c>
      <c r="CB101" s="29" t="s">
        <v>1611</v>
      </c>
      <c r="CC101" s="29" t="s">
        <v>1611</v>
      </c>
      <c r="CD101" s="29" t="s">
        <v>1611</v>
      </c>
      <c r="CE101" s="29" t="s">
        <v>1611</v>
      </c>
      <c r="CF101" s="29" t="s">
        <v>1611</v>
      </c>
      <c r="CG101" s="29" t="s">
        <v>2395</v>
      </c>
      <c r="CH101" s="29" t="s">
        <v>2443</v>
      </c>
      <c r="CI101" s="29" t="s">
        <v>1611</v>
      </c>
      <c r="CJ101" s="29" t="s">
        <v>1611</v>
      </c>
      <c r="CK101" s="29" t="s">
        <v>1611</v>
      </c>
      <c r="CL101" s="29" t="s">
        <v>1611</v>
      </c>
      <c r="CM101" s="29" t="s">
        <v>1611</v>
      </c>
      <c r="CN101" s="29" t="s">
        <v>1611</v>
      </c>
      <c r="CO101" s="29" t="s">
        <v>1611</v>
      </c>
      <c r="CP101" s="29" t="s">
        <v>1611</v>
      </c>
      <c r="CQ101" s="29" t="s">
        <v>1611</v>
      </c>
      <c r="CR101" s="29" t="s">
        <v>1611</v>
      </c>
      <c r="CS101" s="29" t="s">
        <v>1611</v>
      </c>
      <c r="CT101" s="29" t="s">
        <v>1611</v>
      </c>
      <c r="CU101" s="29" t="s">
        <v>1611</v>
      </c>
      <c r="CV101" s="29" t="s">
        <v>1611</v>
      </c>
      <c r="CW101" s="29"/>
      <c r="CX101" s="29"/>
      <c r="CY101" s="151"/>
      <c r="CZ101" t="e">
        <v>#N/A</v>
      </c>
      <c r="DA101" t="e">
        <v>#N/A</v>
      </c>
      <c r="DC101" s="96" t="s">
        <v>3700</v>
      </c>
      <c r="DD101" s="96" t="str">
        <f t="shared" si="1"/>
        <v>V</v>
      </c>
    </row>
    <row r="102" spans="1:110" ht="16.5" customHeight="1" x14ac:dyDescent="0.3">
      <c r="C102" s="105">
        <v>1681431</v>
      </c>
      <c r="D102" s="27">
        <v>96</v>
      </c>
      <c r="E102" s="28" t="s">
        <v>829</v>
      </c>
      <c r="F102" s="28">
        <v>1000317554</v>
      </c>
      <c r="G102" s="29" t="s">
        <v>976</v>
      </c>
      <c r="H102" s="28">
        <v>1681431</v>
      </c>
      <c r="I102" s="29" t="s">
        <v>977</v>
      </c>
      <c r="J102" s="28" t="s">
        <v>854</v>
      </c>
      <c r="K102" s="7"/>
      <c r="L102" s="104" t="s">
        <v>3875</v>
      </c>
      <c r="M102" s="29"/>
      <c r="N102" s="29"/>
      <c r="O102" s="127"/>
      <c r="P102" s="28"/>
      <c r="Q102" s="28"/>
      <c r="R102" s="28"/>
      <c r="S102" s="28"/>
      <c r="T102" s="28"/>
      <c r="U102" s="28"/>
      <c r="V102" s="28"/>
      <c r="W102" s="28"/>
      <c r="X102" s="28"/>
      <c r="Y102" s="28"/>
      <c r="Z102" s="28"/>
      <c r="AA102" s="28"/>
      <c r="AB102" s="104"/>
      <c r="AC102" s="104"/>
      <c r="AD102" s="9" t="s">
        <v>1269</v>
      </c>
      <c r="AE102" s="39">
        <v>45958</v>
      </c>
      <c r="AF102" s="9" t="s">
        <v>1276</v>
      </c>
      <c r="AG102" s="34" t="s">
        <v>2348</v>
      </c>
      <c r="AH102" s="9"/>
      <c r="AI102" s="9"/>
      <c r="AJ102" s="9"/>
      <c r="AK102" s="45"/>
      <c r="AL102" s="45"/>
      <c r="AM102" s="45"/>
      <c r="AN102" s="45"/>
      <c r="AO102" s="45"/>
      <c r="AP102" s="45"/>
      <c r="AQ102" s="45"/>
      <c r="AR102" s="45"/>
      <c r="AS102" s="45"/>
      <c r="AT102" s="45"/>
      <c r="AU102" s="45"/>
      <c r="AV102" s="45"/>
      <c r="AW102" s="9"/>
      <c r="AX102" s="9"/>
      <c r="AY102" s="9"/>
      <c r="AZ102" s="9"/>
      <c r="BA102" s="10" t="s">
        <v>2499</v>
      </c>
      <c r="BB102" s="29" t="s">
        <v>2756</v>
      </c>
      <c r="BC102" s="29" t="s">
        <v>1611</v>
      </c>
      <c r="BD102" s="29" t="s">
        <v>1611</v>
      </c>
      <c r="BE102" s="29" t="s">
        <v>2514</v>
      </c>
      <c r="BF102" s="29" t="s">
        <v>2515</v>
      </c>
      <c r="BG102" s="29" t="s">
        <v>2599</v>
      </c>
      <c r="BH102" s="29" t="s">
        <v>2600</v>
      </c>
      <c r="BI102" s="29" t="s">
        <v>94</v>
      </c>
      <c r="BJ102" s="29" t="s">
        <v>2630</v>
      </c>
      <c r="BK102" s="29" t="s">
        <v>253</v>
      </c>
      <c r="BL102" s="29" t="s">
        <v>2784</v>
      </c>
      <c r="BM102" s="29" t="s">
        <v>1611</v>
      </c>
      <c r="BN102" s="29" t="s">
        <v>1611</v>
      </c>
      <c r="BO102" s="29" t="s">
        <v>1611</v>
      </c>
      <c r="BP102" s="29" t="s">
        <v>1611</v>
      </c>
      <c r="BQ102" s="29" t="s">
        <v>1611</v>
      </c>
      <c r="BR102" s="29" t="s">
        <v>1611</v>
      </c>
      <c r="BS102" s="29" t="s">
        <v>1611</v>
      </c>
      <c r="BT102" s="29" t="s">
        <v>1611</v>
      </c>
      <c r="BU102" s="29" t="s">
        <v>150</v>
      </c>
      <c r="BV102" s="29" t="s">
        <v>2680</v>
      </c>
      <c r="BW102" s="29" t="s">
        <v>1611</v>
      </c>
      <c r="BX102" s="29" t="s">
        <v>1611</v>
      </c>
      <c r="BY102" s="29" t="s">
        <v>1611</v>
      </c>
      <c r="BZ102" s="29" t="s">
        <v>1611</v>
      </c>
      <c r="CA102" s="29" t="s">
        <v>1611</v>
      </c>
      <c r="CB102" s="29" t="s">
        <v>1611</v>
      </c>
      <c r="CC102" s="29" t="s">
        <v>1611</v>
      </c>
      <c r="CD102" s="29" t="s">
        <v>1611</v>
      </c>
      <c r="CE102" s="29" t="s">
        <v>1611</v>
      </c>
      <c r="CF102" s="29" t="s">
        <v>1611</v>
      </c>
      <c r="CG102" s="29" t="s">
        <v>1745</v>
      </c>
      <c r="CH102" s="29" t="s">
        <v>1858</v>
      </c>
      <c r="CI102" s="29" t="s">
        <v>1611</v>
      </c>
      <c r="CJ102" s="29" t="s">
        <v>1611</v>
      </c>
      <c r="CK102" s="29" t="s">
        <v>1611</v>
      </c>
      <c r="CL102" s="29" t="s">
        <v>1611</v>
      </c>
      <c r="CM102" s="29" t="s">
        <v>1611</v>
      </c>
      <c r="CN102" s="29" t="s">
        <v>1611</v>
      </c>
      <c r="CO102" s="29" t="s">
        <v>1611</v>
      </c>
      <c r="CP102" s="29" t="s">
        <v>1611</v>
      </c>
      <c r="CQ102" s="29" t="s">
        <v>1611</v>
      </c>
      <c r="CR102" s="29" t="s">
        <v>1611</v>
      </c>
      <c r="CS102" s="29" t="s">
        <v>1611</v>
      </c>
      <c r="CT102" s="29" t="s">
        <v>1611</v>
      </c>
      <c r="CU102" s="29" t="s">
        <v>1611</v>
      </c>
      <c r="CV102" s="29" t="s">
        <v>1611</v>
      </c>
      <c r="CW102" s="29"/>
      <c r="CX102" s="29"/>
      <c r="CY102" s="151"/>
      <c r="CZ102" t="e">
        <v>#N/A</v>
      </c>
      <c r="DA102" t="e">
        <v>#N/A</v>
      </c>
      <c r="DD102" s="96" t="str">
        <f t="shared" si="1"/>
        <v>V</v>
      </c>
    </row>
    <row r="103" spans="1:110" ht="16.5" customHeight="1" x14ac:dyDescent="0.3">
      <c r="C103" s="105">
        <v>1667347</v>
      </c>
      <c r="D103" s="27">
        <v>97</v>
      </c>
      <c r="E103" s="28" t="s">
        <v>818</v>
      </c>
      <c r="F103" s="28">
        <v>1000316778</v>
      </c>
      <c r="G103" s="29" t="s">
        <v>978</v>
      </c>
      <c r="H103" s="28">
        <v>1667347</v>
      </c>
      <c r="I103" s="29" t="s">
        <v>979</v>
      </c>
      <c r="J103" s="28" t="s">
        <v>429</v>
      </c>
      <c r="K103" s="7"/>
      <c r="L103" s="104" t="s">
        <v>710</v>
      </c>
      <c r="M103" s="29"/>
      <c r="N103" s="29"/>
      <c r="O103" s="127"/>
      <c r="P103" s="28"/>
      <c r="Q103" s="28"/>
      <c r="R103" s="28"/>
      <c r="S103" s="28"/>
      <c r="T103" s="28"/>
      <c r="U103" s="28"/>
      <c r="V103" s="28"/>
      <c r="W103" s="28"/>
      <c r="X103" s="28"/>
      <c r="Y103" s="28"/>
      <c r="Z103" s="28"/>
      <c r="AA103" s="28"/>
      <c r="AB103" s="104"/>
      <c r="AC103" s="104"/>
      <c r="AD103" s="9" t="s">
        <v>1269</v>
      </c>
      <c r="AE103" s="39">
        <v>46059</v>
      </c>
      <c r="AF103" s="9" t="s">
        <v>1276</v>
      </c>
      <c r="AG103" s="34" t="s">
        <v>3754</v>
      </c>
      <c r="AH103" s="9"/>
      <c r="AI103" s="9"/>
      <c r="AJ103" s="9"/>
      <c r="AK103" s="45"/>
      <c r="AL103" s="45"/>
      <c r="AM103" s="45"/>
      <c r="AN103" s="45"/>
      <c r="AO103" s="45"/>
      <c r="AP103" s="45"/>
      <c r="AQ103" s="45"/>
      <c r="AR103" s="45"/>
      <c r="AS103" s="45"/>
      <c r="AT103" s="45"/>
      <c r="AU103" s="45"/>
      <c r="AV103" s="45"/>
      <c r="AW103" s="9"/>
      <c r="AX103" s="9"/>
      <c r="AY103" s="9"/>
      <c r="AZ103" s="9"/>
      <c r="BA103" s="10" t="s">
        <v>147</v>
      </c>
      <c r="BB103" s="29" t="s">
        <v>2695</v>
      </c>
      <c r="BC103" s="29" t="s">
        <v>1611</v>
      </c>
      <c r="BD103" s="29" t="s">
        <v>1611</v>
      </c>
      <c r="BE103" s="29" t="s">
        <v>2514</v>
      </c>
      <c r="BF103" s="29" t="s">
        <v>2515</v>
      </c>
      <c r="BG103" s="29" t="s">
        <v>2539</v>
      </c>
      <c r="BH103" s="29" t="s">
        <v>2540</v>
      </c>
      <c r="BI103" s="29" t="s">
        <v>81</v>
      </c>
      <c r="BJ103" s="29" t="s">
        <v>2799</v>
      </c>
      <c r="BK103" s="29" t="s">
        <v>3689</v>
      </c>
      <c r="BL103" s="29" t="s">
        <v>3690</v>
      </c>
      <c r="BM103" s="29" t="s">
        <v>1611</v>
      </c>
      <c r="BN103" s="29" t="s">
        <v>1611</v>
      </c>
      <c r="BO103" s="29" t="s">
        <v>1611</v>
      </c>
      <c r="BP103" s="29" t="s">
        <v>1611</v>
      </c>
      <c r="BQ103" s="29" t="s">
        <v>1611</v>
      </c>
      <c r="BR103" s="29" t="s">
        <v>1611</v>
      </c>
      <c r="BS103" s="29" t="s">
        <v>1611</v>
      </c>
      <c r="BT103" s="29" t="s">
        <v>1611</v>
      </c>
      <c r="BU103" s="29" t="s">
        <v>2371</v>
      </c>
      <c r="BV103" s="29" t="s">
        <v>2414</v>
      </c>
      <c r="BW103" s="29" t="s">
        <v>1611</v>
      </c>
      <c r="BX103" s="29" t="s">
        <v>1611</v>
      </c>
      <c r="BY103" s="29" t="s">
        <v>1611</v>
      </c>
      <c r="BZ103" s="29" t="s">
        <v>1611</v>
      </c>
      <c r="CA103" s="29" t="s">
        <v>1611</v>
      </c>
      <c r="CB103" s="29" t="s">
        <v>1611</v>
      </c>
      <c r="CC103" s="29" t="s">
        <v>1611</v>
      </c>
      <c r="CD103" s="29" t="s">
        <v>1611</v>
      </c>
      <c r="CE103" s="29" t="s">
        <v>1611</v>
      </c>
      <c r="CF103" s="29" t="s">
        <v>1611</v>
      </c>
      <c r="CG103" s="29" t="s">
        <v>1746</v>
      </c>
      <c r="CH103" s="29" t="s">
        <v>1859</v>
      </c>
      <c r="CI103" s="29" t="s">
        <v>1611</v>
      </c>
      <c r="CJ103" s="29" t="s">
        <v>1611</v>
      </c>
      <c r="CK103" s="29" t="s">
        <v>1611</v>
      </c>
      <c r="CL103" s="29" t="s">
        <v>1611</v>
      </c>
      <c r="CM103" s="29" t="s">
        <v>1611</v>
      </c>
      <c r="CN103" s="29" t="s">
        <v>1611</v>
      </c>
      <c r="CO103" s="29" t="s">
        <v>1611</v>
      </c>
      <c r="CP103" s="29" t="s">
        <v>1611</v>
      </c>
      <c r="CQ103" s="29" t="s">
        <v>1611</v>
      </c>
      <c r="CR103" s="29" t="s">
        <v>1611</v>
      </c>
      <c r="CS103" s="29" t="s">
        <v>1611</v>
      </c>
      <c r="CT103" s="29" t="s">
        <v>1611</v>
      </c>
      <c r="CU103" s="29" t="s">
        <v>1611</v>
      </c>
      <c r="CV103" s="29" t="s">
        <v>1611</v>
      </c>
      <c r="CW103" s="29"/>
      <c r="CX103" s="29"/>
      <c r="CY103" s="151"/>
      <c r="CZ103" t="e">
        <v>#N/A</v>
      </c>
      <c r="DA103" t="e">
        <v>#N/A</v>
      </c>
      <c r="DC103" s="96" t="s">
        <v>3700</v>
      </c>
      <c r="DD103" s="96" t="str">
        <f t="shared" si="1"/>
        <v>V</v>
      </c>
    </row>
    <row r="104" spans="1:110" ht="16.5" customHeight="1" x14ac:dyDescent="0.3">
      <c r="C104" s="105">
        <v>1660093</v>
      </c>
      <c r="D104" s="27">
        <v>98</v>
      </c>
      <c r="E104" s="28" t="s">
        <v>786</v>
      </c>
      <c r="F104" s="28">
        <v>1000317525</v>
      </c>
      <c r="G104" s="29" t="s">
        <v>980</v>
      </c>
      <c r="H104" s="28">
        <v>1660093</v>
      </c>
      <c r="I104" s="29" t="s">
        <v>981</v>
      </c>
      <c r="J104" s="28" t="s">
        <v>429</v>
      </c>
      <c r="K104" s="7"/>
      <c r="L104" s="104" t="s">
        <v>711</v>
      </c>
      <c r="M104" s="29"/>
      <c r="N104" s="29"/>
      <c r="O104" s="127"/>
      <c r="P104" s="28"/>
      <c r="Q104" s="28"/>
      <c r="R104" s="28"/>
      <c r="S104" s="28"/>
      <c r="T104" s="28"/>
      <c r="U104" s="28"/>
      <c r="V104" s="28"/>
      <c r="W104" s="28"/>
      <c r="X104" s="28"/>
      <c r="Y104" s="28"/>
      <c r="Z104" s="28"/>
      <c r="AA104" s="28"/>
      <c r="AB104" s="104"/>
      <c r="AC104" s="104"/>
      <c r="AD104" s="9" t="s">
        <v>1269</v>
      </c>
      <c r="AE104" s="39">
        <v>46058</v>
      </c>
      <c r="AF104" s="9" t="s">
        <v>3691</v>
      </c>
      <c r="AG104" s="34" t="s">
        <v>3756</v>
      </c>
      <c r="AH104" s="9"/>
      <c r="AI104" s="9"/>
      <c r="AJ104" s="9"/>
      <c r="AK104" s="45"/>
      <c r="AL104" s="45"/>
      <c r="AM104" s="45"/>
      <c r="AN104" s="45"/>
      <c r="AO104" s="45"/>
      <c r="AP104" s="45"/>
      <c r="AQ104" s="45"/>
      <c r="AR104" s="45"/>
      <c r="AS104" s="45"/>
      <c r="AT104" s="45"/>
      <c r="AU104" s="45"/>
      <c r="AV104" s="45"/>
      <c r="AW104" s="9"/>
      <c r="AX104" s="9"/>
      <c r="AY104" s="9"/>
      <c r="AZ104" s="9"/>
      <c r="BA104" s="10" t="s">
        <v>184</v>
      </c>
      <c r="BB104" s="29" t="s">
        <v>2568</v>
      </c>
      <c r="BC104" s="29" t="s">
        <v>1611</v>
      </c>
      <c r="BD104" s="29" t="s">
        <v>1611</v>
      </c>
      <c r="BE104" s="29" t="s">
        <v>2502</v>
      </c>
      <c r="BF104" s="29" t="s">
        <v>2503</v>
      </c>
      <c r="BG104" s="29" t="s">
        <v>2539</v>
      </c>
      <c r="BH104" s="29" t="s">
        <v>2540</v>
      </c>
      <c r="BI104" s="29" t="s">
        <v>305</v>
      </c>
      <c r="BJ104" s="29" t="s">
        <v>2769</v>
      </c>
      <c r="BK104" s="29" t="s">
        <v>2732</v>
      </c>
      <c r="BL104" s="29" t="s">
        <v>2733</v>
      </c>
      <c r="BM104" s="29" t="s">
        <v>1611</v>
      </c>
      <c r="BN104" s="29" t="s">
        <v>1611</v>
      </c>
      <c r="BO104" s="29" t="s">
        <v>1611</v>
      </c>
      <c r="BP104" s="29" t="s">
        <v>1611</v>
      </c>
      <c r="BQ104" s="29" t="s">
        <v>1611</v>
      </c>
      <c r="BR104" s="29" t="s">
        <v>1611</v>
      </c>
      <c r="BS104" s="29" t="s">
        <v>1611</v>
      </c>
      <c r="BT104" s="29" t="s">
        <v>1611</v>
      </c>
      <c r="BU104" s="29" t="s">
        <v>2372</v>
      </c>
      <c r="BV104" s="29" t="s">
        <v>2415</v>
      </c>
      <c r="BW104" s="29" t="s">
        <v>1611</v>
      </c>
      <c r="BX104" s="29" t="s">
        <v>1611</v>
      </c>
      <c r="BY104" s="29" t="s">
        <v>1611</v>
      </c>
      <c r="BZ104" s="29" t="s">
        <v>1611</v>
      </c>
      <c r="CA104" s="29" t="s">
        <v>1611</v>
      </c>
      <c r="CB104" s="29" t="s">
        <v>1611</v>
      </c>
      <c r="CC104" s="29" t="s">
        <v>1611</v>
      </c>
      <c r="CD104" s="29" t="s">
        <v>1611</v>
      </c>
      <c r="CE104" s="29" t="s">
        <v>1611</v>
      </c>
      <c r="CF104" s="29" t="s">
        <v>1611</v>
      </c>
      <c r="CG104" s="29" t="s">
        <v>1747</v>
      </c>
      <c r="CH104" s="29" t="s">
        <v>1860</v>
      </c>
      <c r="CI104" s="29" t="s">
        <v>1611</v>
      </c>
      <c r="CJ104" s="29" t="s">
        <v>1611</v>
      </c>
      <c r="CK104" s="29" t="s">
        <v>1611</v>
      </c>
      <c r="CL104" s="29" t="s">
        <v>1611</v>
      </c>
      <c r="CM104" s="29" t="s">
        <v>1611</v>
      </c>
      <c r="CN104" s="29" t="s">
        <v>1611</v>
      </c>
      <c r="CO104" s="29" t="s">
        <v>1611</v>
      </c>
      <c r="CP104" s="29" t="s">
        <v>1611</v>
      </c>
      <c r="CQ104" s="29" t="s">
        <v>1611</v>
      </c>
      <c r="CR104" s="29" t="s">
        <v>1611</v>
      </c>
      <c r="CS104" s="29" t="s">
        <v>1611</v>
      </c>
      <c r="CT104" s="29" t="s">
        <v>1611</v>
      </c>
      <c r="CU104" s="29" t="s">
        <v>1611</v>
      </c>
      <c r="CV104" s="29" t="s">
        <v>1611</v>
      </c>
      <c r="CW104" s="29"/>
      <c r="CX104" s="29"/>
      <c r="CY104" s="151"/>
      <c r="CZ104" t="e">
        <v>#N/A</v>
      </c>
      <c r="DA104" t="e">
        <v>#N/A</v>
      </c>
      <c r="DC104" s="96" t="s">
        <v>3700</v>
      </c>
      <c r="DD104" s="96" t="str">
        <f t="shared" si="1"/>
        <v>V</v>
      </c>
    </row>
    <row r="105" spans="1:110" ht="16.5" customHeight="1" x14ac:dyDescent="0.3">
      <c r="C105" s="105">
        <v>1683673</v>
      </c>
      <c r="D105" s="27">
        <v>99</v>
      </c>
      <c r="E105" s="28" t="s">
        <v>656</v>
      </c>
      <c r="F105" s="28">
        <v>1000985216</v>
      </c>
      <c r="G105" s="29" t="s">
        <v>983</v>
      </c>
      <c r="H105" s="28">
        <v>1683673</v>
      </c>
      <c r="I105" s="29" t="s">
        <v>984</v>
      </c>
      <c r="J105" s="28" t="s">
        <v>659</v>
      </c>
      <c r="K105" s="7"/>
      <c r="L105" s="104" t="s">
        <v>712</v>
      </c>
      <c r="M105" s="29"/>
      <c r="N105" s="29"/>
      <c r="O105" s="127"/>
      <c r="P105" s="28"/>
      <c r="Q105" s="28"/>
      <c r="R105" s="28"/>
      <c r="S105" s="28"/>
      <c r="T105" s="28"/>
      <c r="U105" s="28"/>
      <c r="V105" s="28"/>
      <c r="W105" s="28"/>
      <c r="X105" s="28"/>
      <c r="Y105" s="28"/>
      <c r="Z105" s="28"/>
      <c r="AA105" s="28"/>
      <c r="AB105" s="104"/>
      <c r="AC105" s="104"/>
      <c r="AD105" s="9" t="s">
        <v>1269</v>
      </c>
      <c r="AE105" s="39">
        <v>45897</v>
      </c>
      <c r="AF105" s="9" t="s">
        <v>1276</v>
      </c>
      <c r="AG105" s="34" t="s">
        <v>1641</v>
      </c>
      <c r="AH105" s="9"/>
      <c r="AI105" s="9"/>
      <c r="AJ105" s="9"/>
      <c r="AK105" s="45"/>
      <c r="AL105" s="45"/>
      <c r="AM105" s="45"/>
      <c r="AN105" s="45"/>
      <c r="AO105" s="45"/>
      <c r="AP105" s="45"/>
      <c r="AQ105" s="45"/>
      <c r="AR105" s="45"/>
      <c r="AS105" s="45"/>
      <c r="AT105" s="45"/>
      <c r="AU105" s="45"/>
      <c r="AV105" s="45"/>
      <c r="AW105" s="9"/>
      <c r="AX105" s="9"/>
      <c r="AY105" s="9"/>
      <c r="AZ105" s="9"/>
      <c r="BA105" s="10" t="s">
        <v>2496</v>
      </c>
      <c r="BB105" s="29" t="s">
        <v>2550</v>
      </c>
      <c r="BC105" s="29" t="s">
        <v>1611</v>
      </c>
      <c r="BD105" s="29" t="s">
        <v>1611</v>
      </c>
      <c r="BE105" s="29" t="s">
        <v>1611</v>
      </c>
      <c r="BF105" s="29" t="s">
        <v>1611</v>
      </c>
      <c r="BG105" s="29" t="s">
        <v>2539</v>
      </c>
      <c r="BH105" s="29" t="s">
        <v>2540</v>
      </c>
      <c r="BI105" s="29" t="s">
        <v>2857</v>
      </c>
      <c r="BJ105" s="29" t="s">
        <v>2858</v>
      </c>
      <c r="BK105" s="29" t="s">
        <v>94</v>
      </c>
      <c r="BL105" s="29" t="s">
        <v>2630</v>
      </c>
      <c r="BM105" s="29" t="s">
        <v>1611</v>
      </c>
      <c r="BN105" s="29" t="s">
        <v>1611</v>
      </c>
      <c r="BO105" s="29" t="s">
        <v>1611</v>
      </c>
      <c r="BP105" s="29" t="s">
        <v>1611</v>
      </c>
      <c r="BQ105" s="29" t="s">
        <v>1611</v>
      </c>
      <c r="BR105" s="29" t="s">
        <v>1611</v>
      </c>
      <c r="BS105" s="29" t="s">
        <v>1611</v>
      </c>
      <c r="BT105" s="29" t="s">
        <v>1611</v>
      </c>
      <c r="BU105" s="29" t="s">
        <v>2824</v>
      </c>
      <c r="BV105" s="29" t="s">
        <v>2825</v>
      </c>
      <c r="BW105" s="29" t="s">
        <v>1611</v>
      </c>
      <c r="BX105" s="29" t="s">
        <v>1611</v>
      </c>
      <c r="BY105" s="29" t="s">
        <v>1611</v>
      </c>
      <c r="BZ105" s="29" t="s">
        <v>1611</v>
      </c>
      <c r="CA105" s="29" t="s">
        <v>1611</v>
      </c>
      <c r="CB105" s="29" t="s">
        <v>1611</v>
      </c>
      <c r="CC105" s="29" t="s">
        <v>1611</v>
      </c>
      <c r="CD105" s="29" t="s">
        <v>1611</v>
      </c>
      <c r="CE105" s="29" t="s">
        <v>1611</v>
      </c>
      <c r="CF105" s="29" t="s">
        <v>1611</v>
      </c>
      <c r="CG105" s="29" t="s">
        <v>2859</v>
      </c>
      <c r="CH105" s="29" t="s">
        <v>2860</v>
      </c>
      <c r="CI105" s="29" t="s">
        <v>1611</v>
      </c>
      <c r="CJ105" s="29" t="s">
        <v>1611</v>
      </c>
      <c r="CK105" s="29" t="s">
        <v>1611</v>
      </c>
      <c r="CL105" s="29" t="s">
        <v>1611</v>
      </c>
      <c r="CM105" s="29" t="s">
        <v>1611</v>
      </c>
      <c r="CN105" s="29" t="s">
        <v>1611</v>
      </c>
      <c r="CO105" s="29" t="s">
        <v>1611</v>
      </c>
      <c r="CP105" s="29" t="s">
        <v>1611</v>
      </c>
      <c r="CQ105" s="29" t="s">
        <v>1611</v>
      </c>
      <c r="CR105" s="29" t="s">
        <v>1611</v>
      </c>
      <c r="CS105" s="29" t="s">
        <v>1611</v>
      </c>
      <c r="CT105" s="29" t="s">
        <v>1611</v>
      </c>
      <c r="CU105" s="29" t="s">
        <v>1611</v>
      </c>
      <c r="CV105" s="29" t="s">
        <v>1611</v>
      </c>
      <c r="CW105" s="29"/>
      <c r="CX105" s="29"/>
      <c r="CY105" s="151"/>
      <c r="CZ105" t="e">
        <v>#N/A</v>
      </c>
      <c r="DA105" t="e">
        <v>#N/A</v>
      </c>
      <c r="DD105" s="96" t="str">
        <f t="shared" si="1"/>
        <v>V</v>
      </c>
    </row>
    <row r="106" spans="1:110" ht="16.5" customHeight="1" x14ac:dyDescent="0.3">
      <c r="C106" s="105">
        <v>1659536</v>
      </c>
      <c r="D106" s="27">
        <v>100</v>
      </c>
      <c r="E106" s="28" t="s">
        <v>792</v>
      </c>
      <c r="F106" s="28">
        <v>1001168700</v>
      </c>
      <c r="G106" s="29" t="s">
        <v>985</v>
      </c>
      <c r="H106" s="28">
        <v>1659536</v>
      </c>
      <c r="I106" s="29" t="s">
        <v>986</v>
      </c>
      <c r="J106" s="28" t="s">
        <v>854</v>
      </c>
      <c r="K106" s="7"/>
      <c r="L106" s="104" t="s">
        <v>713</v>
      </c>
      <c r="M106" s="29"/>
      <c r="N106" s="29"/>
      <c r="O106" s="127"/>
      <c r="P106" s="28"/>
      <c r="Q106" s="28"/>
      <c r="R106" s="28"/>
      <c r="S106" s="28"/>
      <c r="T106" s="28"/>
      <c r="U106" s="28"/>
      <c r="V106" s="28"/>
      <c r="W106" s="28"/>
      <c r="X106" s="28"/>
      <c r="Y106" s="28"/>
      <c r="Z106" s="28"/>
      <c r="AA106" s="28"/>
      <c r="AB106" s="104"/>
      <c r="AC106" s="104"/>
      <c r="AD106" s="9" t="s">
        <v>1269</v>
      </c>
      <c r="AE106" s="39">
        <v>45898</v>
      </c>
      <c r="AF106" s="9" t="s">
        <v>1276</v>
      </c>
      <c r="AG106" s="108" t="s">
        <v>1927</v>
      </c>
      <c r="AH106" s="9"/>
      <c r="AI106" s="9"/>
      <c r="AJ106" s="9"/>
      <c r="AK106" s="45"/>
      <c r="AL106" s="45"/>
      <c r="AM106" s="45"/>
      <c r="AN106" s="45"/>
      <c r="AO106" s="45"/>
      <c r="AP106" s="45"/>
      <c r="AQ106" s="45"/>
      <c r="AR106" s="45"/>
      <c r="AS106" s="45"/>
      <c r="AT106" s="45"/>
      <c r="AU106" s="45"/>
      <c r="AV106" s="45"/>
      <c r="AW106" s="9"/>
      <c r="AX106" s="9"/>
      <c r="AY106" s="9"/>
      <c r="AZ106" s="9"/>
      <c r="BA106" s="10" t="s">
        <v>92</v>
      </c>
      <c r="BB106" s="29" t="s">
        <v>2628</v>
      </c>
      <c r="BC106" s="29" t="s">
        <v>1611</v>
      </c>
      <c r="BD106" s="29" t="s">
        <v>1611</v>
      </c>
      <c r="BE106" s="29" t="s">
        <v>2514</v>
      </c>
      <c r="BF106" s="29" t="s">
        <v>2515</v>
      </c>
      <c r="BG106" s="29" t="s">
        <v>2650</v>
      </c>
      <c r="BH106" s="29" t="s">
        <v>2651</v>
      </c>
      <c r="BI106" s="29" t="s">
        <v>2602</v>
      </c>
      <c r="BJ106" s="29" t="s">
        <v>2603</v>
      </c>
      <c r="BK106" s="29" t="s">
        <v>2804</v>
      </c>
      <c r="BL106" s="29" t="s">
        <v>2805</v>
      </c>
      <c r="BM106" s="29" t="s">
        <v>1611</v>
      </c>
      <c r="BN106" s="29" t="s">
        <v>1611</v>
      </c>
      <c r="BO106" s="29" t="s">
        <v>1611</v>
      </c>
      <c r="BP106" s="29" t="s">
        <v>1611</v>
      </c>
      <c r="BQ106" s="29" t="s">
        <v>1611</v>
      </c>
      <c r="BR106" s="29" t="s">
        <v>1611</v>
      </c>
      <c r="BS106" s="29" t="s">
        <v>1611</v>
      </c>
      <c r="BT106" s="29" t="s">
        <v>1611</v>
      </c>
      <c r="BU106" s="29" t="s">
        <v>364</v>
      </c>
      <c r="BV106" s="29" t="s">
        <v>2397</v>
      </c>
      <c r="BW106" s="29" t="s">
        <v>1611</v>
      </c>
      <c r="BX106" s="29" t="s">
        <v>1611</v>
      </c>
      <c r="BY106" s="29" t="s">
        <v>1611</v>
      </c>
      <c r="BZ106" s="29" t="s">
        <v>1611</v>
      </c>
      <c r="CA106" s="29" t="s">
        <v>1611</v>
      </c>
      <c r="CB106" s="29" t="s">
        <v>1611</v>
      </c>
      <c r="CC106" s="29" t="s">
        <v>1611</v>
      </c>
      <c r="CD106" s="29" t="s">
        <v>1611</v>
      </c>
      <c r="CE106" s="29" t="s">
        <v>1611</v>
      </c>
      <c r="CF106" s="29" t="s">
        <v>1611</v>
      </c>
      <c r="CG106" s="29" t="s">
        <v>1748</v>
      </c>
      <c r="CH106" s="29" t="s">
        <v>1861</v>
      </c>
      <c r="CI106" s="29" t="s">
        <v>1611</v>
      </c>
      <c r="CJ106" s="29" t="s">
        <v>1611</v>
      </c>
      <c r="CK106" s="29" t="s">
        <v>1611</v>
      </c>
      <c r="CL106" s="29" t="s">
        <v>1611</v>
      </c>
      <c r="CM106" s="29" t="s">
        <v>1611</v>
      </c>
      <c r="CN106" s="29" t="s">
        <v>1611</v>
      </c>
      <c r="CO106" s="29" t="s">
        <v>1611</v>
      </c>
      <c r="CP106" s="29" t="s">
        <v>1611</v>
      </c>
      <c r="CQ106" s="29" t="s">
        <v>1611</v>
      </c>
      <c r="CR106" s="29" t="s">
        <v>1611</v>
      </c>
      <c r="CS106" s="29" t="s">
        <v>1611</v>
      </c>
      <c r="CT106" s="29" t="s">
        <v>1611</v>
      </c>
      <c r="CU106" s="29" t="s">
        <v>1611</v>
      </c>
      <c r="CV106" s="29" t="s">
        <v>1611</v>
      </c>
      <c r="CW106" s="29"/>
      <c r="CX106" s="29"/>
      <c r="CY106" s="151"/>
      <c r="CZ106" t="e">
        <v>#N/A</v>
      </c>
      <c r="DA106" t="e">
        <v>#N/A</v>
      </c>
      <c r="DD106" s="96" t="str">
        <f t="shared" si="1"/>
        <v>V</v>
      </c>
    </row>
    <row r="107" spans="1:110" ht="16.5" customHeight="1" x14ac:dyDescent="0.3">
      <c r="C107" s="105">
        <v>1683935</v>
      </c>
      <c r="D107" s="27">
        <v>101</v>
      </c>
      <c r="E107" s="28" t="s">
        <v>808</v>
      </c>
      <c r="F107" s="28">
        <v>1000859969</v>
      </c>
      <c r="G107" s="29" t="s">
        <v>988</v>
      </c>
      <c r="H107" s="28">
        <v>1683935</v>
      </c>
      <c r="I107" s="29" t="s">
        <v>989</v>
      </c>
      <c r="J107" s="28" t="s">
        <v>659</v>
      </c>
      <c r="K107" s="7"/>
      <c r="L107" s="104" t="s">
        <v>714</v>
      </c>
      <c r="M107" s="29"/>
      <c r="N107" s="29"/>
      <c r="O107" s="127"/>
      <c r="P107" s="28"/>
      <c r="Q107" s="28"/>
      <c r="R107" s="28"/>
      <c r="S107" s="28"/>
      <c r="T107" s="28"/>
      <c r="U107" s="28"/>
      <c r="V107" s="28"/>
      <c r="W107" s="28"/>
      <c r="X107" s="28"/>
      <c r="Y107" s="28"/>
      <c r="Z107" s="28"/>
      <c r="AA107" s="28"/>
      <c r="AB107" s="104"/>
      <c r="AC107" s="28"/>
      <c r="AD107" s="9" t="s">
        <v>1269</v>
      </c>
      <c r="AE107" s="39">
        <v>45866</v>
      </c>
      <c r="AF107" s="9" t="s">
        <v>1276</v>
      </c>
      <c r="AG107" s="34" t="s">
        <v>1280</v>
      </c>
      <c r="AH107" s="9"/>
      <c r="AI107" s="9"/>
      <c r="AJ107" s="9"/>
      <c r="AK107" s="45"/>
      <c r="AL107" s="45"/>
      <c r="AM107" s="45"/>
      <c r="AN107" s="45"/>
      <c r="AO107" s="45"/>
      <c r="AP107" s="45"/>
      <c r="AQ107" s="45"/>
      <c r="AR107" s="45"/>
      <c r="AS107" s="45"/>
      <c r="AT107" s="45"/>
      <c r="AU107" s="45"/>
      <c r="AV107" s="45"/>
      <c r="AW107" s="9"/>
      <c r="AX107" s="9"/>
      <c r="AY107" s="9"/>
      <c r="AZ107" s="9"/>
      <c r="BA107" s="10" t="s">
        <v>1611</v>
      </c>
      <c r="BB107" s="29" t="s">
        <v>1611</v>
      </c>
      <c r="BC107" s="29" t="s">
        <v>1611</v>
      </c>
      <c r="BD107" s="29" t="s">
        <v>1611</v>
      </c>
      <c r="BE107" s="29" t="s">
        <v>1611</v>
      </c>
      <c r="BF107" s="29" t="s">
        <v>1611</v>
      </c>
      <c r="BG107" s="29" t="s">
        <v>1611</v>
      </c>
      <c r="BH107" s="29" t="s">
        <v>1611</v>
      </c>
      <c r="BI107" s="29" t="s">
        <v>282</v>
      </c>
      <c r="BJ107" s="29" t="s">
        <v>2787</v>
      </c>
      <c r="BK107" s="29" t="s">
        <v>2785</v>
      </c>
      <c r="BL107" s="29" t="s">
        <v>2786</v>
      </c>
      <c r="BM107" s="29" t="s">
        <v>1611</v>
      </c>
      <c r="BN107" s="29" t="s">
        <v>1611</v>
      </c>
      <c r="BO107" s="29" t="s">
        <v>1611</v>
      </c>
      <c r="BP107" s="29" t="s">
        <v>1611</v>
      </c>
      <c r="BQ107" s="29" t="s">
        <v>1611</v>
      </c>
      <c r="BR107" s="29" t="s">
        <v>1611</v>
      </c>
      <c r="BS107" s="29" t="s">
        <v>1611</v>
      </c>
      <c r="BT107" s="29" t="s">
        <v>1611</v>
      </c>
      <c r="BU107" s="29" t="s">
        <v>2840</v>
      </c>
      <c r="BV107" s="29" t="s">
        <v>2841</v>
      </c>
      <c r="BW107" s="29" t="s">
        <v>1611</v>
      </c>
      <c r="BX107" s="29" t="s">
        <v>1611</v>
      </c>
      <c r="BY107" s="29" t="s">
        <v>1611</v>
      </c>
      <c r="BZ107" s="29" t="s">
        <v>1611</v>
      </c>
      <c r="CA107" s="29" t="s">
        <v>1611</v>
      </c>
      <c r="CB107" s="29" t="s">
        <v>1611</v>
      </c>
      <c r="CC107" s="29" t="s">
        <v>1611</v>
      </c>
      <c r="CD107" s="29" t="s">
        <v>1611</v>
      </c>
      <c r="CE107" s="29" t="s">
        <v>1611</v>
      </c>
      <c r="CF107" s="29" t="s">
        <v>1611</v>
      </c>
      <c r="CG107" s="29" t="s">
        <v>2861</v>
      </c>
      <c r="CH107" s="29" t="s">
        <v>2862</v>
      </c>
      <c r="CI107" s="29" t="s">
        <v>1611</v>
      </c>
      <c r="CJ107" s="29" t="s">
        <v>1611</v>
      </c>
      <c r="CK107" s="29" t="s">
        <v>1611</v>
      </c>
      <c r="CL107" s="29" t="s">
        <v>1611</v>
      </c>
      <c r="CM107" s="29" t="s">
        <v>1611</v>
      </c>
      <c r="CN107" s="29" t="s">
        <v>1611</v>
      </c>
      <c r="CO107" s="29" t="s">
        <v>1611</v>
      </c>
      <c r="CP107" s="29" t="s">
        <v>1611</v>
      </c>
      <c r="CQ107" s="29" t="s">
        <v>1611</v>
      </c>
      <c r="CR107" s="29" t="s">
        <v>1611</v>
      </c>
      <c r="CS107" s="29" t="s">
        <v>1611</v>
      </c>
      <c r="CT107" s="29" t="s">
        <v>1611</v>
      </c>
      <c r="CU107" s="29" t="s">
        <v>1611</v>
      </c>
      <c r="CV107" s="29" t="s">
        <v>1611</v>
      </c>
      <c r="CW107" s="29"/>
      <c r="CX107" s="29"/>
      <c r="CY107" s="151"/>
      <c r="CZ107" t="e">
        <v>#N/A</v>
      </c>
      <c r="DA107" t="e">
        <v>#N/A</v>
      </c>
      <c r="DD107" s="96" t="str">
        <f t="shared" si="1"/>
        <v>V</v>
      </c>
    </row>
    <row r="108" spans="1:110" ht="16.5" customHeight="1" x14ac:dyDescent="0.3">
      <c r="C108" s="105">
        <v>1662134</v>
      </c>
      <c r="D108" s="27">
        <v>102</v>
      </c>
      <c r="E108" s="28" t="s">
        <v>786</v>
      </c>
      <c r="F108" s="28">
        <v>1000316306</v>
      </c>
      <c r="G108" s="29" t="s">
        <v>990</v>
      </c>
      <c r="H108" s="28">
        <v>1662134</v>
      </c>
      <c r="I108" s="29" t="s">
        <v>991</v>
      </c>
      <c r="J108" s="28" t="s">
        <v>429</v>
      </c>
      <c r="K108" s="7"/>
      <c r="L108" s="104" t="s">
        <v>715</v>
      </c>
      <c r="M108" s="29"/>
      <c r="N108" s="29"/>
      <c r="O108" s="127">
        <v>1406537</v>
      </c>
      <c r="P108" s="113" t="s">
        <v>3256</v>
      </c>
      <c r="Q108" s="28" t="s">
        <v>612</v>
      </c>
      <c r="R108" s="28" t="s">
        <v>1301</v>
      </c>
      <c r="S108" s="28" t="s">
        <v>1301</v>
      </c>
      <c r="T108" s="28" t="s">
        <v>1329</v>
      </c>
      <c r="U108" s="28" t="s">
        <v>612</v>
      </c>
      <c r="V108" s="28" t="s">
        <v>1301</v>
      </c>
      <c r="W108" s="28" t="s">
        <v>1301</v>
      </c>
      <c r="X108" s="28" t="s">
        <v>1301</v>
      </c>
      <c r="Y108" s="28" t="s">
        <v>1301</v>
      </c>
      <c r="Z108" s="28" t="s">
        <v>1301</v>
      </c>
      <c r="AA108" s="28" t="s">
        <v>1301</v>
      </c>
      <c r="AB108" s="104" t="s">
        <v>1949</v>
      </c>
      <c r="AC108" s="104" t="s">
        <v>1950</v>
      </c>
      <c r="AD108" s="9" t="s">
        <v>1269</v>
      </c>
      <c r="AE108" s="9"/>
      <c r="AF108" s="9"/>
      <c r="AG108" s="34"/>
      <c r="AH108" s="9"/>
      <c r="AI108" s="9" t="s">
        <v>2491</v>
      </c>
      <c r="AJ108" s="9"/>
      <c r="AK108" s="45"/>
      <c r="AL108" s="9" t="s">
        <v>2491</v>
      </c>
      <c r="AM108" s="9" t="s">
        <v>46</v>
      </c>
      <c r="AN108" s="9" t="s">
        <v>46</v>
      </c>
      <c r="AO108" s="9" t="s">
        <v>46</v>
      </c>
      <c r="AP108" s="9" t="s">
        <v>46</v>
      </c>
      <c r="AQ108" s="9" t="s">
        <v>46</v>
      </c>
      <c r="AR108" s="9" t="s">
        <v>46</v>
      </c>
      <c r="AS108" s="45"/>
      <c r="AT108" s="45"/>
      <c r="AU108" s="45"/>
      <c r="AV108" s="45"/>
      <c r="AW108" s="9"/>
      <c r="AX108" s="9"/>
      <c r="AY108" s="9"/>
      <c r="AZ108" s="9"/>
      <c r="BA108" s="10" t="s">
        <v>70</v>
      </c>
      <c r="BB108" s="29" t="s">
        <v>3170</v>
      </c>
      <c r="BC108" s="29" t="s">
        <v>1611</v>
      </c>
      <c r="BD108" s="29" t="s">
        <v>1611</v>
      </c>
      <c r="BE108" s="29" t="s">
        <v>2502</v>
      </c>
      <c r="BF108" s="29" t="s">
        <v>2503</v>
      </c>
      <c r="BG108" s="29" t="s">
        <v>2721</v>
      </c>
      <c r="BH108" s="29" t="s">
        <v>2722</v>
      </c>
      <c r="BI108" s="29" t="s">
        <v>311</v>
      </c>
      <c r="BJ108" s="29" t="s">
        <v>2725</v>
      </c>
      <c r="BK108" s="29" t="s">
        <v>208</v>
      </c>
      <c r="BL108" s="29" t="s">
        <v>2609</v>
      </c>
      <c r="BM108" s="29" t="s">
        <v>1611</v>
      </c>
      <c r="BN108" s="29" t="s">
        <v>1611</v>
      </c>
      <c r="BO108" s="29" t="s">
        <v>1611</v>
      </c>
      <c r="BP108" s="29" t="s">
        <v>1611</v>
      </c>
      <c r="BQ108" s="29" t="s">
        <v>1611</v>
      </c>
      <c r="BR108" s="29" t="s">
        <v>1611</v>
      </c>
      <c r="BS108" s="29" t="s">
        <v>1611</v>
      </c>
      <c r="BT108" s="29" t="s">
        <v>1611</v>
      </c>
      <c r="BU108" s="29" t="s">
        <v>2373</v>
      </c>
      <c r="BV108" s="29" t="s">
        <v>2416</v>
      </c>
      <c r="BW108" s="29" t="s">
        <v>1611</v>
      </c>
      <c r="BX108" s="29" t="s">
        <v>1611</v>
      </c>
      <c r="BY108" s="29" t="s">
        <v>1611</v>
      </c>
      <c r="BZ108" s="29" t="s">
        <v>1611</v>
      </c>
      <c r="CA108" s="29" t="s">
        <v>1611</v>
      </c>
      <c r="CB108" s="29" t="s">
        <v>1611</v>
      </c>
      <c r="CC108" s="29" t="s">
        <v>1611</v>
      </c>
      <c r="CD108" s="29" t="s">
        <v>1611</v>
      </c>
      <c r="CE108" s="29" t="s">
        <v>1611</v>
      </c>
      <c r="CF108" s="29" t="s">
        <v>1611</v>
      </c>
      <c r="CG108" s="29" t="s">
        <v>1749</v>
      </c>
      <c r="CH108" s="29" t="s">
        <v>1862</v>
      </c>
      <c r="CI108" s="29" t="s">
        <v>1611</v>
      </c>
      <c r="CJ108" s="29" t="s">
        <v>1611</v>
      </c>
      <c r="CK108" s="29" t="s">
        <v>1611</v>
      </c>
      <c r="CL108" s="29" t="s">
        <v>1611</v>
      </c>
      <c r="CM108" s="29" t="s">
        <v>1611</v>
      </c>
      <c r="CN108" s="29" t="s">
        <v>1611</v>
      </c>
      <c r="CO108" s="29" t="s">
        <v>1611</v>
      </c>
      <c r="CP108" s="29" t="s">
        <v>1611</v>
      </c>
      <c r="CQ108" s="29" t="s">
        <v>1611</v>
      </c>
      <c r="CR108" s="29" t="s">
        <v>1611</v>
      </c>
      <c r="CS108" s="29" t="s">
        <v>1611</v>
      </c>
      <c r="CT108" s="29" t="s">
        <v>1611</v>
      </c>
      <c r="CU108" s="29" t="s">
        <v>1611</v>
      </c>
      <c r="CV108" s="29" t="s">
        <v>1611</v>
      </c>
      <c r="CW108" s="29"/>
      <c r="CX108" s="29"/>
      <c r="CY108" s="151"/>
      <c r="CZ108" t="s">
        <v>3282</v>
      </c>
      <c r="DA108" t="s">
        <v>3634</v>
      </c>
      <c r="DD108" s="96" t="str">
        <f t="shared" si="1"/>
        <v/>
      </c>
      <c r="DF108" s="96" t="s">
        <v>3753</v>
      </c>
    </row>
    <row r="109" spans="1:110" ht="16.5" customHeight="1" x14ac:dyDescent="0.3">
      <c r="C109" s="105">
        <v>1684047</v>
      </c>
      <c r="D109" s="27">
        <v>103</v>
      </c>
      <c r="E109" s="28" t="s">
        <v>818</v>
      </c>
      <c r="F109" s="28">
        <v>1000824280</v>
      </c>
      <c r="G109" s="29" t="s">
        <v>993</v>
      </c>
      <c r="H109" s="28">
        <v>1684047</v>
      </c>
      <c r="I109" s="29" t="s">
        <v>994</v>
      </c>
      <c r="J109" s="28" t="s">
        <v>429</v>
      </c>
      <c r="K109" s="7"/>
      <c r="L109" s="104" t="s">
        <v>716</v>
      </c>
      <c r="M109" s="29"/>
      <c r="N109" s="29"/>
      <c r="O109" s="127"/>
      <c r="P109" s="28"/>
      <c r="Q109" s="28"/>
      <c r="R109" s="28"/>
      <c r="S109" s="28"/>
      <c r="T109" s="28"/>
      <c r="U109" s="28"/>
      <c r="V109" s="28"/>
      <c r="W109" s="28"/>
      <c r="X109" s="28"/>
      <c r="Y109" s="28"/>
      <c r="Z109" s="28"/>
      <c r="AA109" s="28"/>
      <c r="AB109" s="104"/>
      <c r="AC109" s="28"/>
      <c r="AD109" s="9" t="s">
        <v>1269</v>
      </c>
      <c r="AE109" s="39">
        <v>45868</v>
      </c>
      <c r="AF109" s="9" t="s">
        <v>1276</v>
      </c>
      <c r="AG109" s="34" t="s">
        <v>1310</v>
      </c>
      <c r="AH109" s="9"/>
      <c r="AI109" s="9"/>
      <c r="AJ109" s="9"/>
      <c r="AK109" s="45"/>
      <c r="AL109" s="45"/>
      <c r="AM109" s="45"/>
      <c r="AN109" s="45"/>
      <c r="AO109" s="45"/>
      <c r="AP109" s="45"/>
      <c r="AQ109" s="45"/>
      <c r="AR109" s="45"/>
      <c r="AS109" s="45"/>
      <c r="AT109" s="45"/>
      <c r="AU109" s="45"/>
      <c r="AV109" s="45"/>
      <c r="AW109" s="9"/>
      <c r="AX109" s="9"/>
      <c r="AY109" s="9"/>
      <c r="AZ109" s="9"/>
      <c r="BA109" s="10" t="s">
        <v>268</v>
      </c>
      <c r="BB109" s="29" t="s">
        <v>2608</v>
      </c>
      <c r="BC109" s="29" t="s">
        <v>1611</v>
      </c>
      <c r="BD109" s="29" t="s">
        <v>1611</v>
      </c>
      <c r="BE109" s="29" t="s">
        <v>2502</v>
      </c>
      <c r="BF109" s="29" t="s">
        <v>2503</v>
      </c>
      <c r="BG109" s="29" t="s">
        <v>2599</v>
      </c>
      <c r="BH109" s="29" t="s">
        <v>2600</v>
      </c>
      <c r="BI109" s="29" t="s">
        <v>294</v>
      </c>
      <c r="BJ109" s="29" t="s">
        <v>2718</v>
      </c>
      <c r="BK109" s="29" t="s">
        <v>244</v>
      </c>
      <c r="BL109" s="29" t="s">
        <v>2712</v>
      </c>
      <c r="BM109" s="29" t="s">
        <v>1611</v>
      </c>
      <c r="BN109" s="29" t="s">
        <v>1611</v>
      </c>
      <c r="BO109" s="29" t="s">
        <v>1611</v>
      </c>
      <c r="BP109" s="29" t="s">
        <v>1611</v>
      </c>
      <c r="BQ109" s="29" t="s">
        <v>1611</v>
      </c>
      <c r="BR109" s="29" t="s">
        <v>1611</v>
      </c>
      <c r="BS109" s="29" t="s">
        <v>1611</v>
      </c>
      <c r="BT109" s="29" t="s">
        <v>1611</v>
      </c>
      <c r="BU109" s="29" t="s">
        <v>2371</v>
      </c>
      <c r="BV109" s="29" t="s">
        <v>2414</v>
      </c>
      <c r="BW109" s="29" t="s">
        <v>1611</v>
      </c>
      <c r="BX109" s="29" t="s">
        <v>1611</v>
      </c>
      <c r="BY109" s="29" t="s">
        <v>1611</v>
      </c>
      <c r="BZ109" s="29" t="s">
        <v>1611</v>
      </c>
      <c r="CA109" s="29" t="s">
        <v>1611</v>
      </c>
      <c r="CB109" s="29" t="s">
        <v>1611</v>
      </c>
      <c r="CC109" s="29" t="s">
        <v>1611</v>
      </c>
      <c r="CD109" s="29" t="s">
        <v>1611</v>
      </c>
      <c r="CE109" s="29" t="s">
        <v>1611</v>
      </c>
      <c r="CF109" s="29" t="s">
        <v>1611</v>
      </c>
      <c r="CG109" s="29" t="s">
        <v>2863</v>
      </c>
      <c r="CH109" s="29" t="s">
        <v>2864</v>
      </c>
      <c r="CI109" s="29" t="s">
        <v>1611</v>
      </c>
      <c r="CJ109" s="29" t="s">
        <v>1611</v>
      </c>
      <c r="CK109" s="29" t="s">
        <v>1611</v>
      </c>
      <c r="CL109" s="29" t="s">
        <v>1611</v>
      </c>
      <c r="CM109" s="29" t="s">
        <v>1611</v>
      </c>
      <c r="CN109" s="29" t="s">
        <v>1611</v>
      </c>
      <c r="CO109" s="29" t="s">
        <v>1611</v>
      </c>
      <c r="CP109" s="29" t="s">
        <v>1611</v>
      </c>
      <c r="CQ109" s="29" t="s">
        <v>1611</v>
      </c>
      <c r="CR109" s="29" t="s">
        <v>1611</v>
      </c>
      <c r="CS109" s="29" t="s">
        <v>1611</v>
      </c>
      <c r="CT109" s="29" t="s">
        <v>1611</v>
      </c>
      <c r="CU109" s="29" t="s">
        <v>1611</v>
      </c>
      <c r="CV109" s="29" t="s">
        <v>1611</v>
      </c>
      <c r="CW109" s="29"/>
      <c r="CX109" s="29"/>
      <c r="CY109" s="151"/>
      <c r="CZ109" t="e">
        <v>#N/A</v>
      </c>
      <c r="DA109" t="e">
        <v>#N/A</v>
      </c>
      <c r="DD109" s="96" t="str">
        <f t="shared" si="1"/>
        <v>V</v>
      </c>
    </row>
    <row r="110" spans="1:110" ht="16.5" customHeight="1" x14ac:dyDescent="0.3">
      <c r="C110" s="105">
        <v>1684241</v>
      </c>
      <c r="D110" s="27">
        <v>104</v>
      </c>
      <c r="E110" s="28" t="s">
        <v>822</v>
      </c>
      <c r="F110" s="28">
        <v>1000325737</v>
      </c>
      <c r="G110" s="29" t="s">
        <v>995</v>
      </c>
      <c r="H110" s="28">
        <v>1684241</v>
      </c>
      <c r="I110" s="29" t="s">
        <v>996</v>
      </c>
      <c r="J110" s="28" t="s">
        <v>429</v>
      </c>
      <c r="K110" s="7"/>
      <c r="L110" s="104" t="s">
        <v>717</v>
      </c>
      <c r="M110" s="29"/>
      <c r="N110" s="29"/>
      <c r="O110" s="127"/>
      <c r="P110" s="28"/>
      <c r="Q110" s="28"/>
      <c r="R110" s="28"/>
      <c r="S110" s="28"/>
      <c r="T110" s="28"/>
      <c r="U110" s="28"/>
      <c r="V110" s="28"/>
      <c r="W110" s="28"/>
      <c r="X110" s="28"/>
      <c r="Y110" s="28"/>
      <c r="Z110" s="28"/>
      <c r="AA110" s="28"/>
      <c r="AB110" s="104"/>
      <c r="AC110" s="28"/>
      <c r="AD110" s="9" t="s">
        <v>1269</v>
      </c>
      <c r="AE110" s="39">
        <v>45867</v>
      </c>
      <c r="AF110" s="9" t="s">
        <v>1276</v>
      </c>
      <c r="AG110" s="34" t="s">
        <v>1308</v>
      </c>
      <c r="AH110" s="9"/>
      <c r="AI110" s="9"/>
      <c r="AJ110" s="9"/>
      <c r="AK110" s="45"/>
      <c r="AL110" s="45"/>
      <c r="AM110" s="45"/>
      <c r="AN110" s="45"/>
      <c r="AO110" s="45"/>
      <c r="AP110" s="45"/>
      <c r="AQ110" s="45"/>
      <c r="AR110" s="45"/>
      <c r="AS110" s="45"/>
      <c r="AT110" s="45"/>
      <c r="AU110" s="45"/>
      <c r="AV110" s="45"/>
      <c r="AW110" s="9"/>
      <c r="AX110" s="9"/>
      <c r="AY110" s="9"/>
      <c r="AZ110" s="9"/>
      <c r="BA110" s="10" t="s">
        <v>2497</v>
      </c>
      <c r="BB110" s="29" t="s">
        <v>2567</v>
      </c>
      <c r="BC110" s="29" t="s">
        <v>1611</v>
      </c>
      <c r="BD110" s="29" t="s">
        <v>1611</v>
      </c>
      <c r="BE110" s="29" t="s">
        <v>2514</v>
      </c>
      <c r="BF110" s="29" t="s">
        <v>2515</v>
      </c>
      <c r="BG110" s="29" t="s">
        <v>2650</v>
      </c>
      <c r="BH110" s="29" t="s">
        <v>2651</v>
      </c>
      <c r="BI110" s="29" t="s">
        <v>139</v>
      </c>
      <c r="BJ110" s="29" t="s">
        <v>2659</v>
      </c>
      <c r="BK110" s="29" t="s">
        <v>2754</v>
      </c>
      <c r="BL110" s="29" t="s">
        <v>2755</v>
      </c>
      <c r="BM110" s="29" t="s">
        <v>1611</v>
      </c>
      <c r="BN110" s="29" t="s">
        <v>1611</v>
      </c>
      <c r="BO110" s="29" t="s">
        <v>1611</v>
      </c>
      <c r="BP110" s="29" t="s">
        <v>1611</v>
      </c>
      <c r="BQ110" s="29" t="s">
        <v>1611</v>
      </c>
      <c r="BR110" s="29" t="s">
        <v>1611</v>
      </c>
      <c r="BS110" s="29" t="s">
        <v>1611</v>
      </c>
      <c r="BT110" s="29" t="s">
        <v>1611</v>
      </c>
      <c r="BU110" s="29" t="s">
        <v>2370</v>
      </c>
      <c r="BV110" s="29" t="s">
        <v>2413</v>
      </c>
      <c r="BW110" s="29" t="s">
        <v>1611</v>
      </c>
      <c r="BX110" s="29" t="s">
        <v>1611</v>
      </c>
      <c r="BY110" s="29" t="s">
        <v>1611</v>
      </c>
      <c r="BZ110" s="29" t="s">
        <v>1611</v>
      </c>
      <c r="CA110" s="29" t="s">
        <v>1611</v>
      </c>
      <c r="CB110" s="29" t="s">
        <v>1611</v>
      </c>
      <c r="CC110" s="29" t="s">
        <v>1611</v>
      </c>
      <c r="CD110" s="29" t="s">
        <v>1611</v>
      </c>
      <c r="CE110" s="29" t="s">
        <v>1611</v>
      </c>
      <c r="CF110" s="29" t="s">
        <v>1611</v>
      </c>
      <c r="CG110" s="29" t="s">
        <v>92</v>
      </c>
      <c r="CH110" s="29" t="s">
        <v>2628</v>
      </c>
      <c r="CI110" s="29" t="s">
        <v>1611</v>
      </c>
      <c r="CJ110" s="29" t="s">
        <v>1611</v>
      </c>
      <c r="CK110" s="29" t="s">
        <v>1611</v>
      </c>
      <c r="CL110" s="29" t="s">
        <v>1611</v>
      </c>
      <c r="CM110" s="29" t="s">
        <v>1611</v>
      </c>
      <c r="CN110" s="29" t="s">
        <v>1611</v>
      </c>
      <c r="CO110" s="29" t="s">
        <v>1611</v>
      </c>
      <c r="CP110" s="29" t="s">
        <v>1611</v>
      </c>
      <c r="CQ110" s="29" t="s">
        <v>1611</v>
      </c>
      <c r="CR110" s="29" t="s">
        <v>1611</v>
      </c>
      <c r="CS110" s="29" t="s">
        <v>1611</v>
      </c>
      <c r="CT110" s="29" t="s">
        <v>1611</v>
      </c>
      <c r="CU110" s="29" t="s">
        <v>1611</v>
      </c>
      <c r="CV110" s="29" t="s">
        <v>1611</v>
      </c>
      <c r="CW110" s="29"/>
      <c r="CX110" s="29"/>
      <c r="CY110" s="151"/>
      <c r="CZ110" t="e">
        <v>#N/A</v>
      </c>
      <c r="DA110" t="e">
        <v>#N/A</v>
      </c>
      <c r="DD110" s="96" t="str">
        <f t="shared" si="1"/>
        <v>V</v>
      </c>
    </row>
    <row r="111" spans="1:110" ht="16.5" customHeight="1" x14ac:dyDescent="0.3">
      <c r="A111" t="s">
        <v>3798</v>
      </c>
      <c r="B111" t="s">
        <v>3778</v>
      </c>
      <c r="C111" s="105">
        <v>1684286</v>
      </c>
      <c r="D111" s="27">
        <v>105</v>
      </c>
      <c r="E111" s="28" t="s">
        <v>822</v>
      </c>
      <c r="F111" s="28">
        <v>1000326107</v>
      </c>
      <c r="G111" s="29" t="s">
        <v>997</v>
      </c>
      <c r="H111" s="28">
        <v>1684286</v>
      </c>
      <c r="I111" s="29" t="s">
        <v>998</v>
      </c>
      <c r="J111" s="28" t="s">
        <v>429</v>
      </c>
      <c r="K111" s="7"/>
      <c r="L111" s="104" t="s">
        <v>2281</v>
      </c>
      <c r="M111" s="29" t="s">
        <v>2304</v>
      </c>
      <c r="N111" s="29" t="s">
        <v>2305</v>
      </c>
      <c r="O111" s="127">
        <v>3138327</v>
      </c>
      <c r="P111" s="113" t="s">
        <v>1947</v>
      </c>
      <c r="Q111" s="28" t="s">
        <v>612</v>
      </c>
      <c r="R111" s="28" t="s">
        <v>1301</v>
      </c>
      <c r="S111" s="28" t="s">
        <v>1301</v>
      </c>
      <c r="T111" s="28" t="s">
        <v>1329</v>
      </c>
      <c r="U111" s="28" t="s">
        <v>612</v>
      </c>
      <c r="V111" s="28" t="s">
        <v>1301</v>
      </c>
      <c r="W111" s="28" t="s">
        <v>1301</v>
      </c>
      <c r="X111" s="28" t="s">
        <v>1301</v>
      </c>
      <c r="Y111" s="28" t="s">
        <v>1301</v>
      </c>
      <c r="Z111" s="28" t="s">
        <v>1301</v>
      </c>
      <c r="AA111" s="28" t="s">
        <v>1301</v>
      </c>
      <c r="AB111" s="104" t="s">
        <v>1949</v>
      </c>
      <c r="AC111" s="104" t="s">
        <v>645</v>
      </c>
      <c r="AD111" s="9" t="s">
        <v>1269</v>
      </c>
      <c r="AE111" s="9"/>
      <c r="AF111" s="9"/>
      <c r="AG111" s="34"/>
      <c r="AH111" s="9"/>
      <c r="AI111" s="9"/>
      <c r="AJ111" s="9"/>
      <c r="AK111" s="45"/>
      <c r="AL111" s="45" t="s">
        <v>461</v>
      </c>
      <c r="AM111" s="45" t="s">
        <v>461</v>
      </c>
      <c r="AN111" s="45" t="s">
        <v>461</v>
      </c>
      <c r="AO111" s="45" t="s">
        <v>461</v>
      </c>
      <c r="AP111" s="45" t="s">
        <v>461</v>
      </c>
      <c r="AQ111" s="45" t="s">
        <v>461</v>
      </c>
      <c r="AR111" s="45" t="s">
        <v>46</v>
      </c>
      <c r="AS111" s="45" t="s">
        <v>46</v>
      </c>
      <c r="AT111" s="45"/>
      <c r="AU111" s="45"/>
      <c r="AV111" s="45"/>
      <c r="AW111" s="45" t="s">
        <v>46</v>
      </c>
      <c r="AX111" s="45" t="s">
        <v>46</v>
      </c>
      <c r="AY111" s="45" t="s">
        <v>46</v>
      </c>
      <c r="AZ111" s="45" t="s">
        <v>46</v>
      </c>
      <c r="BA111" s="10" t="s">
        <v>92</v>
      </c>
      <c r="BB111" s="29" t="s">
        <v>2628</v>
      </c>
      <c r="BC111" s="29" t="s">
        <v>1611</v>
      </c>
      <c r="BD111" s="29" t="s">
        <v>1611</v>
      </c>
      <c r="BE111" s="29" t="s">
        <v>1611</v>
      </c>
      <c r="BF111" s="29" t="s">
        <v>1611</v>
      </c>
      <c r="BG111" s="29" t="s">
        <v>2599</v>
      </c>
      <c r="BH111" s="29" t="s">
        <v>2600</v>
      </c>
      <c r="BI111" s="29" t="s">
        <v>191</v>
      </c>
      <c r="BJ111" s="29" t="s">
        <v>2685</v>
      </c>
      <c r="BK111" s="29" t="s">
        <v>305</v>
      </c>
      <c r="BL111" s="29" t="s">
        <v>2769</v>
      </c>
      <c r="BM111" s="29" t="s">
        <v>1611</v>
      </c>
      <c r="BN111" s="29" t="s">
        <v>1611</v>
      </c>
      <c r="BO111" s="29" t="s">
        <v>1611</v>
      </c>
      <c r="BP111" s="29" t="s">
        <v>1611</v>
      </c>
      <c r="BQ111" s="29" t="s">
        <v>1611</v>
      </c>
      <c r="BR111" s="29" t="s">
        <v>1611</v>
      </c>
      <c r="BS111" s="29" t="s">
        <v>1611</v>
      </c>
      <c r="BT111" s="29" t="s">
        <v>1611</v>
      </c>
      <c r="BU111" s="29" t="s">
        <v>3191</v>
      </c>
      <c r="BV111" s="29" t="s">
        <v>3192</v>
      </c>
      <c r="BW111" s="29" t="s">
        <v>1611</v>
      </c>
      <c r="BX111" s="29" t="s">
        <v>1611</v>
      </c>
      <c r="BY111" s="29" t="s">
        <v>1611</v>
      </c>
      <c r="BZ111" s="29" t="s">
        <v>1611</v>
      </c>
      <c r="CA111" s="29" t="s">
        <v>1611</v>
      </c>
      <c r="CB111" s="29" t="s">
        <v>1611</v>
      </c>
      <c r="CC111" s="29" t="s">
        <v>1611</v>
      </c>
      <c r="CD111" s="29" t="s">
        <v>1611</v>
      </c>
      <c r="CE111" s="29" t="s">
        <v>1611</v>
      </c>
      <c r="CF111" s="29" t="s">
        <v>1611</v>
      </c>
      <c r="CG111" s="29" t="s">
        <v>1750</v>
      </c>
      <c r="CH111" s="29" t="s">
        <v>1863</v>
      </c>
      <c r="CI111" s="29" t="s">
        <v>1611</v>
      </c>
      <c r="CJ111" s="29" t="s">
        <v>1611</v>
      </c>
      <c r="CK111" s="29" t="s">
        <v>2729</v>
      </c>
      <c r="CL111" s="29" t="s">
        <v>2867</v>
      </c>
      <c r="CM111" s="29" t="s">
        <v>2868</v>
      </c>
      <c r="CN111" s="29" t="s">
        <v>2869</v>
      </c>
      <c r="CO111" s="29" t="s">
        <v>1611</v>
      </c>
      <c r="CP111" s="29" t="s">
        <v>1611</v>
      </c>
      <c r="CQ111" s="29" t="s">
        <v>1611</v>
      </c>
      <c r="CR111" s="29" t="s">
        <v>1611</v>
      </c>
      <c r="CS111" s="29" t="s">
        <v>1611</v>
      </c>
      <c r="CT111" s="29" t="s">
        <v>1611</v>
      </c>
      <c r="CU111" s="29" t="s">
        <v>1611</v>
      </c>
      <c r="CV111" s="29" t="s">
        <v>1611</v>
      </c>
      <c r="CW111" s="29"/>
      <c r="CX111" s="29"/>
      <c r="CY111" s="151"/>
      <c r="CZ111" t="s">
        <v>3283</v>
      </c>
      <c r="DA111" t="s">
        <v>3634</v>
      </c>
      <c r="DD111" s="96" t="str">
        <f t="shared" si="1"/>
        <v/>
      </c>
      <c r="DF111" s="96" t="s">
        <v>3753</v>
      </c>
    </row>
    <row r="112" spans="1:110" ht="16.5" customHeight="1" x14ac:dyDescent="0.3">
      <c r="C112" s="105">
        <v>1684002</v>
      </c>
      <c r="D112" s="27">
        <v>106</v>
      </c>
      <c r="E112" s="28" t="s">
        <v>792</v>
      </c>
      <c r="F112" s="28">
        <v>1000663364</v>
      </c>
      <c r="G112" s="29" t="s">
        <v>1000</v>
      </c>
      <c r="H112" s="28">
        <v>1684002</v>
      </c>
      <c r="I112" s="29" t="s">
        <v>1001</v>
      </c>
      <c r="J112" s="28" t="s">
        <v>3185</v>
      </c>
      <c r="K112" s="7"/>
      <c r="L112" s="104" t="s">
        <v>718</v>
      </c>
      <c r="M112" s="29"/>
      <c r="N112" s="29"/>
      <c r="O112" s="127"/>
      <c r="P112" s="28"/>
      <c r="Q112" s="28"/>
      <c r="R112" s="28"/>
      <c r="S112" s="28"/>
      <c r="T112" s="28"/>
      <c r="U112" s="28"/>
      <c r="V112" s="28"/>
      <c r="W112" s="28"/>
      <c r="X112" s="28"/>
      <c r="Y112" s="28"/>
      <c r="Z112" s="28"/>
      <c r="AA112" s="28"/>
      <c r="AB112" s="104" t="s">
        <v>1949</v>
      </c>
      <c r="AC112" s="104" t="s">
        <v>1961</v>
      </c>
      <c r="AD112" s="9" t="s">
        <v>1269</v>
      </c>
      <c r="AE112" s="39">
        <v>46008</v>
      </c>
      <c r="AF112" s="9" t="s">
        <v>1276</v>
      </c>
      <c r="AG112" s="34" t="s">
        <v>3184</v>
      </c>
      <c r="AH112" s="9"/>
      <c r="AI112" s="9"/>
      <c r="AJ112" s="9"/>
      <c r="AK112" s="45"/>
      <c r="AL112" s="45" t="s">
        <v>2278</v>
      </c>
      <c r="AM112" s="45" t="s">
        <v>46</v>
      </c>
      <c r="AN112" s="45" t="s">
        <v>46</v>
      </c>
      <c r="AO112" s="45" t="s">
        <v>46</v>
      </c>
      <c r="AP112" s="45" t="s">
        <v>46</v>
      </c>
      <c r="AQ112" s="45"/>
      <c r="AR112" s="45"/>
      <c r="AS112" s="45"/>
      <c r="AT112" s="45"/>
      <c r="AU112" s="45"/>
      <c r="AV112" s="45"/>
      <c r="AW112" s="9"/>
      <c r="AX112" s="9"/>
      <c r="AY112" s="9"/>
      <c r="AZ112" s="9"/>
      <c r="BA112" s="10" t="s">
        <v>1611</v>
      </c>
      <c r="BB112" s="29" t="s">
        <v>1611</v>
      </c>
      <c r="BC112" s="29" t="s">
        <v>1611</v>
      </c>
      <c r="BD112" s="29" t="s">
        <v>1611</v>
      </c>
      <c r="BE112" s="29" t="s">
        <v>1611</v>
      </c>
      <c r="BF112" s="29" t="s">
        <v>1611</v>
      </c>
      <c r="BG112" s="29" t="s">
        <v>1611</v>
      </c>
      <c r="BH112" s="29" t="s">
        <v>1611</v>
      </c>
      <c r="BI112" s="29" t="s">
        <v>570</v>
      </c>
      <c r="BJ112" s="29" t="s">
        <v>2696</v>
      </c>
      <c r="BK112" s="29" t="s">
        <v>2804</v>
      </c>
      <c r="BL112" s="29" t="s">
        <v>2805</v>
      </c>
      <c r="BM112" s="29" t="s">
        <v>1611</v>
      </c>
      <c r="BN112" s="29" t="s">
        <v>1611</v>
      </c>
      <c r="BO112" s="29" t="s">
        <v>1611</v>
      </c>
      <c r="BP112" s="29" t="s">
        <v>1611</v>
      </c>
      <c r="BQ112" s="29" t="s">
        <v>1611</v>
      </c>
      <c r="BR112" s="29" t="s">
        <v>1611</v>
      </c>
      <c r="BS112" s="29" t="s">
        <v>1611</v>
      </c>
      <c r="BT112" s="29" t="s">
        <v>1611</v>
      </c>
      <c r="BU112" s="29" t="s">
        <v>2359</v>
      </c>
      <c r="BV112" s="29" t="s">
        <v>2398</v>
      </c>
      <c r="BW112" s="29" t="s">
        <v>2533</v>
      </c>
      <c r="BX112" s="29" t="s">
        <v>3047</v>
      </c>
      <c r="BY112" s="29" t="s">
        <v>1611</v>
      </c>
      <c r="BZ112" s="29" t="s">
        <v>1611</v>
      </c>
      <c r="CA112" s="29" t="s">
        <v>1611</v>
      </c>
      <c r="CB112" s="29" t="s">
        <v>1611</v>
      </c>
      <c r="CC112" s="29" t="s">
        <v>1611</v>
      </c>
      <c r="CD112" s="29" t="s">
        <v>1611</v>
      </c>
      <c r="CE112" s="29" t="s">
        <v>1611</v>
      </c>
      <c r="CF112" s="29" t="s">
        <v>1611</v>
      </c>
      <c r="CG112" s="29" t="s">
        <v>3090</v>
      </c>
      <c r="CH112" s="29" t="s">
        <v>1864</v>
      </c>
      <c r="CI112" s="29" t="s">
        <v>1611</v>
      </c>
      <c r="CJ112" s="29" t="s">
        <v>1611</v>
      </c>
      <c r="CK112" s="29" t="s">
        <v>1611</v>
      </c>
      <c r="CL112" s="29" t="s">
        <v>1611</v>
      </c>
      <c r="CM112" s="29" t="s">
        <v>1611</v>
      </c>
      <c r="CN112" s="29" t="s">
        <v>1611</v>
      </c>
      <c r="CO112" s="29" t="s">
        <v>1611</v>
      </c>
      <c r="CP112" s="29" t="s">
        <v>1611</v>
      </c>
      <c r="CQ112" s="29" t="s">
        <v>1611</v>
      </c>
      <c r="CR112" s="29" t="s">
        <v>1611</v>
      </c>
      <c r="CS112" s="29" t="s">
        <v>1611</v>
      </c>
      <c r="CT112" s="29" t="s">
        <v>1611</v>
      </c>
      <c r="CU112" s="29" t="s">
        <v>1611</v>
      </c>
      <c r="CV112" s="29" t="s">
        <v>1611</v>
      </c>
      <c r="CW112" s="29"/>
      <c r="CX112" s="29"/>
      <c r="CY112" s="151"/>
      <c r="CZ112" t="s">
        <v>3728</v>
      </c>
      <c r="DA112" t="s">
        <v>3724</v>
      </c>
      <c r="DD112" s="96" t="str">
        <f t="shared" si="1"/>
        <v>V</v>
      </c>
    </row>
    <row r="113" spans="1:110" ht="16.5" customHeight="1" x14ac:dyDescent="0.3">
      <c r="C113" s="105">
        <v>1657987</v>
      </c>
      <c r="D113" s="27">
        <v>107</v>
      </c>
      <c r="E113" s="28" t="s">
        <v>818</v>
      </c>
      <c r="F113" s="28">
        <v>1000326266</v>
      </c>
      <c r="G113" s="29" t="s">
        <v>1003</v>
      </c>
      <c r="H113" s="28">
        <v>1657987</v>
      </c>
      <c r="I113" s="29" t="s">
        <v>1004</v>
      </c>
      <c r="J113" s="28" t="s">
        <v>854</v>
      </c>
      <c r="K113" s="7"/>
      <c r="L113" s="104" t="s">
        <v>719</v>
      </c>
      <c r="M113" s="29"/>
      <c r="N113" s="29"/>
      <c r="O113" s="127"/>
      <c r="P113" s="28"/>
      <c r="Q113" s="28"/>
      <c r="R113" s="28"/>
      <c r="S113" s="28"/>
      <c r="T113" s="28"/>
      <c r="U113" s="28"/>
      <c r="V113" s="28"/>
      <c r="W113" s="28"/>
      <c r="X113" s="28"/>
      <c r="Y113" s="28"/>
      <c r="Z113" s="28"/>
      <c r="AA113" s="28"/>
      <c r="AB113" s="104"/>
      <c r="AC113" s="104"/>
      <c r="AD113" s="9" t="s">
        <v>1269</v>
      </c>
      <c r="AE113" s="39">
        <v>46058</v>
      </c>
      <c r="AF113" s="9" t="s">
        <v>3691</v>
      </c>
      <c r="AG113" s="34" t="s">
        <v>3702</v>
      </c>
      <c r="AH113" s="9"/>
      <c r="AI113" s="9"/>
      <c r="AJ113" s="9"/>
      <c r="AK113" s="45"/>
      <c r="AL113" s="45"/>
      <c r="AM113" s="45"/>
      <c r="AN113" s="45"/>
      <c r="AO113" s="45"/>
      <c r="AP113" s="45"/>
      <c r="AQ113" s="45"/>
      <c r="AR113" s="45"/>
      <c r="AS113" s="45"/>
      <c r="AT113" s="45"/>
      <c r="AU113" s="45"/>
      <c r="AV113" s="45"/>
      <c r="AW113" s="9"/>
      <c r="AX113" s="9"/>
      <c r="AY113" s="9"/>
      <c r="AZ113" s="9"/>
      <c r="BA113" s="10" t="s">
        <v>51</v>
      </c>
      <c r="BB113" s="29" t="s">
        <v>2501</v>
      </c>
      <c r="BC113" s="29" t="s">
        <v>1611</v>
      </c>
      <c r="BD113" s="29" t="s">
        <v>1611</v>
      </c>
      <c r="BE113" s="29" t="s">
        <v>1611</v>
      </c>
      <c r="BF113" s="29" t="s">
        <v>1611</v>
      </c>
      <c r="BG113" s="29" t="s">
        <v>1762</v>
      </c>
      <c r="BH113" s="29" t="s">
        <v>2504</v>
      </c>
      <c r="BI113" s="29" t="s">
        <v>81</v>
      </c>
      <c r="BJ113" s="29" t="s">
        <v>2799</v>
      </c>
      <c r="BK113" s="29" t="s">
        <v>207</v>
      </c>
      <c r="BL113" s="29" t="s">
        <v>2524</v>
      </c>
      <c r="BM113" s="29" t="s">
        <v>1611</v>
      </c>
      <c r="BN113" s="29" t="s">
        <v>1611</v>
      </c>
      <c r="BO113" s="29" t="s">
        <v>1611</v>
      </c>
      <c r="BP113" s="29" t="s">
        <v>1611</v>
      </c>
      <c r="BQ113" s="29" t="s">
        <v>1611</v>
      </c>
      <c r="BR113" s="29" t="s">
        <v>1611</v>
      </c>
      <c r="BS113" s="29" t="s">
        <v>1611</v>
      </c>
      <c r="BT113" s="29" t="s">
        <v>1611</v>
      </c>
      <c r="BU113" s="29" t="s">
        <v>2367</v>
      </c>
      <c r="BV113" s="29" t="s">
        <v>2410</v>
      </c>
      <c r="BW113" s="29" t="s">
        <v>1611</v>
      </c>
      <c r="BX113" s="29" t="s">
        <v>1611</v>
      </c>
      <c r="BY113" s="29" t="s">
        <v>1611</v>
      </c>
      <c r="BZ113" s="29" t="s">
        <v>1611</v>
      </c>
      <c r="CA113" s="29" t="s">
        <v>1611</v>
      </c>
      <c r="CB113" s="29" t="s">
        <v>1611</v>
      </c>
      <c r="CC113" s="29" t="s">
        <v>1611</v>
      </c>
      <c r="CD113" s="29" t="s">
        <v>1611</v>
      </c>
      <c r="CE113" s="29" t="s">
        <v>1611</v>
      </c>
      <c r="CF113" s="29" t="s">
        <v>1611</v>
      </c>
      <c r="CG113" s="29" t="s">
        <v>1752</v>
      </c>
      <c r="CH113" s="29" t="s">
        <v>1865</v>
      </c>
      <c r="CI113" s="29" t="s">
        <v>1611</v>
      </c>
      <c r="CJ113" s="29" t="s">
        <v>1611</v>
      </c>
      <c r="CK113" s="29" t="s">
        <v>1611</v>
      </c>
      <c r="CL113" s="29" t="s">
        <v>1611</v>
      </c>
      <c r="CM113" s="29" t="s">
        <v>1611</v>
      </c>
      <c r="CN113" s="29" t="s">
        <v>1611</v>
      </c>
      <c r="CO113" s="29" t="s">
        <v>1611</v>
      </c>
      <c r="CP113" s="29" t="s">
        <v>1611</v>
      </c>
      <c r="CQ113" s="29" t="s">
        <v>1611</v>
      </c>
      <c r="CR113" s="29" t="s">
        <v>1611</v>
      </c>
      <c r="CS113" s="29" t="s">
        <v>1611</v>
      </c>
      <c r="CT113" s="29" t="s">
        <v>1611</v>
      </c>
      <c r="CU113" s="29" t="s">
        <v>1611</v>
      </c>
      <c r="CV113" s="29" t="s">
        <v>1611</v>
      </c>
      <c r="CW113" s="29"/>
      <c r="CX113" s="29"/>
      <c r="CY113" s="151"/>
      <c r="CZ113" t="e">
        <v>#N/A</v>
      </c>
      <c r="DA113" t="e">
        <v>#N/A</v>
      </c>
      <c r="DC113" s="96" t="s">
        <v>3700</v>
      </c>
      <c r="DD113" s="96" t="str">
        <f t="shared" si="1"/>
        <v>V</v>
      </c>
    </row>
    <row r="114" spans="1:110" ht="16.5" customHeight="1" x14ac:dyDescent="0.3">
      <c r="A114" t="s">
        <v>3872</v>
      </c>
      <c r="B114" t="s">
        <v>3778</v>
      </c>
      <c r="C114" s="105">
        <v>1671868</v>
      </c>
      <c r="D114" s="27">
        <v>108</v>
      </c>
      <c r="E114" s="28" t="s">
        <v>656</v>
      </c>
      <c r="F114" s="28">
        <v>1000314562</v>
      </c>
      <c r="G114" s="29" t="s">
        <v>1005</v>
      </c>
      <c r="H114" s="28">
        <v>1671868</v>
      </c>
      <c r="I114" s="29" t="s">
        <v>1006</v>
      </c>
      <c r="J114" s="28" t="s">
        <v>854</v>
      </c>
      <c r="K114" s="7"/>
      <c r="L114" s="104" t="s">
        <v>720</v>
      </c>
      <c r="M114" s="29"/>
      <c r="N114" s="29"/>
      <c r="O114" s="127">
        <v>159486</v>
      </c>
      <c r="P114" s="113" t="s">
        <v>1624</v>
      </c>
      <c r="Q114" s="28" t="s">
        <v>612</v>
      </c>
      <c r="R114" s="28" t="s">
        <v>1301</v>
      </c>
      <c r="S114" s="28" t="s">
        <v>1301</v>
      </c>
      <c r="T114" s="28" t="s">
        <v>1301</v>
      </c>
      <c r="U114" s="28" t="s">
        <v>1301</v>
      </c>
      <c r="V114" s="28" t="s">
        <v>1301</v>
      </c>
      <c r="W114" s="28" t="s">
        <v>1301</v>
      </c>
      <c r="X114" s="28" t="s">
        <v>1301</v>
      </c>
      <c r="Y114" s="28" t="s">
        <v>1301</v>
      </c>
      <c r="Z114" s="28" t="s">
        <v>1301</v>
      </c>
      <c r="AA114" s="28" t="s">
        <v>1301</v>
      </c>
      <c r="AB114" s="104" t="s">
        <v>1949</v>
      </c>
      <c r="AC114" s="104" t="s">
        <v>1950</v>
      </c>
      <c r="AD114" s="9" t="s">
        <v>1269</v>
      </c>
      <c r="AE114" s="9"/>
      <c r="AF114" s="9"/>
      <c r="AG114" s="34"/>
      <c r="AH114" s="9"/>
      <c r="AI114" s="9" t="s">
        <v>46</v>
      </c>
      <c r="AJ114" s="9"/>
      <c r="AK114" s="45"/>
      <c r="AL114" s="45" t="s">
        <v>2278</v>
      </c>
      <c r="AM114" s="45" t="s">
        <v>46</v>
      </c>
      <c r="AN114" s="45" t="s">
        <v>46</v>
      </c>
      <c r="AO114" s="45" t="s">
        <v>46</v>
      </c>
      <c r="AP114" s="45" t="s">
        <v>46</v>
      </c>
      <c r="AQ114" s="45" t="s">
        <v>46</v>
      </c>
      <c r="AR114" s="45" t="s">
        <v>46</v>
      </c>
      <c r="AS114" s="45"/>
      <c r="AT114" s="45"/>
      <c r="AU114" s="45"/>
      <c r="AV114" s="45"/>
      <c r="AW114" s="45" t="s">
        <v>46</v>
      </c>
      <c r="AX114" s="45" t="s">
        <v>46</v>
      </c>
      <c r="AY114" s="45" t="s">
        <v>46</v>
      </c>
      <c r="AZ114" s="45" t="s">
        <v>46</v>
      </c>
      <c r="BA114" s="10" t="s">
        <v>291</v>
      </c>
      <c r="BB114" s="29" t="s">
        <v>2704</v>
      </c>
      <c r="BC114" s="29" t="s">
        <v>1611</v>
      </c>
      <c r="BD114" s="29" t="s">
        <v>1611</v>
      </c>
      <c r="BE114" s="29" t="s">
        <v>2514</v>
      </c>
      <c r="BF114" s="29" t="s">
        <v>2515</v>
      </c>
      <c r="BG114" s="29" t="s">
        <v>40</v>
      </c>
      <c r="BH114" s="29" t="s">
        <v>2572</v>
      </c>
      <c r="BI114" s="29" t="s">
        <v>253</v>
      </c>
      <c r="BJ114" s="29" t="s">
        <v>2784</v>
      </c>
      <c r="BK114" s="29" t="s">
        <v>2870</v>
      </c>
      <c r="BL114" s="29" t="s">
        <v>2871</v>
      </c>
      <c r="BM114" s="29" t="s">
        <v>1611</v>
      </c>
      <c r="BN114" s="29" t="s">
        <v>1611</v>
      </c>
      <c r="BO114" s="29" t="s">
        <v>1611</v>
      </c>
      <c r="BP114" s="29" t="s">
        <v>1611</v>
      </c>
      <c r="BQ114" s="29" t="s">
        <v>1611</v>
      </c>
      <c r="BR114" s="29" t="s">
        <v>1611</v>
      </c>
      <c r="BS114" s="29" t="s">
        <v>1611</v>
      </c>
      <c r="BT114" s="29" t="s">
        <v>1611</v>
      </c>
      <c r="BU114" s="29" t="s">
        <v>100</v>
      </c>
      <c r="BV114" s="29" t="s">
        <v>2622</v>
      </c>
      <c r="BW114" s="29" t="s">
        <v>1611</v>
      </c>
      <c r="BX114" s="29" t="s">
        <v>1611</v>
      </c>
      <c r="BY114" s="29" t="s">
        <v>1611</v>
      </c>
      <c r="BZ114" s="29" t="s">
        <v>1611</v>
      </c>
      <c r="CA114" s="29" t="s">
        <v>1611</v>
      </c>
      <c r="CB114" s="29" t="s">
        <v>1611</v>
      </c>
      <c r="CC114" s="29" t="s">
        <v>1611</v>
      </c>
      <c r="CD114" s="29" t="s">
        <v>1611</v>
      </c>
      <c r="CE114" s="29" t="s">
        <v>1611</v>
      </c>
      <c r="CF114" s="29" t="s">
        <v>1611</v>
      </c>
      <c r="CG114" s="29" t="s">
        <v>1753</v>
      </c>
      <c r="CH114" s="29" t="s">
        <v>1866</v>
      </c>
      <c r="CI114" s="29" t="s">
        <v>1611</v>
      </c>
      <c r="CJ114" s="29" t="s">
        <v>1611</v>
      </c>
      <c r="CK114" s="29" t="s">
        <v>2853</v>
      </c>
      <c r="CL114" s="29" t="s">
        <v>2854</v>
      </c>
      <c r="CM114" s="29" t="s">
        <v>2855</v>
      </c>
      <c r="CN114" s="29" t="s">
        <v>2856</v>
      </c>
      <c r="CO114" s="29" t="s">
        <v>1611</v>
      </c>
      <c r="CP114" s="29" t="s">
        <v>1611</v>
      </c>
      <c r="CQ114" s="29" t="s">
        <v>1611</v>
      </c>
      <c r="CR114" s="29" t="s">
        <v>1611</v>
      </c>
      <c r="CS114" s="29" t="s">
        <v>1611</v>
      </c>
      <c r="CT114" s="29" t="s">
        <v>1611</v>
      </c>
      <c r="CU114" s="29" t="s">
        <v>1611</v>
      </c>
      <c r="CV114" s="29" t="s">
        <v>1611</v>
      </c>
      <c r="CW114" s="29"/>
      <c r="CX114" s="29"/>
      <c r="CY114" s="151"/>
      <c r="CZ114" t="s">
        <v>3284</v>
      </c>
      <c r="DA114" t="s">
        <v>3634</v>
      </c>
      <c r="DD114" s="96" t="str">
        <f t="shared" si="1"/>
        <v/>
      </c>
      <c r="DF114" s="96" t="s">
        <v>3753</v>
      </c>
    </row>
    <row r="115" spans="1:110" ht="16.5" customHeight="1" x14ac:dyDescent="0.3">
      <c r="C115" s="105">
        <v>1681016</v>
      </c>
      <c r="D115" s="27">
        <v>109</v>
      </c>
      <c r="E115" s="28" t="s">
        <v>786</v>
      </c>
      <c r="F115" s="28">
        <v>1000317496</v>
      </c>
      <c r="G115" s="29" t="s">
        <v>1007</v>
      </c>
      <c r="H115" s="28">
        <v>1681016</v>
      </c>
      <c r="I115" s="29" t="s">
        <v>1008</v>
      </c>
      <c r="J115" s="28" t="s">
        <v>854</v>
      </c>
      <c r="K115" s="7"/>
      <c r="L115" s="104" t="s">
        <v>323</v>
      </c>
      <c r="M115" s="29"/>
      <c r="N115" s="29"/>
      <c r="O115" s="127"/>
      <c r="P115" s="28"/>
      <c r="Q115" s="28"/>
      <c r="R115" s="28"/>
      <c r="S115" s="28"/>
      <c r="T115" s="28"/>
      <c r="U115" s="28"/>
      <c r="V115" s="28"/>
      <c r="W115" s="28"/>
      <c r="X115" s="28"/>
      <c r="Y115" s="28"/>
      <c r="Z115" s="28"/>
      <c r="AA115" s="28"/>
      <c r="AB115" s="104"/>
      <c r="AC115" s="104"/>
      <c r="AD115" s="9" t="s">
        <v>1269</v>
      </c>
      <c r="AE115" s="39">
        <v>46045</v>
      </c>
      <c r="AF115" s="9" t="s">
        <v>1276</v>
      </c>
      <c r="AG115" s="34" t="s">
        <v>3511</v>
      </c>
      <c r="AH115" s="9"/>
      <c r="AI115" s="9"/>
      <c r="AJ115" s="9"/>
      <c r="AK115" s="45"/>
      <c r="AL115" s="45" t="s">
        <v>1611</v>
      </c>
      <c r="AM115" s="45"/>
      <c r="AN115" s="45"/>
      <c r="AO115" s="45"/>
      <c r="AP115" s="45"/>
      <c r="AQ115" s="45"/>
      <c r="AR115" s="45"/>
      <c r="AS115" s="45"/>
      <c r="AT115" s="45"/>
      <c r="AU115" s="45"/>
      <c r="AV115" s="45"/>
      <c r="AW115" s="9"/>
      <c r="AX115" s="9"/>
      <c r="AY115" s="9"/>
      <c r="AZ115" s="9"/>
      <c r="BA115" s="10" t="s">
        <v>92</v>
      </c>
      <c r="BB115" s="29" t="s">
        <v>2628</v>
      </c>
      <c r="BC115" s="29" t="s">
        <v>1611</v>
      </c>
      <c r="BD115" s="29" t="s">
        <v>1611</v>
      </c>
      <c r="BE115" s="29" t="s">
        <v>2502</v>
      </c>
      <c r="BF115" s="29" t="s">
        <v>2503</v>
      </c>
      <c r="BG115" s="29" t="s">
        <v>40</v>
      </c>
      <c r="BH115" s="29" t="s">
        <v>2572</v>
      </c>
      <c r="BI115" s="29" t="s">
        <v>230</v>
      </c>
      <c r="BJ115" s="29" t="s">
        <v>2681</v>
      </c>
      <c r="BK115" s="29" t="s">
        <v>39</v>
      </c>
      <c r="BL115" s="29" t="s">
        <v>2571</v>
      </c>
      <c r="BM115" s="29" t="s">
        <v>1611</v>
      </c>
      <c r="BN115" s="29" t="s">
        <v>1611</v>
      </c>
      <c r="BO115" s="29" t="s">
        <v>1611</v>
      </c>
      <c r="BP115" s="29" t="s">
        <v>1611</v>
      </c>
      <c r="BQ115" s="29" t="s">
        <v>1611</v>
      </c>
      <c r="BR115" s="29" t="s">
        <v>1611</v>
      </c>
      <c r="BS115" s="29" t="s">
        <v>1611</v>
      </c>
      <c r="BT115" s="29" t="s">
        <v>1611</v>
      </c>
      <c r="BU115" s="29" t="s">
        <v>161</v>
      </c>
      <c r="BV115" s="29" t="s">
        <v>2417</v>
      </c>
      <c r="BW115" s="29" t="s">
        <v>1611</v>
      </c>
      <c r="BX115" s="29" t="s">
        <v>1611</v>
      </c>
      <c r="BY115" s="29" t="s">
        <v>1611</v>
      </c>
      <c r="BZ115" s="29" t="s">
        <v>1611</v>
      </c>
      <c r="CA115" s="29" t="s">
        <v>1611</v>
      </c>
      <c r="CB115" s="29" t="s">
        <v>1611</v>
      </c>
      <c r="CC115" s="29" t="s">
        <v>1611</v>
      </c>
      <c r="CD115" s="29" t="s">
        <v>1611</v>
      </c>
      <c r="CE115" s="29" t="s">
        <v>1611</v>
      </c>
      <c r="CF115" s="29" t="s">
        <v>1611</v>
      </c>
      <c r="CG115" s="29" t="s">
        <v>3487</v>
      </c>
      <c r="CH115" s="29" t="s">
        <v>3486</v>
      </c>
      <c r="CI115" s="29" t="s">
        <v>1611</v>
      </c>
      <c r="CJ115" s="29" t="s">
        <v>1611</v>
      </c>
      <c r="CK115" s="29" t="s">
        <v>1611</v>
      </c>
      <c r="CL115" s="29" t="s">
        <v>1611</v>
      </c>
      <c r="CM115" s="29" t="s">
        <v>1611</v>
      </c>
      <c r="CN115" s="29" t="s">
        <v>1611</v>
      </c>
      <c r="CO115" s="29" t="s">
        <v>1611</v>
      </c>
      <c r="CP115" s="29" t="s">
        <v>1611</v>
      </c>
      <c r="CQ115" s="29" t="s">
        <v>1611</v>
      </c>
      <c r="CR115" s="29" t="s">
        <v>1611</v>
      </c>
      <c r="CS115" s="29" t="s">
        <v>1611</v>
      </c>
      <c r="CT115" s="29" t="s">
        <v>1611</v>
      </c>
      <c r="CU115" s="29" t="s">
        <v>1611</v>
      </c>
      <c r="CV115" s="29" t="s">
        <v>1611</v>
      </c>
      <c r="CW115" s="29"/>
      <c r="CX115" s="29"/>
      <c r="CY115" s="151"/>
      <c r="CZ115" t="e">
        <v>#N/A</v>
      </c>
      <c r="DA115" t="e">
        <v>#N/A</v>
      </c>
      <c r="DD115" s="96" t="str">
        <f t="shared" si="1"/>
        <v>V</v>
      </c>
    </row>
    <row r="116" spans="1:110" ht="16.5" customHeight="1" x14ac:dyDescent="0.3">
      <c r="C116" s="105">
        <v>1658192</v>
      </c>
      <c r="D116" s="27">
        <v>110</v>
      </c>
      <c r="E116" s="28" t="s">
        <v>808</v>
      </c>
      <c r="F116" s="28">
        <v>1000325890</v>
      </c>
      <c r="G116" s="29" t="s">
        <v>1009</v>
      </c>
      <c r="H116" s="28">
        <v>1658192</v>
      </c>
      <c r="I116" s="29" t="s">
        <v>1010</v>
      </c>
      <c r="J116" s="28" t="s">
        <v>429</v>
      </c>
      <c r="K116" s="7"/>
      <c r="L116" s="104" t="s">
        <v>721</v>
      </c>
      <c r="M116" s="29"/>
      <c r="N116" s="29"/>
      <c r="O116" s="127">
        <v>730623</v>
      </c>
      <c r="P116" s="113" t="s">
        <v>1317</v>
      </c>
      <c r="Q116" s="28" t="s">
        <v>612</v>
      </c>
      <c r="R116" s="28" t="s">
        <v>1301</v>
      </c>
      <c r="S116" s="28" t="s">
        <v>1301</v>
      </c>
      <c r="T116" s="28" t="s">
        <v>1301</v>
      </c>
      <c r="U116" s="28" t="s">
        <v>1301</v>
      </c>
      <c r="V116" s="28" t="s">
        <v>1301</v>
      </c>
      <c r="W116" s="28" t="s">
        <v>1301</v>
      </c>
      <c r="X116" s="28" t="s">
        <v>1301</v>
      </c>
      <c r="Y116" s="28" t="s">
        <v>1301</v>
      </c>
      <c r="Z116" s="28" t="s">
        <v>1301</v>
      </c>
      <c r="AA116" s="28" t="s">
        <v>1301</v>
      </c>
      <c r="AB116" s="104" t="s">
        <v>1949</v>
      </c>
      <c r="AC116" s="104" t="s">
        <v>1950</v>
      </c>
      <c r="AD116" s="9" t="s">
        <v>1269</v>
      </c>
      <c r="AE116" s="9"/>
      <c r="AF116" s="9"/>
      <c r="AG116" s="34"/>
      <c r="AH116" s="9"/>
      <c r="AI116" s="9" t="s">
        <v>1951</v>
      </c>
      <c r="AJ116" s="9"/>
      <c r="AK116" s="45"/>
      <c r="AL116" s="9" t="s">
        <v>1951</v>
      </c>
      <c r="AM116" s="9" t="s">
        <v>1951</v>
      </c>
      <c r="AN116" s="9" t="s">
        <v>1951</v>
      </c>
      <c r="AO116" s="9" t="s">
        <v>1951</v>
      </c>
      <c r="AP116" s="9" t="s">
        <v>1951</v>
      </c>
      <c r="AQ116" s="9" t="s">
        <v>46</v>
      </c>
      <c r="AR116" s="9" t="s">
        <v>46</v>
      </c>
      <c r="AS116" s="45" t="s">
        <v>461</v>
      </c>
      <c r="AT116" s="45"/>
      <c r="AU116" s="45"/>
      <c r="AV116" s="45"/>
      <c r="AW116" s="9"/>
      <c r="AX116" s="9"/>
      <c r="AY116" s="9"/>
      <c r="AZ116" s="9"/>
      <c r="BA116" s="10" t="s">
        <v>268</v>
      </c>
      <c r="BB116" s="29" t="s">
        <v>2608</v>
      </c>
      <c r="BC116" s="29" t="s">
        <v>1611</v>
      </c>
      <c r="BD116" s="29" t="s">
        <v>1611</v>
      </c>
      <c r="BE116" s="29" t="s">
        <v>1611</v>
      </c>
      <c r="BF116" s="29" t="s">
        <v>1611</v>
      </c>
      <c r="BG116" s="29" t="s">
        <v>1762</v>
      </c>
      <c r="BH116" s="29" t="s">
        <v>2504</v>
      </c>
      <c r="BI116" s="29" t="s">
        <v>342</v>
      </c>
      <c r="BJ116" s="29" t="s">
        <v>2613</v>
      </c>
      <c r="BK116" s="29" t="s">
        <v>2785</v>
      </c>
      <c r="BL116" s="29" t="s">
        <v>2786</v>
      </c>
      <c r="BM116" s="29" t="s">
        <v>1611</v>
      </c>
      <c r="BN116" s="29" t="s">
        <v>1611</v>
      </c>
      <c r="BO116" s="29" t="s">
        <v>1611</v>
      </c>
      <c r="BP116" s="29" t="s">
        <v>1611</v>
      </c>
      <c r="BQ116" s="29" t="s">
        <v>1611</v>
      </c>
      <c r="BR116" s="29" t="s">
        <v>1611</v>
      </c>
      <c r="BS116" s="29" t="s">
        <v>1611</v>
      </c>
      <c r="BT116" s="29" t="s">
        <v>1611</v>
      </c>
      <c r="BU116" s="29" t="s">
        <v>2394</v>
      </c>
      <c r="BV116" s="29" t="s">
        <v>2442</v>
      </c>
      <c r="BW116" s="29" t="s">
        <v>1611</v>
      </c>
      <c r="BX116" s="29" t="s">
        <v>1611</v>
      </c>
      <c r="BY116" s="29" t="s">
        <v>1611</v>
      </c>
      <c r="BZ116" s="29" t="s">
        <v>1611</v>
      </c>
      <c r="CA116" s="29" t="s">
        <v>1611</v>
      </c>
      <c r="CB116" s="29" t="s">
        <v>1611</v>
      </c>
      <c r="CC116" s="29" t="s">
        <v>1611</v>
      </c>
      <c r="CD116" s="29" t="s">
        <v>1611</v>
      </c>
      <c r="CE116" s="29" t="s">
        <v>1611</v>
      </c>
      <c r="CF116" s="29" t="s">
        <v>1611</v>
      </c>
      <c r="CG116" s="29" t="s">
        <v>1754</v>
      </c>
      <c r="CH116" s="29" t="s">
        <v>1868</v>
      </c>
      <c r="CI116" s="29" t="s">
        <v>1611</v>
      </c>
      <c r="CJ116" s="29" t="s">
        <v>1611</v>
      </c>
      <c r="CK116" s="29" t="s">
        <v>2872</v>
      </c>
      <c r="CL116" s="29" t="s">
        <v>2873</v>
      </c>
      <c r="CM116" s="29" t="s">
        <v>2874</v>
      </c>
      <c r="CN116" s="29" t="s">
        <v>2875</v>
      </c>
      <c r="CO116" s="29" t="s">
        <v>1611</v>
      </c>
      <c r="CP116" s="29" t="s">
        <v>1611</v>
      </c>
      <c r="CQ116" s="29" t="s">
        <v>1611</v>
      </c>
      <c r="CR116" s="29" t="s">
        <v>1611</v>
      </c>
      <c r="CS116" s="29" t="s">
        <v>1611</v>
      </c>
      <c r="CT116" s="29" t="s">
        <v>1611</v>
      </c>
      <c r="CU116" s="29" t="s">
        <v>1611</v>
      </c>
      <c r="CV116" s="29" t="s">
        <v>1611</v>
      </c>
      <c r="CW116" s="29"/>
      <c r="CX116" s="29"/>
      <c r="CY116" s="151"/>
      <c r="CZ116" t="s">
        <v>3610</v>
      </c>
      <c r="DA116" t="s">
        <v>3634</v>
      </c>
      <c r="DD116" s="96" t="str">
        <f t="shared" si="1"/>
        <v/>
      </c>
      <c r="DF116" s="96" t="s">
        <v>3753</v>
      </c>
    </row>
    <row r="117" spans="1:110" ht="16.5" customHeight="1" x14ac:dyDescent="0.3">
      <c r="C117" s="105">
        <v>1658464</v>
      </c>
      <c r="D117" s="27">
        <v>111</v>
      </c>
      <c r="E117" s="28" t="s">
        <v>818</v>
      </c>
      <c r="F117" s="28">
        <v>1001044681</v>
      </c>
      <c r="G117" s="29" t="s">
        <v>1012</v>
      </c>
      <c r="H117" s="28">
        <v>1658464</v>
      </c>
      <c r="I117" s="29" t="s">
        <v>1013</v>
      </c>
      <c r="J117" s="28" t="s">
        <v>854</v>
      </c>
      <c r="K117" s="7"/>
      <c r="L117" s="104" t="s">
        <v>722</v>
      </c>
      <c r="M117" s="29"/>
      <c r="N117" s="29"/>
      <c r="O117" s="127"/>
      <c r="P117" s="28"/>
      <c r="Q117" s="28"/>
      <c r="R117" s="28"/>
      <c r="S117" s="28"/>
      <c r="T117" s="28"/>
      <c r="U117" s="28"/>
      <c r="V117" s="28"/>
      <c r="W117" s="28"/>
      <c r="X117" s="28"/>
      <c r="Y117" s="28"/>
      <c r="Z117" s="28"/>
      <c r="AA117" s="28"/>
      <c r="AB117" s="104"/>
      <c r="AC117" s="28"/>
      <c r="AD117" s="9" t="s">
        <v>1269</v>
      </c>
      <c r="AE117" s="39">
        <v>45861</v>
      </c>
      <c r="AF117" s="9" t="s">
        <v>1276</v>
      </c>
      <c r="AG117" s="34" t="s">
        <v>1278</v>
      </c>
      <c r="AH117" s="9"/>
      <c r="AI117" s="9"/>
      <c r="AJ117" s="9"/>
      <c r="AK117" s="45"/>
      <c r="AL117" s="45" t="s">
        <v>1611</v>
      </c>
      <c r="AM117" s="45"/>
      <c r="AN117" s="45"/>
      <c r="AO117" s="45"/>
      <c r="AP117" s="45"/>
      <c r="AQ117" s="45"/>
      <c r="AR117" s="45"/>
      <c r="AS117" s="45"/>
      <c r="AT117" s="45"/>
      <c r="AU117" s="45"/>
      <c r="AV117" s="45"/>
      <c r="AW117" s="9"/>
      <c r="AX117" s="9"/>
      <c r="AY117" s="9"/>
      <c r="AZ117" s="9"/>
      <c r="BA117" s="10" t="s">
        <v>92</v>
      </c>
      <c r="BB117" s="29" t="s">
        <v>2628</v>
      </c>
      <c r="BC117" s="29" t="s">
        <v>1611</v>
      </c>
      <c r="BD117" s="29" t="s">
        <v>1611</v>
      </c>
      <c r="BE117" s="29" t="s">
        <v>2502</v>
      </c>
      <c r="BF117" s="29" t="s">
        <v>2503</v>
      </c>
      <c r="BG117" s="29" t="s">
        <v>2599</v>
      </c>
      <c r="BH117" s="29" t="s">
        <v>2600</v>
      </c>
      <c r="BI117" s="29" t="s">
        <v>2584</v>
      </c>
      <c r="BJ117" s="29" t="s">
        <v>2876</v>
      </c>
      <c r="BK117" s="29" t="s">
        <v>598</v>
      </c>
      <c r="BL117" s="29" t="s">
        <v>2752</v>
      </c>
      <c r="BM117" s="29" t="s">
        <v>1611</v>
      </c>
      <c r="BN117" s="29" t="s">
        <v>1611</v>
      </c>
      <c r="BO117" s="29" t="s">
        <v>1611</v>
      </c>
      <c r="BP117" s="29" t="s">
        <v>1611</v>
      </c>
      <c r="BQ117" s="29" t="s">
        <v>1611</v>
      </c>
      <c r="BR117" s="29" t="s">
        <v>1611</v>
      </c>
      <c r="BS117" s="29" t="s">
        <v>1611</v>
      </c>
      <c r="BT117" s="29" t="s">
        <v>1611</v>
      </c>
      <c r="BU117" s="29" t="s">
        <v>277</v>
      </c>
      <c r="BV117" s="29" t="s">
        <v>2525</v>
      </c>
      <c r="BW117" s="29" t="s">
        <v>1611</v>
      </c>
      <c r="BX117" s="29" t="s">
        <v>1611</v>
      </c>
      <c r="BY117" s="29" t="s">
        <v>1611</v>
      </c>
      <c r="BZ117" s="29" t="s">
        <v>1611</v>
      </c>
      <c r="CA117" s="29" t="s">
        <v>1611</v>
      </c>
      <c r="CB117" s="29" t="s">
        <v>1611</v>
      </c>
      <c r="CC117" s="29" t="s">
        <v>1611</v>
      </c>
      <c r="CD117" s="29" t="s">
        <v>1611</v>
      </c>
      <c r="CE117" s="29" t="s">
        <v>1611</v>
      </c>
      <c r="CF117" s="29" t="s">
        <v>1611</v>
      </c>
      <c r="CG117" s="29" t="s">
        <v>1784</v>
      </c>
      <c r="CH117" s="29" t="s">
        <v>1902</v>
      </c>
      <c r="CI117" s="29" t="s">
        <v>1611</v>
      </c>
      <c r="CJ117" s="29" t="s">
        <v>1611</v>
      </c>
      <c r="CK117" s="29" t="s">
        <v>1611</v>
      </c>
      <c r="CL117" s="29" t="s">
        <v>1611</v>
      </c>
      <c r="CM117" s="29" t="s">
        <v>1611</v>
      </c>
      <c r="CN117" s="29" t="s">
        <v>1611</v>
      </c>
      <c r="CO117" s="29" t="s">
        <v>1611</v>
      </c>
      <c r="CP117" s="29" t="s">
        <v>1611</v>
      </c>
      <c r="CQ117" s="29" t="s">
        <v>1611</v>
      </c>
      <c r="CR117" s="29" t="s">
        <v>1611</v>
      </c>
      <c r="CS117" s="29" t="s">
        <v>1611</v>
      </c>
      <c r="CT117" s="29" t="s">
        <v>1611</v>
      </c>
      <c r="CU117" s="29" t="s">
        <v>1611</v>
      </c>
      <c r="CV117" s="29" t="s">
        <v>1611</v>
      </c>
      <c r="CW117" s="29"/>
      <c r="CX117" s="29"/>
      <c r="CY117" s="151"/>
      <c r="CZ117" t="e">
        <v>#N/A</v>
      </c>
      <c r="DA117" t="e">
        <v>#N/A</v>
      </c>
      <c r="DD117" s="96" t="str">
        <f t="shared" si="1"/>
        <v>V</v>
      </c>
    </row>
    <row r="118" spans="1:110" ht="16.5" customHeight="1" x14ac:dyDescent="0.3">
      <c r="C118" s="105">
        <v>1661712</v>
      </c>
      <c r="D118" s="27">
        <v>112</v>
      </c>
      <c r="E118" s="28" t="s">
        <v>792</v>
      </c>
      <c r="F118" s="28">
        <v>1001113322</v>
      </c>
      <c r="G118" s="29" t="s">
        <v>1015</v>
      </c>
      <c r="H118" s="28">
        <v>1661712</v>
      </c>
      <c r="I118" s="29" t="s">
        <v>1016</v>
      </c>
      <c r="J118" s="28" t="s">
        <v>854</v>
      </c>
      <c r="K118" s="7"/>
      <c r="L118" s="104" t="s">
        <v>723</v>
      </c>
      <c r="M118" s="29"/>
      <c r="N118" s="29"/>
      <c r="O118" s="127">
        <v>40787</v>
      </c>
      <c r="P118" s="113" t="s">
        <v>3256</v>
      </c>
      <c r="Q118" s="28" t="s">
        <v>612</v>
      </c>
      <c r="R118" s="28" t="s">
        <v>1301</v>
      </c>
      <c r="S118" s="28" t="s">
        <v>1301</v>
      </c>
      <c r="T118" s="28" t="s">
        <v>1329</v>
      </c>
      <c r="U118" s="28" t="s">
        <v>612</v>
      </c>
      <c r="V118" s="28" t="s">
        <v>1301</v>
      </c>
      <c r="W118" s="28" t="s">
        <v>1301</v>
      </c>
      <c r="X118" s="28" t="s">
        <v>1301</v>
      </c>
      <c r="Y118" s="28" t="s">
        <v>1301</v>
      </c>
      <c r="Z118" s="28" t="s">
        <v>1301</v>
      </c>
      <c r="AA118" s="28" t="s">
        <v>1301</v>
      </c>
      <c r="AB118" s="104" t="s">
        <v>1949</v>
      </c>
      <c r="AC118" s="104" t="s">
        <v>1950</v>
      </c>
      <c r="AD118" s="9" t="s">
        <v>1269</v>
      </c>
      <c r="AE118" s="9"/>
      <c r="AF118" s="9"/>
      <c r="AG118" s="34"/>
      <c r="AH118" s="9"/>
      <c r="AI118" s="9" t="s">
        <v>2491</v>
      </c>
      <c r="AJ118" s="9"/>
      <c r="AK118" s="45"/>
      <c r="AL118" s="9" t="s">
        <v>2491</v>
      </c>
      <c r="AM118" s="9" t="s">
        <v>46</v>
      </c>
      <c r="AN118" s="9" t="s">
        <v>46</v>
      </c>
      <c r="AO118" s="9" t="s">
        <v>46</v>
      </c>
      <c r="AP118" s="9" t="s">
        <v>46</v>
      </c>
      <c r="AQ118" s="9" t="s">
        <v>46</v>
      </c>
      <c r="AR118" s="9" t="s">
        <v>46</v>
      </c>
      <c r="AS118" s="45"/>
      <c r="AT118" s="45"/>
      <c r="AU118" s="45"/>
      <c r="AV118" s="45"/>
      <c r="AW118" s="9"/>
      <c r="AX118" s="9"/>
      <c r="AY118" s="9"/>
      <c r="AZ118" s="9"/>
      <c r="BA118" s="10" t="s">
        <v>147</v>
      </c>
      <c r="BB118" s="29" t="s">
        <v>2695</v>
      </c>
      <c r="BC118" s="29" t="s">
        <v>1611</v>
      </c>
      <c r="BD118" s="29" t="s">
        <v>1611</v>
      </c>
      <c r="BE118" s="29" t="s">
        <v>2502</v>
      </c>
      <c r="BF118" s="29" t="s">
        <v>2503</v>
      </c>
      <c r="BG118" s="29" t="s">
        <v>2569</v>
      </c>
      <c r="BH118" s="29" t="s">
        <v>2570</v>
      </c>
      <c r="BI118" s="29" t="s">
        <v>102</v>
      </c>
      <c r="BJ118" s="29" t="s">
        <v>2780</v>
      </c>
      <c r="BK118" s="29" t="s">
        <v>3022</v>
      </c>
      <c r="BL118" s="29" t="s">
        <v>3023</v>
      </c>
      <c r="BM118" s="29" t="s">
        <v>1611</v>
      </c>
      <c r="BN118" s="29" t="s">
        <v>1611</v>
      </c>
      <c r="BO118" s="29" t="s">
        <v>1611</v>
      </c>
      <c r="BP118" s="29" t="s">
        <v>1611</v>
      </c>
      <c r="BQ118" s="29" t="s">
        <v>1611</v>
      </c>
      <c r="BR118" s="29" t="s">
        <v>1611</v>
      </c>
      <c r="BS118" s="29" t="s">
        <v>1611</v>
      </c>
      <c r="BT118" s="29" t="s">
        <v>1611</v>
      </c>
      <c r="BU118" s="29" t="s">
        <v>2584</v>
      </c>
      <c r="BV118" s="29" t="s">
        <v>2585</v>
      </c>
      <c r="BW118" s="29" t="s">
        <v>1611</v>
      </c>
      <c r="BX118" s="29" t="s">
        <v>1611</v>
      </c>
      <c r="BY118" s="29" t="s">
        <v>1611</v>
      </c>
      <c r="BZ118" s="29" t="s">
        <v>1611</v>
      </c>
      <c r="CA118" s="29" t="s">
        <v>1611</v>
      </c>
      <c r="CB118" s="29" t="s">
        <v>1611</v>
      </c>
      <c r="CC118" s="29" t="s">
        <v>1611</v>
      </c>
      <c r="CD118" s="29" t="s">
        <v>1611</v>
      </c>
      <c r="CE118" s="29" t="s">
        <v>1611</v>
      </c>
      <c r="CF118" s="29" t="s">
        <v>1611</v>
      </c>
      <c r="CG118" s="29" t="s">
        <v>3024</v>
      </c>
      <c r="CH118" s="29" t="s">
        <v>3025</v>
      </c>
      <c r="CI118" s="29" t="s">
        <v>1611</v>
      </c>
      <c r="CJ118" s="29" t="s">
        <v>1611</v>
      </c>
      <c r="CK118" s="29" t="s">
        <v>1611</v>
      </c>
      <c r="CL118" s="29" t="s">
        <v>1611</v>
      </c>
      <c r="CM118" s="29" t="s">
        <v>1611</v>
      </c>
      <c r="CN118" s="29" t="s">
        <v>1611</v>
      </c>
      <c r="CO118" s="29" t="s">
        <v>1611</v>
      </c>
      <c r="CP118" s="29" t="s">
        <v>1611</v>
      </c>
      <c r="CQ118" s="29" t="s">
        <v>1611</v>
      </c>
      <c r="CR118" s="29" t="s">
        <v>1611</v>
      </c>
      <c r="CS118" s="29" t="s">
        <v>1611</v>
      </c>
      <c r="CT118" s="29" t="s">
        <v>1611</v>
      </c>
      <c r="CU118" s="29" t="s">
        <v>1611</v>
      </c>
      <c r="CV118" s="29" t="s">
        <v>1611</v>
      </c>
      <c r="CW118" s="29"/>
      <c r="CX118" s="29"/>
      <c r="CY118" s="151"/>
      <c r="CZ118" t="s">
        <v>3285</v>
      </c>
      <c r="DA118" t="s">
        <v>3634</v>
      </c>
      <c r="DD118" s="96" t="str">
        <f t="shared" si="1"/>
        <v/>
      </c>
      <c r="DF118" s="96" t="s">
        <v>3753</v>
      </c>
    </row>
    <row r="119" spans="1:110" ht="16.5" customHeight="1" x14ac:dyDescent="0.3">
      <c r="A119" t="s">
        <v>3893</v>
      </c>
      <c r="B119" t="s">
        <v>3778</v>
      </c>
      <c r="C119" s="105">
        <v>1667022</v>
      </c>
      <c r="D119" s="27">
        <v>113</v>
      </c>
      <c r="E119" s="28" t="s">
        <v>656</v>
      </c>
      <c r="F119" s="28">
        <v>1000325687</v>
      </c>
      <c r="G119" s="29" t="s">
        <v>1018</v>
      </c>
      <c r="H119" s="28">
        <v>1667022</v>
      </c>
      <c r="I119" s="29" t="s">
        <v>1019</v>
      </c>
      <c r="J119" s="28" t="s">
        <v>854</v>
      </c>
      <c r="K119" s="7"/>
      <c r="L119" s="104" t="s">
        <v>679</v>
      </c>
      <c r="M119" s="29"/>
      <c r="N119" s="29"/>
      <c r="O119" s="127">
        <v>2620040</v>
      </c>
      <c r="P119" s="113" t="s">
        <v>3256</v>
      </c>
      <c r="Q119" s="28" t="s">
        <v>612</v>
      </c>
      <c r="R119" s="28" t="s">
        <v>1301</v>
      </c>
      <c r="S119" s="28" t="s">
        <v>1301</v>
      </c>
      <c r="T119" s="28" t="s">
        <v>1329</v>
      </c>
      <c r="U119" s="28" t="s">
        <v>612</v>
      </c>
      <c r="V119" s="28" t="s">
        <v>1301</v>
      </c>
      <c r="W119" s="28" t="s">
        <v>1301</v>
      </c>
      <c r="X119" s="28" t="s">
        <v>1301</v>
      </c>
      <c r="Y119" s="28" t="s">
        <v>1301</v>
      </c>
      <c r="Z119" s="28" t="s">
        <v>1301</v>
      </c>
      <c r="AA119" s="28" t="s">
        <v>1301</v>
      </c>
      <c r="AB119" s="104" t="s">
        <v>1949</v>
      </c>
      <c r="AC119" s="104" t="s">
        <v>1950</v>
      </c>
      <c r="AD119" s="9" t="s">
        <v>1269</v>
      </c>
      <c r="AE119" s="9"/>
      <c r="AF119" s="9"/>
      <c r="AG119" s="34"/>
      <c r="AH119" s="9"/>
      <c r="AI119" s="9" t="s">
        <v>2491</v>
      </c>
      <c r="AJ119" s="9"/>
      <c r="AK119" s="45"/>
      <c r="AL119" s="9" t="s">
        <v>2491</v>
      </c>
      <c r="AM119" s="9" t="s">
        <v>46</v>
      </c>
      <c r="AN119" s="9" t="s">
        <v>46</v>
      </c>
      <c r="AO119" s="9" t="s">
        <v>46</v>
      </c>
      <c r="AP119" s="9" t="s">
        <v>46</v>
      </c>
      <c r="AQ119" s="9" t="s">
        <v>46</v>
      </c>
      <c r="AR119" s="9" t="s">
        <v>46</v>
      </c>
      <c r="AS119" s="45"/>
      <c r="AT119" s="45"/>
      <c r="AU119" s="45"/>
      <c r="AV119" s="45"/>
      <c r="AW119" s="9" t="s">
        <v>461</v>
      </c>
      <c r="AX119" s="9" t="s">
        <v>461</v>
      </c>
      <c r="AY119" s="9" t="s">
        <v>461</v>
      </c>
      <c r="AZ119" s="9" t="s">
        <v>461</v>
      </c>
      <c r="BA119" s="10" t="s">
        <v>158</v>
      </c>
      <c r="BB119" s="29" t="s">
        <v>2538</v>
      </c>
      <c r="BC119" s="29" t="s">
        <v>1611</v>
      </c>
      <c r="BD119" s="29" t="s">
        <v>1611</v>
      </c>
      <c r="BE119" s="29" t="s">
        <v>1611</v>
      </c>
      <c r="BF119" s="29" t="s">
        <v>1611</v>
      </c>
      <c r="BG119" s="29" t="s">
        <v>2599</v>
      </c>
      <c r="BH119" s="29" t="s">
        <v>2600</v>
      </c>
      <c r="BI119" s="29" t="s">
        <v>253</v>
      </c>
      <c r="BJ119" s="29" t="s">
        <v>2784</v>
      </c>
      <c r="BK119" s="29" t="s">
        <v>2584</v>
      </c>
      <c r="BL119" s="29" t="s">
        <v>2876</v>
      </c>
      <c r="BM119" s="29" t="s">
        <v>1611</v>
      </c>
      <c r="BN119" s="29" t="s">
        <v>1611</v>
      </c>
      <c r="BO119" s="29" t="s">
        <v>1611</v>
      </c>
      <c r="BP119" s="29" t="s">
        <v>1611</v>
      </c>
      <c r="BQ119" s="29" t="s">
        <v>1611</v>
      </c>
      <c r="BR119" s="29" t="s">
        <v>1611</v>
      </c>
      <c r="BS119" s="29" t="s">
        <v>1611</v>
      </c>
      <c r="BT119" s="29" t="s">
        <v>1611</v>
      </c>
      <c r="BU119" s="29" t="s">
        <v>2375</v>
      </c>
      <c r="BV119" s="29" t="s">
        <v>3069</v>
      </c>
      <c r="BW119" s="29" t="s">
        <v>1611</v>
      </c>
      <c r="BX119" s="29" t="s">
        <v>1611</v>
      </c>
      <c r="BY119" s="29" t="s">
        <v>1611</v>
      </c>
      <c r="BZ119" s="29" t="s">
        <v>1611</v>
      </c>
      <c r="CA119" s="29" t="s">
        <v>1611</v>
      </c>
      <c r="CB119" s="29" t="s">
        <v>1611</v>
      </c>
      <c r="CC119" s="29" t="s">
        <v>1611</v>
      </c>
      <c r="CD119" s="29" t="s">
        <v>1611</v>
      </c>
      <c r="CE119" s="29" t="s">
        <v>1611</v>
      </c>
      <c r="CF119" s="29" t="s">
        <v>1611</v>
      </c>
      <c r="CG119" s="29" t="s">
        <v>1755</v>
      </c>
      <c r="CH119" s="29" t="s">
        <v>1870</v>
      </c>
      <c r="CI119" s="29" t="s">
        <v>1611</v>
      </c>
      <c r="CJ119" s="29" t="s">
        <v>1611</v>
      </c>
      <c r="CK119" s="29" t="s">
        <v>1611</v>
      </c>
      <c r="CL119" s="29" t="s">
        <v>1611</v>
      </c>
      <c r="CM119" s="29" t="s">
        <v>1611</v>
      </c>
      <c r="CN119" s="29" t="s">
        <v>1611</v>
      </c>
      <c r="CO119" s="29" t="s">
        <v>1611</v>
      </c>
      <c r="CP119" s="29" t="s">
        <v>1611</v>
      </c>
      <c r="CQ119" s="29" t="s">
        <v>1611</v>
      </c>
      <c r="CR119" s="29" t="s">
        <v>1611</v>
      </c>
      <c r="CS119" s="29" t="s">
        <v>1611</v>
      </c>
      <c r="CT119" s="29" t="s">
        <v>1611</v>
      </c>
      <c r="CU119" s="29" t="s">
        <v>1611</v>
      </c>
      <c r="CV119" s="29" t="s">
        <v>1611</v>
      </c>
      <c r="CW119" s="29"/>
      <c r="CX119" s="29"/>
      <c r="CY119" s="151"/>
      <c r="CZ119" t="s">
        <v>3286</v>
      </c>
      <c r="DA119" t="s">
        <v>3634</v>
      </c>
      <c r="DD119" s="96" t="str">
        <f t="shared" si="1"/>
        <v/>
      </c>
      <c r="DF119" s="96" t="s">
        <v>3753</v>
      </c>
    </row>
    <row r="120" spans="1:110" ht="16.5" customHeight="1" x14ac:dyDescent="0.3">
      <c r="C120" s="105">
        <v>1668680</v>
      </c>
      <c r="D120" s="27">
        <v>114</v>
      </c>
      <c r="E120" s="28" t="s">
        <v>794</v>
      </c>
      <c r="F120" s="28">
        <v>1000623483</v>
      </c>
      <c r="G120" s="29" t="s">
        <v>1021</v>
      </c>
      <c r="H120" s="28">
        <v>1668680</v>
      </c>
      <c r="I120" s="29" t="s">
        <v>1022</v>
      </c>
      <c r="J120" s="28" t="s">
        <v>429</v>
      </c>
      <c r="K120" s="7"/>
      <c r="L120" s="104" t="s">
        <v>665</v>
      </c>
      <c r="M120" s="29"/>
      <c r="N120" s="29"/>
      <c r="O120" s="127"/>
      <c r="P120" s="28"/>
      <c r="Q120" s="28"/>
      <c r="R120" s="28"/>
      <c r="S120" s="28"/>
      <c r="T120" s="28"/>
      <c r="U120" s="28"/>
      <c r="V120" s="28"/>
      <c r="W120" s="28"/>
      <c r="X120" s="28"/>
      <c r="Y120" s="28"/>
      <c r="Z120" s="28"/>
      <c r="AA120" s="28"/>
      <c r="AB120" s="104"/>
      <c r="AC120" s="28"/>
      <c r="AD120" s="9" t="s">
        <v>1269</v>
      </c>
      <c r="AE120" s="39">
        <v>45862</v>
      </c>
      <c r="AF120" s="9" t="s">
        <v>1276</v>
      </c>
      <c r="AG120" s="34" t="s">
        <v>1295</v>
      </c>
      <c r="AH120" s="9"/>
      <c r="AI120" s="9"/>
      <c r="AJ120" s="9"/>
      <c r="AK120" s="45"/>
      <c r="AL120" s="45" t="s">
        <v>1611</v>
      </c>
      <c r="AM120" s="45"/>
      <c r="AN120" s="45"/>
      <c r="AO120" s="45"/>
      <c r="AP120" s="45"/>
      <c r="AQ120" s="45"/>
      <c r="AR120" s="45"/>
      <c r="AS120" s="45"/>
      <c r="AT120" s="45"/>
      <c r="AU120" s="45"/>
      <c r="AV120" s="45"/>
      <c r="AW120" s="9"/>
      <c r="AX120" s="9"/>
      <c r="AY120" s="9"/>
      <c r="AZ120" s="9"/>
      <c r="BA120" s="10" t="s">
        <v>79</v>
      </c>
      <c r="BB120" s="29" t="s">
        <v>2612</v>
      </c>
      <c r="BC120" s="29" t="s">
        <v>1611</v>
      </c>
      <c r="BD120" s="29" t="s">
        <v>1611</v>
      </c>
      <c r="BE120" s="29" t="s">
        <v>1611</v>
      </c>
      <c r="BF120" s="29" t="s">
        <v>1611</v>
      </c>
      <c r="BG120" s="29" t="s">
        <v>2539</v>
      </c>
      <c r="BH120" s="29" t="s">
        <v>2540</v>
      </c>
      <c r="BI120" s="29" t="s">
        <v>2518</v>
      </c>
      <c r="BJ120" s="29" t="s">
        <v>2519</v>
      </c>
      <c r="BK120" s="29" t="s">
        <v>294</v>
      </c>
      <c r="BL120" s="29" t="s">
        <v>2718</v>
      </c>
      <c r="BM120" s="29" t="s">
        <v>1611</v>
      </c>
      <c r="BN120" s="29" t="s">
        <v>1611</v>
      </c>
      <c r="BO120" s="29" t="s">
        <v>1611</v>
      </c>
      <c r="BP120" s="29" t="s">
        <v>1611</v>
      </c>
      <c r="BQ120" s="29" t="s">
        <v>1611</v>
      </c>
      <c r="BR120" s="29" t="s">
        <v>1611</v>
      </c>
      <c r="BS120" s="29" t="s">
        <v>1611</v>
      </c>
      <c r="BT120" s="29" t="s">
        <v>1611</v>
      </c>
      <c r="BU120" s="29" t="s">
        <v>2385</v>
      </c>
      <c r="BV120" s="29" t="s">
        <v>2432</v>
      </c>
      <c r="BW120" s="29" t="s">
        <v>1611</v>
      </c>
      <c r="BX120" s="29" t="s">
        <v>1611</v>
      </c>
      <c r="BY120" s="29" t="s">
        <v>1611</v>
      </c>
      <c r="BZ120" s="29" t="s">
        <v>1611</v>
      </c>
      <c r="CA120" s="29" t="s">
        <v>1611</v>
      </c>
      <c r="CB120" s="29" t="s">
        <v>1611</v>
      </c>
      <c r="CC120" s="29" t="s">
        <v>1611</v>
      </c>
      <c r="CD120" s="29" t="s">
        <v>1611</v>
      </c>
      <c r="CE120" s="29" t="s">
        <v>1611</v>
      </c>
      <c r="CF120" s="29" t="s">
        <v>1611</v>
      </c>
      <c r="CG120" s="29" t="s">
        <v>2877</v>
      </c>
      <c r="CH120" s="29" t="s">
        <v>2878</v>
      </c>
      <c r="CI120" s="29" t="s">
        <v>1611</v>
      </c>
      <c r="CJ120" s="29" t="s">
        <v>1611</v>
      </c>
      <c r="CK120" s="29" t="s">
        <v>1611</v>
      </c>
      <c r="CL120" s="29" t="s">
        <v>1611</v>
      </c>
      <c r="CM120" s="29" t="s">
        <v>1611</v>
      </c>
      <c r="CN120" s="29" t="s">
        <v>1611</v>
      </c>
      <c r="CO120" s="29" t="s">
        <v>1611</v>
      </c>
      <c r="CP120" s="29" t="s">
        <v>1611</v>
      </c>
      <c r="CQ120" s="29" t="s">
        <v>1611</v>
      </c>
      <c r="CR120" s="29" t="s">
        <v>1611</v>
      </c>
      <c r="CS120" s="29" t="s">
        <v>1611</v>
      </c>
      <c r="CT120" s="29" t="s">
        <v>1611</v>
      </c>
      <c r="CU120" s="29" t="s">
        <v>1611</v>
      </c>
      <c r="CV120" s="29" t="s">
        <v>1611</v>
      </c>
      <c r="CW120" s="29"/>
      <c r="CX120" s="29"/>
      <c r="CY120" s="151"/>
      <c r="CZ120" t="e">
        <v>#N/A</v>
      </c>
      <c r="DA120" t="e">
        <v>#N/A</v>
      </c>
      <c r="DD120" s="96" t="str">
        <f t="shared" si="1"/>
        <v>V</v>
      </c>
    </row>
    <row r="121" spans="1:110" ht="16.5" customHeight="1" x14ac:dyDescent="0.3">
      <c r="C121" s="105">
        <v>1682750</v>
      </c>
      <c r="D121" s="27">
        <v>115</v>
      </c>
      <c r="E121" s="28" t="s">
        <v>822</v>
      </c>
      <c r="F121" s="28">
        <v>1000316632</v>
      </c>
      <c r="G121" s="29" t="s">
        <v>1024</v>
      </c>
      <c r="H121" s="28">
        <v>1682750</v>
      </c>
      <c r="I121" s="29" t="s">
        <v>1025</v>
      </c>
      <c r="J121" s="28" t="s">
        <v>429</v>
      </c>
      <c r="K121" s="7"/>
      <c r="L121" s="104" t="s">
        <v>724</v>
      </c>
      <c r="M121" s="29" t="s">
        <v>206</v>
      </c>
      <c r="N121" s="29" t="s">
        <v>2272</v>
      </c>
      <c r="O121" s="127">
        <v>195659</v>
      </c>
      <c r="P121" s="113" t="s">
        <v>1960</v>
      </c>
      <c r="Q121" s="28" t="s">
        <v>612</v>
      </c>
      <c r="R121" s="28" t="s">
        <v>1301</v>
      </c>
      <c r="S121" s="28" t="s">
        <v>1301</v>
      </c>
      <c r="T121" s="28" t="s">
        <v>1301</v>
      </c>
      <c r="U121" s="28" t="s">
        <v>1301</v>
      </c>
      <c r="V121" s="28" t="s">
        <v>1301</v>
      </c>
      <c r="W121" s="28" t="s">
        <v>1301</v>
      </c>
      <c r="X121" s="28" t="s">
        <v>1301</v>
      </c>
      <c r="Y121" s="28" t="s">
        <v>1301</v>
      </c>
      <c r="Z121" s="28" t="s">
        <v>1301</v>
      </c>
      <c r="AA121" s="28" t="s">
        <v>1301</v>
      </c>
      <c r="AB121" s="104" t="s">
        <v>1949</v>
      </c>
      <c r="AC121" s="104" t="s">
        <v>1950</v>
      </c>
      <c r="AD121" s="9" t="s">
        <v>45</v>
      </c>
      <c r="AE121" s="9"/>
      <c r="AF121" s="9"/>
      <c r="AG121" s="34"/>
      <c r="AH121" s="9"/>
      <c r="AI121" s="9" t="s">
        <v>1938</v>
      </c>
      <c r="AJ121" s="9"/>
      <c r="AK121" s="45"/>
      <c r="AL121" s="45" t="s">
        <v>2278</v>
      </c>
      <c r="AM121" s="45" t="s">
        <v>46</v>
      </c>
      <c r="AN121" s="45" t="s">
        <v>46</v>
      </c>
      <c r="AO121" s="45" t="s">
        <v>46</v>
      </c>
      <c r="AP121" s="45" t="s">
        <v>46</v>
      </c>
      <c r="AQ121" s="45" t="s">
        <v>46</v>
      </c>
      <c r="AR121" s="45" t="s">
        <v>46</v>
      </c>
      <c r="AS121" s="45"/>
      <c r="AT121" s="45"/>
      <c r="AU121" s="45"/>
      <c r="AV121" s="45"/>
      <c r="AW121" s="45" t="s">
        <v>46</v>
      </c>
      <c r="AX121" s="45" t="s">
        <v>46</v>
      </c>
      <c r="AY121" s="45" t="s">
        <v>46</v>
      </c>
      <c r="AZ121" s="9" t="s">
        <v>46</v>
      </c>
      <c r="BA121" s="10" t="s">
        <v>2496</v>
      </c>
      <c r="BB121" s="29" t="s">
        <v>2550</v>
      </c>
      <c r="BC121" s="29" t="s">
        <v>1611</v>
      </c>
      <c r="BD121" s="29" t="s">
        <v>1611</v>
      </c>
      <c r="BE121" s="29" t="s">
        <v>1611</v>
      </c>
      <c r="BF121" s="29" t="s">
        <v>1611</v>
      </c>
      <c r="BG121" s="29" t="s">
        <v>2539</v>
      </c>
      <c r="BH121" s="29" t="s">
        <v>2540</v>
      </c>
      <c r="BI121" s="29" t="s">
        <v>355</v>
      </c>
      <c r="BJ121" s="29" t="s">
        <v>2551</v>
      </c>
      <c r="BK121" s="29" t="s">
        <v>2754</v>
      </c>
      <c r="BL121" s="29" t="s">
        <v>2755</v>
      </c>
      <c r="BM121" s="29" t="s">
        <v>1611</v>
      </c>
      <c r="BN121" s="29" t="s">
        <v>1611</v>
      </c>
      <c r="BO121" s="29" t="s">
        <v>1611</v>
      </c>
      <c r="BP121" s="29" t="s">
        <v>1611</v>
      </c>
      <c r="BQ121" s="29" t="s">
        <v>1611</v>
      </c>
      <c r="BR121" s="29" t="s">
        <v>1611</v>
      </c>
      <c r="BS121" s="29" t="s">
        <v>1611</v>
      </c>
      <c r="BT121" s="29" t="s">
        <v>1611</v>
      </c>
      <c r="BU121" s="29" t="s">
        <v>319</v>
      </c>
      <c r="BV121" s="29" t="s">
        <v>2758</v>
      </c>
      <c r="BW121" s="29" t="s">
        <v>1611</v>
      </c>
      <c r="BX121" s="29" t="s">
        <v>1611</v>
      </c>
      <c r="BY121" s="29" t="s">
        <v>1611</v>
      </c>
      <c r="BZ121" s="29" t="s">
        <v>1611</v>
      </c>
      <c r="CA121" s="29" t="s">
        <v>1611</v>
      </c>
      <c r="CB121" s="29" t="s">
        <v>1611</v>
      </c>
      <c r="CC121" s="29" t="s">
        <v>1611</v>
      </c>
      <c r="CD121" s="29" t="s">
        <v>1611</v>
      </c>
      <c r="CE121" s="29" t="s">
        <v>1611</v>
      </c>
      <c r="CF121" s="29" t="s">
        <v>1611</v>
      </c>
      <c r="CG121" s="29" t="s">
        <v>432</v>
      </c>
      <c r="CH121" s="29" t="s">
        <v>1871</v>
      </c>
      <c r="CI121" s="29" t="s">
        <v>1611</v>
      </c>
      <c r="CJ121" s="29" t="s">
        <v>1611</v>
      </c>
      <c r="CK121" s="29" t="s">
        <v>2879</v>
      </c>
      <c r="CL121" s="29" t="s">
        <v>2880</v>
      </c>
      <c r="CM121" s="29" t="s">
        <v>2881</v>
      </c>
      <c r="CN121" s="29" t="s">
        <v>2882</v>
      </c>
      <c r="CO121" s="29" t="s">
        <v>1611</v>
      </c>
      <c r="CP121" s="29" t="s">
        <v>1611</v>
      </c>
      <c r="CQ121" s="29" t="s">
        <v>1611</v>
      </c>
      <c r="CR121" s="29" t="s">
        <v>1611</v>
      </c>
      <c r="CS121" s="29" t="s">
        <v>1611</v>
      </c>
      <c r="CT121" s="29" t="s">
        <v>1611</v>
      </c>
      <c r="CU121" s="29" t="s">
        <v>1611</v>
      </c>
      <c r="CV121" s="29" t="s">
        <v>1611</v>
      </c>
      <c r="CW121" s="29"/>
      <c r="CX121" s="29"/>
      <c r="CY121" s="151"/>
      <c r="CZ121" t="s">
        <v>3287</v>
      </c>
      <c r="DA121" t="s">
        <v>3634</v>
      </c>
      <c r="DD121" s="96" t="str">
        <f t="shared" si="1"/>
        <v/>
      </c>
      <c r="DF121" s="96" t="s">
        <v>3753</v>
      </c>
    </row>
    <row r="122" spans="1:110" ht="16.5" customHeight="1" x14ac:dyDescent="0.3">
      <c r="C122" s="105">
        <v>1683556</v>
      </c>
      <c r="D122" s="27">
        <v>116</v>
      </c>
      <c r="E122" s="28" t="s">
        <v>829</v>
      </c>
      <c r="F122" s="28">
        <v>1000317666</v>
      </c>
      <c r="G122" s="29" t="s">
        <v>1026</v>
      </c>
      <c r="H122" s="28">
        <v>1683556</v>
      </c>
      <c r="I122" s="29" t="s">
        <v>1027</v>
      </c>
      <c r="J122" s="28" t="s">
        <v>854</v>
      </c>
      <c r="K122" s="7"/>
      <c r="L122" s="104" t="s">
        <v>290</v>
      </c>
      <c r="M122" s="29" t="s">
        <v>2492</v>
      </c>
      <c r="N122" s="29" t="s">
        <v>183</v>
      </c>
      <c r="O122" s="127">
        <v>461083</v>
      </c>
      <c r="P122" s="113" t="s">
        <v>1317</v>
      </c>
      <c r="Q122" s="28" t="s">
        <v>612</v>
      </c>
      <c r="R122" s="28" t="s">
        <v>1301</v>
      </c>
      <c r="S122" s="28" t="s">
        <v>1301</v>
      </c>
      <c r="T122" s="28" t="s">
        <v>1301</v>
      </c>
      <c r="U122" s="28" t="s">
        <v>1301</v>
      </c>
      <c r="V122" s="28" t="s">
        <v>1301</v>
      </c>
      <c r="W122" s="28" t="s">
        <v>1301</v>
      </c>
      <c r="X122" s="28" t="s">
        <v>1301</v>
      </c>
      <c r="Y122" s="28" t="s">
        <v>1301</v>
      </c>
      <c r="Z122" s="28" t="s">
        <v>1301</v>
      </c>
      <c r="AA122" s="28" t="s">
        <v>1301</v>
      </c>
      <c r="AB122" s="104" t="s">
        <v>1949</v>
      </c>
      <c r="AC122" s="104" t="s">
        <v>1950</v>
      </c>
      <c r="AD122" s="9" t="s">
        <v>1269</v>
      </c>
      <c r="AE122" s="9"/>
      <c r="AF122" s="9"/>
      <c r="AG122" s="34"/>
      <c r="AH122" s="9"/>
      <c r="AI122" s="45" t="s">
        <v>461</v>
      </c>
      <c r="AJ122" s="9"/>
      <c r="AK122" s="45"/>
      <c r="AL122" s="45" t="s">
        <v>461</v>
      </c>
      <c r="AM122" s="45" t="s">
        <v>461</v>
      </c>
      <c r="AN122" s="45" t="s">
        <v>461</v>
      </c>
      <c r="AO122" s="45" t="s">
        <v>461</v>
      </c>
      <c r="AP122" s="45" t="s">
        <v>461</v>
      </c>
      <c r="AQ122" s="45" t="s">
        <v>461</v>
      </c>
      <c r="AR122" s="45" t="s">
        <v>461</v>
      </c>
      <c r="AS122" s="45"/>
      <c r="AT122" s="45"/>
      <c r="AU122" s="45"/>
      <c r="AV122" s="45"/>
      <c r="AW122" s="9"/>
      <c r="AX122" s="9"/>
      <c r="AY122" s="9"/>
      <c r="AZ122" s="9"/>
      <c r="BA122" s="10" t="s">
        <v>268</v>
      </c>
      <c r="BB122" s="29" t="s">
        <v>2608</v>
      </c>
      <c r="BC122" s="29" t="s">
        <v>1611</v>
      </c>
      <c r="BD122" s="29" t="s">
        <v>1611</v>
      </c>
      <c r="BE122" s="29" t="s">
        <v>1611</v>
      </c>
      <c r="BF122" s="29" t="s">
        <v>1611</v>
      </c>
      <c r="BG122" s="29" t="s">
        <v>1611</v>
      </c>
      <c r="BH122" s="29" t="s">
        <v>1611</v>
      </c>
      <c r="BI122" s="29" t="s">
        <v>230</v>
      </c>
      <c r="BJ122" s="29" t="s">
        <v>2681</v>
      </c>
      <c r="BK122" s="29" t="s">
        <v>130</v>
      </c>
      <c r="BL122" s="29" t="s">
        <v>2850</v>
      </c>
      <c r="BM122" s="29" t="s">
        <v>1611</v>
      </c>
      <c r="BN122" s="29" t="s">
        <v>1611</v>
      </c>
      <c r="BO122" s="29" t="s">
        <v>1611</v>
      </c>
      <c r="BP122" s="29" t="s">
        <v>1611</v>
      </c>
      <c r="BQ122" s="29" t="s">
        <v>1611</v>
      </c>
      <c r="BR122" s="29" t="s">
        <v>1611</v>
      </c>
      <c r="BS122" s="29" t="s">
        <v>1611</v>
      </c>
      <c r="BT122" s="29" t="s">
        <v>1611</v>
      </c>
      <c r="BU122" s="29" t="s">
        <v>2726</v>
      </c>
      <c r="BV122" s="29" t="s">
        <v>3121</v>
      </c>
      <c r="BW122" s="29" t="s">
        <v>1611</v>
      </c>
      <c r="BX122" s="29" t="s">
        <v>1611</v>
      </c>
      <c r="BY122" s="29" t="s">
        <v>1611</v>
      </c>
      <c r="BZ122" s="29" t="s">
        <v>1611</v>
      </c>
      <c r="CA122" s="29" t="s">
        <v>1611</v>
      </c>
      <c r="CB122" s="29" t="s">
        <v>1611</v>
      </c>
      <c r="CC122" s="29" t="s">
        <v>1611</v>
      </c>
      <c r="CD122" s="29" t="s">
        <v>1611</v>
      </c>
      <c r="CE122" s="29" t="s">
        <v>1611</v>
      </c>
      <c r="CF122" s="29" t="s">
        <v>1611</v>
      </c>
      <c r="CG122" s="29" t="s">
        <v>314</v>
      </c>
      <c r="CH122" s="29" t="s">
        <v>2837</v>
      </c>
      <c r="CI122" s="29" t="s">
        <v>1611</v>
      </c>
      <c r="CJ122" s="29" t="s">
        <v>1611</v>
      </c>
      <c r="CK122" s="29" t="s">
        <v>3162</v>
      </c>
      <c r="CL122" s="29" t="s">
        <v>3166</v>
      </c>
      <c r="CM122" s="29" t="s">
        <v>3163</v>
      </c>
      <c r="CN122" s="29" t="s">
        <v>3167</v>
      </c>
      <c r="CO122" s="29" t="s">
        <v>3164</v>
      </c>
      <c r="CP122" s="29" t="s">
        <v>3168</v>
      </c>
      <c r="CQ122" s="29" t="s">
        <v>3165</v>
      </c>
      <c r="CR122" s="29" t="s">
        <v>3169</v>
      </c>
      <c r="CS122" s="29" t="s">
        <v>1611</v>
      </c>
      <c r="CT122" s="29" t="s">
        <v>1611</v>
      </c>
      <c r="CU122" s="29" t="s">
        <v>1611</v>
      </c>
      <c r="CV122" s="29" t="s">
        <v>1611</v>
      </c>
      <c r="CW122" s="29"/>
      <c r="CX122" s="29"/>
      <c r="CY122" s="151"/>
      <c r="CZ122" t="s">
        <v>3288</v>
      </c>
      <c r="DA122" t="s">
        <v>3634</v>
      </c>
      <c r="DD122" s="96" t="str">
        <f t="shared" si="1"/>
        <v/>
      </c>
      <c r="DF122" s="96" t="s">
        <v>3753</v>
      </c>
    </row>
    <row r="123" spans="1:110" ht="16.5" customHeight="1" x14ac:dyDescent="0.3">
      <c r="C123" s="105">
        <v>1686122</v>
      </c>
      <c r="D123" s="27">
        <v>117</v>
      </c>
      <c r="E123" s="28" t="s">
        <v>786</v>
      </c>
      <c r="F123" s="28">
        <v>1000316936</v>
      </c>
      <c r="G123" s="29" t="s">
        <v>1028</v>
      </c>
      <c r="H123" s="28">
        <v>1686122</v>
      </c>
      <c r="I123" s="29" t="s">
        <v>1029</v>
      </c>
      <c r="J123" s="28" t="s">
        <v>429</v>
      </c>
      <c r="K123" s="7"/>
      <c r="L123" s="104" t="s">
        <v>725</v>
      </c>
      <c r="M123" s="29"/>
      <c r="N123" s="29"/>
      <c r="O123" s="127"/>
      <c r="P123" s="28"/>
      <c r="Q123" s="28"/>
      <c r="R123" s="28"/>
      <c r="S123" s="28"/>
      <c r="T123" s="28"/>
      <c r="U123" s="28"/>
      <c r="V123" s="28"/>
      <c r="W123" s="28"/>
      <c r="X123" s="28"/>
      <c r="Y123" s="28"/>
      <c r="Z123" s="28"/>
      <c r="AA123" s="28"/>
      <c r="AB123" s="104"/>
      <c r="AC123" s="104"/>
      <c r="AD123" s="9" t="s">
        <v>1269</v>
      </c>
      <c r="AE123" s="39">
        <v>45910</v>
      </c>
      <c r="AF123" s="9" t="s">
        <v>1276</v>
      </c>
      <c r="AG123" s="34" t="s">
        <v>1959</v>
      </c>
      <c r="AH123" s="9"/>
      <c r="AI123" s="9"/>
      <c r="AJ123" s="9"/>
      <c r="AK123" s="45"/>
      <c r="AL123" s="45" t="s">
        <v>1611</v>
      </c>
      <c r="AM123" s="45"/>
      <c r="AN123" s="45"/>
      <c r="AO123" s="45"/>
      <c r="AP123" s="45"/>
      <c r="AQ123" s="45"/>
      <c r="AR123" s="45"/>
      <c r="AS123" s="45"/>
      <c r="AT123" s="45"/>
      <c r="AU123" s="45"/>
      <c r="AV123" s="45"/>
      <c r="AW123" s="9"/>
      <c r="AX123" s="9"/>
      <c r="AY123" s="9"/>
      <c r="AZ123" s="9"/>
      <c r="BA123" s="10" t="s">
        <v>70</v>
      </c>
      <c r="BB123" s="29" t="s">
        <v>2616</v>
      </c>
      <c r="BC123" s="29" t="s">
        <v>1611</v>
      </c>
      <c r="BD123" s="29" t="s">
        <v>1611</v>
      </c>
      <c r="BE123" s="29" t="s">
        <v>1611</v>
      </c>
      <c r="BF123" s="29" t="s">
        <v>1611</v>
      </c>
      <c r="BG123" s="29" t="s">
        <v>2650</v>
      </c>
      <c r="BH123" s="29" t="s">
        <v>2651</v>
      </c>
      <c r="BI123" s="29" t="s">
        <v>2883</v>
      </c>
      <c r="BJ123" s="29" t="s">
        <v>2884</v>
      </c>
      <c r="BK123" s="29" t="s">
        <v>231</v>
      </c>
      <c r="BL123" s="29" t="s">
        <v>2682</v>
      </c>
      <c r="BM123" s="29" t="s">
        <v>1611</v>
      </c>
      <c r="BN123" s="29" t="s">
        <v>1611</v>
      </c>
      <c r="BO123" s="29" t="s">
        <v>1611</v>
      </c>
      <c r="BP123" s="29" t="s">
        <v>1611</v>
      </c>
      <c r="BQ123" s="29" t="s">
        <v>1611</v>
      </c>
      <c r="BR123" s="29" t="s">
        <v>1611</v>
      </c>
      <c r="BS123" s="29" t="s">
        <v>1611</v>
      </c>
      <c r="BT123" s="29" t="s">
        <v>1611</v>
      </c>
      <c r="BU123" s="29" t="s">
        <v>2810</v>
      </c>
      <c r="BV123" s="29" t="s">
        <v>2811</v>
      </c>
      <c r="BW123" s="29" t="s">
        <v>1611</v>
      </c>
      <c r="BX123" s="29" t="s">
        <v>1611</v>
      </c>
      <c r="BY123" s="29" t="s">
        <v>1611</v>
      </c>
      <c r="BZ123" s="29" t="s">
        <v>1611</v>
      </c>
      <c r="CA123" s="29" t="s">
        <v>1611</v>
      </c>
      <c r="CB123" s="29" t="s">
        <v>1611</v>
      </c>
      <c r="CC123" s="29" t="s">
        <v>1611</v>
      </c>
      <c r="CD123" s="29" t="s">
        <v>1611</v>
      </c>
      <c r="CE123" s="29" t="s">
        <v>1611</v>
      </c>
      <c r="CF123" s="29" t="s">
        <v>1611</v>
      </c>
      <c r="CG123" s="29" t="s">
        <v>1747</v>
      </c>
      <c r="CH123" s="29" t="s">
        <v>1860</v>
      </c>
      <c r="CI123" s="29" t="s">
        <v>1611</v>
      </c>
      <c r="CJ123" s="29" t="s">
        <v>1611</v>
      </c>
      <c r="CK123" s="29" t="s">
        <v>1611</v>
      </c>
      <c r="CL123" s="29" t="s">
        <v>1611</v>
      </c>
      <c r="CM123" s="29" t="s">
        <v>1611</v>
      </c>
      <c r="CN123" s="29" t="s">
        <v>1611</v>
      </c>
      <c r="CO123" s="29" t="s">
        <v>1611</v>
      </c>
      <c r="CP123" s="29" t="s">
        <v>1611</v>
      </c>
      <c r="CQ123" s="29" t="s">
        <v>1611</v>
      </c>
      <c r="CR123" s="29" t="s">
        <v>1611</v>
      </c>
      <c r="CS123" s="29" t="s">
        <v>1611</v>
      </c>
      <c r="CT123" s="29" t="s">
        <v>1611</v>
      </c>
      <c r="CU123" s="29" t="s">
        <v>1611</v>
      </c>
      <c r="CV123" s="29" t="s">
        <v>1611</v>
      </c>
      <c r="CW123" s="29"/>
      <c r="CX123" s="29"/>
      <c r="CY123" s="151"/>
      <c r="CZ123" t="e">
        <v>#N/A</v>
      </c>
      <c r="DA123" t="e">
        <v>#N/A</v>
      </c>
      <c r="DD123" s="96" t="str">
        <f t="shared" si="1"/>
        <v>V</v>
      </c>
    </row>
    <row r="124" spans="1:110" ht="16.5" customHeight="1" x14ac:dyDescent="0.3">
      <c r="C124" s="105">
        <v>1685463</v>
      </c>
      <c r="D124" s="27">
        <v>118</v>
      </c>
      <c r="E124" s="28" t="s">
        <v>818</v>
      </c>
      <c r="F124" s="28">
        <v>1000325951</v>
      </c>
      <c r="G124" s="29" t="s">
        <v>1030</v>
      </c>
      <c r="H124" s="28">
        <v>1685463</v>
      </c>
      <c r="I124" s="29" t="s">
        <v>1031</v>
      </c>
      <c r="J124" s="28" t="s">
        <v>429</v>
      </c>
      <c r="K124" s="7"/>
      <c r="L124" s="104" t="s">
        <v>726</v>
      </c>
      <c r="M124" s="29"/>
      <c r="N124" s="29"/>
      <c r="O124" s="127"/>
      <c r="P124" s="28"/>
      <c r="Q124" s="28"/>
      <c r="R124" s="28"/>
      <c r="S124" s="28"/>
      <c r="T124" s="28"/>
      <c r="U124" s="28"/>
      <c r="V124" s="28"/>
      <c r="W124" s="28"/>
      <c r="X124" s="28"/>
      <c r="Y124" s="28"/>
      <c r="Z124" s="28"/>
      <c r="AA124" s="28"/>
      <c r="AB124" s="104"/>
      <c r="AC124" s="104"/>
      <c r="AD124" s="9" t="s">
        <v>1269</v>
      </c>
      <c r="AE124" s="39">
        <v>46059</v>
      </c>
      <c r="AF124" s="9" t="s">
        <v>1276</v>
      </c>
      <c r="AG124" s="34" t="s">
        <v>3759</v>
      </c>
      <c r="AH124" s="9"/>
      <c r="AI124" s="9"/>
      <c r="AJ124" s="9"/>
      <c r="AK124" s="45"/>
      <c r="AL124" s="45"/>
      <c r="AM124" s="45"/>
      <c r="AN124" s="45"/>
      <c r="AO124" s="45"/>
      <c r="AP124" s="45"/>
      <c r="AQ124" s="45"/>
      <c r="AR124" s="45"/>
      <c r="AS124" s="45"/>
      <c r="AT124" s="45"/>
      <c r="AU124" s="45"/>
      <c r="AV124" s="45"/>
      <c r="AW124" s="9"/>
      <c r="AX124" s="9"/>
      <c r="AY124" s="9"/>
      <c r="AZ124" s="9"/>
      <c r="BA124" s="10" t="s">
        <v>100</v>
      </c>
      <c r="BB124" s="29" t="s">
        <v>2513</v>
      </c>
      <c r="BC124" s="29" t="s">
        <v>1611</v>
      </c>
      <c r="BD124" s="29" t="s">
        <v>1611</v>
      </c>
      <c r="BE124" s="29" t="s">
        <v>1611</v>
      </c>
      <c r="BF124" s="29" t="s">
        <v>1611</v>
      </c>
      <c r="BG124" s="29" t="s">
        <v>2721</v>
      </c>
      <c r="BH124" s="29" t="s">
        <v>2722</v>
      </c>
      <c r="BI124" s="29" t="s">
        <v>282</v>
      </c>
      <c r="BJ124" s="29" t="s">
        <v>2787</v>
      </c>
      <c r="BK124" s="29" t="s">
        <v>244</v>
      </c>
      <c r="BL124" s="29" t="s">
        <v>2712</v>
      </c>
      <c r="BM124" s="29" t="s">
        <v>1611</v>
      </c>
      <c r="BN124" s="29" t="s">
        <v>1611</v>
      </c>
      <c r="BO124" s="29" t="s">
        <v>1611</v>
      </c>
      <c r="BP124" s="29" t="s">
        <v>1611</v>
      </c>
      <c r="BQ124" s="29" t="s">
        <v>1611</v>
      </c>
      <c r="BR124" s="29" t="s">
        <v>1611</v>
      </c>
      <c r="BS124" s="29" t="s">
        <v>1611</v>
      </c>
      <c r="BT124" s="29" t="s">
        <v>1611</v>
      </c>
      <c r="BU124" s="29" t="s">
        <v>2376</v>
      </c>
      <c r="BV124" s="29" t="s">
        <v>2420</v>
      </c>
      <c r="BW124" s="29" t="s">
        <v>1611</v>
      </c>
      <c r="BX124" s="29" t="s">
        <v>1611</v>
      </c>
      <c r="BY124" s="29" t="s">
        <v>1611</v>
      </c>
      <c r="BZ124" s="29" t="s">
        <v>1611</v>
      </c>
      <c r="CA124" s="29" t="s">
        <v>1611</v>
      </c>
      <c r="CB124" s="29" t="s">
        <v>1611</v>
      </c>
      <c r="CC124" s="29" t="s">
        <v>1611</v>
      </c>
      <c r="CD124" s="29" t="s">
        <v>1611</v>
      </c>
      <c r="CE124" s="29" t="s">
        <v>1611</v>
      </c>
      <c r="CF124" s="29" t="s">
        <v>1611</v>
      </c>
      <c r="CG124" s="29" t="s">
        <v>1756</v>
      </c>
      <c r="CH124" s="29" t="s">
        <v>1872</v>
      </c>
      <c r="CI124" s="29" t="s">
        <v>1611</v>
      </c>
      <c r="CJ124" s="29" t="s">
        <v>1611</v>
      </c>
      <c r="CK124" s="29" t="s">
        <v>1611</v>
      </c>
      <c r="CL124" s="29" t="s">
        <v>1611</v>
      </c>
      <c r="CM124" s="29" t="s">
        <v>1611</v>
      </c>
      <c r="CN124" s="29" t="s">
        <v>1611</v>
      </c>
      <c r="CO124" s="29" t="s">
        <v>1611</v>
      </c>
      <c r="CP124" s="29" t="s">
        <v>1611</v>
      </c>
      <c r="CQ124" s="29" t="s">
        <v>1611</v>
      </c>
      <c r="CR124" s="29" t="s">
        <v>1611</v>
      </c>
      <c r="CS124" s="29" t="s">
        <v>1611</v>
      </c>
      <c r="CT124" s="29" t="s">
        <v>1611</v>
      </c>
      <c r="CU124" s="29" t="s">
        <v>1611</v>
      </c>
      <c r="CV124" s="29" t="s">
        <v>1611</v>
      </c>
      <c r="CW124" s="29"/>
      <c r="CX124" s="29"/>
      <c r="CY124" s="151"/>
      <c r="CZ124" t="e">
        <v>#N/A</v>
      </c>
      <c r="DA124" t="e">
        <v>#N/A</v>
      </c>
      <c r="DC124" s="96" t="s">
        <v>3700</v>
      </c>
      <c r="DD124" s="96" t="str">
        <f t="shared" si="1"/>
        <v>V</v>
      </c>
    </row>
    <row r="125" spans="1:110" ht="16.5" customHeight="1" x14ac:dyDescent="0.3">
      <c r="C125" s="105">
        <v>1660422</v>
      </c>
      <c r="D125" s="27">
        <v>119</v>
      </c>
      <c r="E125" s="28" t="s">
        <v>792</v>
      </c>
      <c r="F125" s="28">
        <v>1000955485</v>
      </c>
      <c r="G125" s="29" t="s">
        <v>1034</v>
      </c>
      <c r="H125" s="28">
        <v>1660422</v>
      </c>
      <c r="I125" s="29" t="s">
        <v>1035</v>
      </c>
      <c r="J125" s="28" t="s">
        <v>854</v>
      </c>
      <c r="K125" s="7"/>
      <c r="L125" s="104" t="s">
        <v>727</v>
      </c>
      <c r="M125" s="29" t="s">
        <v>3210</v>
      </c>
      <c r="N125" s="29" t="s">
        <v>3211</v>
      </c>
      <c r="O125" s="127">
        <v>80290</v>
      </c>
      <c r="P125" s="113" t="s">
        <v>1346</v>
      </c>
      <c r="Q125" s="28" t="s">
        <v>612</v>
      </c>
      <c r="R125" s="28" t="s">
        <v>1329</v>
      </c>
      <c r="S125" s="28" t="s">
        <v>612</v>
      </c>
      <c r="T125" s="28" t="s">
        <v>1329</v>
      </c>
      <c r="U125" s="28" t="s">
        <v>612</v>
      </c>
      <c r="V125" s="28" t="s">
        <v>1301</v>
      </c>
      <c r="W125" s="28" t="s">
        <v>1301</v>
      </c>
      <c r="X125" s="28" t="s">
        <v>1301</v>
      </c>
      <c r="Y125" s="28" t="s">
        <v>1301</v>
      </c>
      <c r="Z125" s="28" t="s">
        <v>1301</v>
      </c>
      <c r="AA125" s="28" t="s">
        <v>1301</v>
      </c>
      <c r="AB125" s="104" t="s">
        <v>1949</v>
      </c>
      <c r="AC125" s="104" t="s">
        <v>1950</v>
      </c>
      <c r="AD125" s="9" t="s">
        <v>1269</v>
      </c>
      <c r="AE125" s="9"/>
      <c r="AF125" s="9"/>
      <c r="AG125" s="34"/>
      <c r="AH125" s="9"/>
      <c r="AI125" s="9"/>
      <c r="AJ125" s="9"/>
      <c r="AK125" s="45"/>
      <c r="AL125" s="45" t="s">
        <v>2278</v>
      </c>
      <c r="AM125" s="45" t="s">
        <v>46</v>
      </c>
      <c r="AN125" s="45" t="s">
        <v>46</v>
      </c>
      <c r="AO125" s="45" t="s">
        <v>46</v>
      </c>
      <c r="AP125" s="45" t="s">
        <v>46</v>
      </c>
      <c r="AQ125" s="45" t="s">
        <v>46</v>
      </c>
      <c r="AR125" s="45" t="s">
        <v>46</v>
      </c>
      <c r="AS125" s="45"/>
      <c r="AT125" s="45"/>
      <c r="AU125" s="45"/>
      <c r="AV125" s="45"/>
      <c r="AW125" s="9"/>
      <c r="AX125" s="9"/>
      <c r="AY125" s="9"/>
      <c r="AZ125" s="9"/>
      <c r="BA125" s="10" t="s">
        <v>2498</v>
      </c>
      <c r="BB125" s="29" t="s">
        <v>2690</v>
      </c>
      <c r="BC125" s="29" t="s">
        <v>1611</v>
      </c>
      <c r="BD125" s="29" t="s">
        <v>1611</v>
      </c>
      <c r="BE125" s="29" t="s">
        <v>2502</v>
      </c>
      <c r="BF125" s="29" t="s">
        <v>2503</v>
      </c>
      <c r="BG125" s="29" t="s">
        <v>2599</v>
      </c>
      <c r="BH125" s="29" t="s">
        <v>2600</v>
      </c>
      <c r="BI125" s="29" t="s">
        <v>590</v>
      </c>
      <c r="BJ125" s="29" t="s">
        <v>2592</v>
      </c>
      <c r="BK125" s="29" t="s">
        <v>191</v>
      </c>
      <c r="BL125" s="29" t="s">
        <v>2685</v>
      </c>
      <c r="BM125" s="29" t="s">
        <v>1611</v>
      </c>
      <c r="BN125" s="29" t="s">
        <v>1611</v>
      </c>
      <c r="BO125" s="29" t="s">
        <v>1611</v>
      </c>
      <c r="BP125" s="29" t="s">
        <v>1611</v>
      </c>
      <c r="BQ125" s="29" t="s">
        <v>1611</v>
      </c>
      <c r="BR125" s="29" t="s">
        <v>1611</v>
      </c>
      <c r="BS125" s="29" t="s">
        <v>1611</v>
      </c>
      <c r="BT125" s="29" t="s">
        <v>1611</v>
      </c>
      <c r="BU125" s="29" t="s">
        <v>2381</v>
      </c>
      <c r="BV125" s="29" t="s">
        <v>2425</v>
      </c>
      <c r="BW125" s="29" t="s">
        <v>1611</v>
      </c>
      <c r="BX125" s="29" t="s">
        <v>1611</v>
      </c>
      <c r="BY125" s="29" t="s">
        <v>1611</v>
      </c>
      <c r="BZ125" s="29" t="s">
        <v>1611</v>
      </c>
      <c r="CA125" s="29" t="s">
        <v>1611</v>
      </c>
      <c r="CB125" s="29" t="s">
        <v>1611</v>
      </c>
      <c r="CC125" s="29" t="s">
        <v>1611</v>
      </c>
      <c r="CD125" s="29" t="s">
        <v>1611</v>
      </c>
      <c r="CE125" s="29" t="s">
        <v>1611</v>
      </c>
      <c r="CF125" s="29" t="s">
        <v>1611</v>
      </c>
      <c r="CG125" s="29" t="s">
        <v>3194</v>
      </c>
      <c r="CH125" s="29" t="s">
        <v>3140</v>
      </c>
      <c r="CI125" s="29" t="s">
        <v>1611</v>
      </c>
      <c r="CJ125" s="29" t="s">
        <v>1611</v>
      </c>
      <c r="CK125" s="29" t="s">
        <v>3195</v>
      </c>
      <c r="CL125" s="29" t="s">
        <v>3197</v>
      </c>
      <c r="CM125" s="29" t="s">
        <v>3196</v>
      </c>
      <c r="CN125" s="29" t="s">
        <v>3198</v>
      </c>
      <c r="CO125" s="29" t="s">
        <v>1611</v>
      </c>
      <c r="CP125" s="29" t="s">
        <v>1611</v>
      </c>
      <c r="CQ125" s="29" t="s">
        <v>1611</v>
      </c>
      <c r="CR125" s="29" t="s">
        <v>1611</v>
      </c>
      <c r="CS125" s="29" t="s">
        <v>1611</v>
      </c>
      <c r="CT125" s="29" t="s">
        <v>1611</v>
      </c>
      <c r="CU125" s="29" t="s">
        <v>1611</v>
      </c>
      <c r="CV125" s="29" t="s">
        <v>1611</v>
      </c>
      <c r="CW125" s="29"/>
      <c r="CX125" s="29"/>
      <c r="CY125" s="151"/>
      <c r="CZ125" t="s">
        <v>3289</v>
      </c>
      <c r="DA125" t="s">
        <v>3634</v>
      </c>
      <c r="DD125" s="96" t="str">
        <f t="shared" si="1"/>
        <v/>
      </c>
      <c r="DF125" s="96" t="s">
        <v>3753</v>
      </c>
    </row>
    <row r="126" spans="1:110" ht="16.5" customHeight="1" x14ac:dyDescent="0.3">
      <c r="C126" s="105">
        <v>1684860</v>
      </c>
      <c r="D126" s="27">
        <v>120</v>
      </c>
      <c r="E126" s="28" t="s">
        <v>656</v>
      </c>
      <c r="F126" s="28">
        <v>1000996736</v>
      </c>
      <c r="G126" s="29" t="s">
        <v>1037</v>
      </c>
      <c r="H126" s="28">
        <v>1684860</v>
      </c>
      <c r="I126" s="29" t="s">
        <v>1038</v>
      </c>
      <c r="J126" s="28" t="s">
        <v>854</v>
      </c>
      <c r="K126" s="7"/>
      <c r="L126" s="104" t="s">
        <v>728</v>
      </c>
      <c r="M126" s="29"/>
      <c r="N126" s="29"/>
      <c r="O126" s="127"/>
      <c r="P126" s="28"/>
      <c r="Q126" s="28"/>
      <c r="R126" s="28"/>
      <c r="S126" s="28"/>
      <c r="T126" s="28"/>
      <c r="U126" s="28"/>
      <c r="V126" s="28"/>
      <c r="W126" s="28"/>
      <c r="X126" s="28"/>
      <c r="Y126" s="28"/>
      <c r="Z126" s="28"/>
      <c r="AA126" s="28"/>
      <c r="AB126" s="104"/>
      <c r="AC126" s="28"/>
      <c r="AD126" s="9" t="s">
        <v>1269</v>
      </c>
      <c r="AE126" s="39">
        <v>45873</v>
      </c>
      <c r="AF126" s="9" t="s">
        <v>1337</v>
      </c>
      <c r="AG126" s="34" t="s">
        <v>1338</v>
      </c>
      <c r="AH126" s="9"/>
      <c r="AI126" s="9"/>
      <c r="AJ126" s="9"/>
      <c r="AK126" s="45"/>
      <c r="AL126" s="45" t="s">
        <v>1611</v>
      </c>
      <c r="AM126" s="45"/>
      <c r="AN126" s="45"/>
      <c r="AO126" s="45"/>
      <c r="AP126" s="45"/>
      <c r="AQ126" s="45"/>
      <c r="AR126" s="45"/>
      <c r="AS126" s="45"/>
      <c r="AT126" s="45"/>
      <c r="AU126" s="45"/>
      <c r="AV126" s="45"/>
      <c r="AW126" s="9"/>
      <c r="AX126" s="9"/>
      <c r="AY126" s="9"/>
      <c r="AZ126" s="9"/>
      <c r="BA126" s="10" t="s">
        <v>268</v>
      </c>
      <c r="BB126" s="29" t="s">
        <v>2608</v>
      </c>
      <c r="BC126" s="29" t="s">
        <v>1611</v>
      </c>
      <c r="BD126" s="29" t="s">
        <v>1611</v>
      </c>
      <c r="BE126" s="29" t="s">
        <v>1611</v>
      </c>
      <c r="BF126" s="29" t="s">
        <v>1611</v>
      </c>
      <c r="BG126" s="29" t="s">
        <v>1611</v>
      </c>
      <c r="BH126" s="29" t="s">
        <v>1611</v>
      </c>
      <c r="BI126" s="29" t="s">
        <v>276</v>
      </c>
      <c r="BJ126" s="29" t="s">
        <v>2771</v>
      </c>
      <c r="BK126" s="29" t="s">
        <v>230</v>
      </c>
      <c r="BL126" s="29" t="s">
        <v>2681</v>
      </c>
      <c r="BM126" s="29" t="s">
        <v>1611</v>
      </c>
      <c r="BN126" s="29" t="s">
        <v>1611</v>
      </c>
      <c r="BO126" s="29" t="s">
        <v>1611</v>
      </c>
      <c r="BP126" s="29" t="s">
        <v>1611</v>
      </c>
      <c r="BQ126" s="29" t="s">
        <v>1611</v>
      </c>
      <c r="BR126" s="29" t="s">
        <v>1611</v>
      </c>
      <c r="BS126" s="29" t="s">
        <v>1611</v>
      </c>
      <c r="BT126" s="29" t="s">
        <v>1611</v>
      </c>
      <c r="BU126" s="29" t="s">
        <v>2713</v>
      </c>
      <c r="BV126" s="29" t="s">
        <v>2714</v>
      </c>
      <c r="BW126" s="29" t="s">
        <v>1611</v>
      </c>
      <c r="BX126" s="29" t="s">
        <v>1611</v>
      </c>
      <c r="BY126" s="29" t="s">
        <v>1611</v>
      </c>
      <c r="BZ126" s="29" t="s">
        <v>1611</v>
      </c>
      <c r="CA126" s="29" t="s">
        <v>1611</v>
      </c>
      <c r="CB126" s="29" t="s">
        <v>1611</v>
      </c>
      <c r="CC126" s="29" t="s">
        <v>1611</v>
      </c>
      <c r="CD126" s="29" t="s">
        <v>1611</v>
      </c>
      <c r="CE126" s="29" t="s">
        <v>1611</v>
      </c>
      <c r="CF126" s="29" t="s">
        <v>1611</v>
      </c>
      <c r="CG126" s="29" t="s">
        <v>2885</v>
      </c>
      <c r="CH126" s="29" t="s">
        <v>2886</v>
      </c>
      <c r="CI126" s="29" t="s">
        <v>1611</v>
      </c>
      <c r="CJ126" s="29" t="s">
        <v>1611</v>
      </c>
      <c r="CK126" s="29" t="s">
        <v>1611</v>
      </c>
      <c r="CL126" s="29" t="s">
        <v>1611</v>
      </c>
      <c r="CM126" s="29" t="s">
        <v>1611</v>
      </c>
      <c r="CN126" s="29" t="s">
        <v>1611</v>
      </c>
      <c r="CO126" s="29" t="s">
        <v>1611</v>
      </c>
      <c r="CP126" s="29" t="s">
        <v>1611</v>
      </c>
      <c r="CQ126" s="29" t="s">
        <v>1611</v>
      </c>
      <c r="CR126" s="29" t="s">
        <v>1611</v>
      </c>
      <c r="CS126" s="29" t="s">
        <v>1611</v>
      </c>
      <c r="CT126" s="29" t="s">
        <v>1611</v>
      </c>
      <c r="CU126" s="29" t="s">
        <v>1611</v>
      </c>
      <c r="CV126" s="29" t="s">
        <v>1611</v>
      </c>
      <c r="CW126" s="29"/>
      <c r="CX126" s="29"/>
      <c r="CY126" s="151"/>
      <c r="CZ126" t="e">
        <v>#N/A</v>
      </c>
      <c r="DA126" t="e">
        <v>#N/A</v>
      </c>
      <c r="DD126" s="96" t="str">
        <f t="shared" si="1"/>
        <v>V</v>
      </c>
    </row>
    <row r="127" spans="1:110" ht="16.5" customHeight="1" x14ac:dyDescent="0.3">
      <c r="C127" s="105">
        <v>1659903</v>
      </c>
      <c r="D127" s="27">
        <v>121</v>
      </c>
      <c r="E127" s="28" t="s">
        <v>822</v>
      </c>
      <c r="F127" s="28">
        <v>1000802867</v>
      </c>
      <c r="G127" s="29" t="s">
        <v>1039</v>
      </c>
      <c r="H127" s="28">
        <v>1659903</v>
      </c>
      <c r="I127" s="29" t="s">
        <v>1040</v>
      </c>
      <c r="J127" s="28" t="s">
        <v>429</v>
      </c>
      <c r="K127" s="7"/>
      <c r="L127" s="104" t="s">
        <v>665</v>
      </c>
      <c r="M127" s="29"/>
      <c r="N127" s="29"/>
      <c r="O127" s="127"/>
      <c r="P127" s="28"/>
      <c r="Q127" s="28"/>
      <c r="R127" s="28"/>
      <c r="S127" s="28"/>
      <c r="T127" s="28"/>
      <c r="U127" s="28"/>
      <c r="V127" s="28"/>
      <c r="W127" s="28"/>
      <c r="X127" s="28"/>
      <c r="Y127" s="28"/>
      <c r="Z127" s="28"/>
      <c r="AA127" s="28"/>
      <c r="AB127" s="104"/>
      <c r="AC127" s="28"/>
      <c r="AD127" s="9" t="s">
        <v>1269</v>
      </c>
      <c r="AE127" s="39">
        <v>45862</v>
      </c>
      <c r="AF127" s="9" t="s">
        <v>1276</v>
      </c>
      <c r="AG127" s="34" t="s">
        <v>1294</v>
      </c>
      <c r="AH127" s="9"/>
      <c r="AI127" s="9"/>
      <c r="AJ127" s="9"/>
      <c r="AK127" s="45"/>
      <c r="AL127" s="45" t="s">
        <v>1611</v>
      </c>
      <c r="AM127" s="45"/>
      <c r="AN127" s="45"/>
      <c r="AO127" s="45"/>
      <c r="AP127" s="45"/>
      <c r="AQ127" s="45"/>
      <c r="AR127" s="45"/>
      <c r="AS127" s="45"/>
      <c r="AT127" s="45"/>
      <c r="AU127" s="45"/>
      <c r="AV127" s="45"/>
      <c r="AW127" s="9"/>
      <c r="AX127" s="9"/>
      <c r="AY127" s="9"/>
      <c r="AZ127" s="9"/>
      <c r="BA127" s="10" t="s">
        <v>2496</v>
      </c>
      <c r="BB127" s="29" t="s">
        <v>2550</v>
      </c>
      <c r="BC127" s="29" t="s">
        <v>1611</v>
      </c>
      <c r="BD127" s="29" t="s">
        <v>1611</v>
      </c>
      <c r="BE127" s="29" t="s">
        <v>2502</v>
      </c>
      <c r="BF127" s="29" t="s">
        <v>2503</v>
      </c>
      <c r="BG127" s="29" t="s">
        <v>2599</v>
      </c>
      <c r="BH127" s="29" t="s">
        <v>2600</v>
      </c>
      <c r="BI127" s="29" t="s">
        <v>139</v>
      </c>
      <c r="BJ127" s="29" t="s">
        <v>2659</v>
      </c>
      <c r="BK127" s="29" t="s">
        <v>2754</v>
      </c>
      <c r="BL127" s="29" t="s">
        <v>2755</v>
      </c>
      <c r="BM127" s="29" t="s">
        <v>1611</v>
      </c>
      <c r="BN127" s="29" t="s">
        <v>1611</v>
      </c>
      <c r="BO127" s="29" t="s">
        <v>1611</v>
      </c>
      <c r="BP127" s="29" t="s">
        <v>1611</v>
      </c>
      <c r="BQ127" s="29" t="s">
        <v>1611</v>
      </c>
      <c r="BR127" s="29" t="s">
        <v>1611</v>
      </c>
      <c r="BS127" s="29" t="s">
        <v>1611</v>
      </c>
      <c r="BT127" s="29" t="s">
        <v>1611</v>
      </c>
      <c r="BU127" s="29" t="s">
        <v>141</v>
      </c>
      <c r="BV127" s="29" t="s">
        <v>2675</v>
      </c>
      <c r="BW127" s="29" t="s">
        <v>1611</v>
      </c>
      <c r="BX127" s="29" t="s">
        <v>1611</v>
      </c>
      <c r="BY127" s="29" t="s">
        <v>1611</v>
      </c>
      <c r="BZ127" s="29" t="s">
        <v>1611</v>
      </c>
      <c r="CA127" s="29" t="s">
        <v>1611</v>
      </c>
      <c r="CB127" s="29" t="s">
        <v>1611</v>
      </c>
      <c r="CC127" s="29" t="s">
        <v>1611</v>
      </c>
      <c r="CD127" s="29" t="s">
        <v>1611</v>
      </c>
      <c r="CE127" s="29" t="s">
        <v>1611</v>
      </c>
      <c r="CF127" s="29" t="s">
        <v>1611</v>
      </c>
      <c r="CG127" s="29" t="s">
        <v>142</v>
      </c>
      <c r="CH127" s="29" t="s">
        <v>1810</v>
      </c>
      <c r="CI127" s="29" t="s">
        <v>1611</v>
      </c>
      <c r="CJ127" s="29" t="s">
        <v>1611</v>
      </c>
      <c r="CK127" s="29" t="s">
        <v>1611</v>
      </c>
      <c r="CL127" s="29" t="s">
        <v>1611</v>
      </c>
      <c r="CM127" s="29" t="s">
        <v>1611</v>
      </c>
      <c r="CN127" s="29" t="s">
        <v>1611</v>
      </c>
      <c r="CO127" s="29" t="s">
        <v>1611</v>
      </c>
      <c r="CP127" s="29" t="s">
        <v>1611</v>
      </c>
      <c r="CQ127" s="29" t="s">
        <v>1611</v>
      </c>
      <c r="CR127" s="29" t="s">
        <v>1611</v>
      </c>
      <c r="CS127" s="29" t="s">
        <v>1611</v>
      </c>
      <c r="CT127" s="29" t="s">
        <v>1611</v>
      </c>
      <c r="CU127" s="29" t="s">
        <v>1611</v>
      </c>
      <c r="CV127" s="29" t="s">
        <v>1611</v>
      </c>
      <c r="CW127" s="29"/>
      <c r="CX127" s="29"/>
      <c r="CY127" s="151"/>
      <c r="CZ127" t="e">
        <v>#N/A</v>
      </c>
      <c r="DA127" t="e">
        <v>#N/A</v>
      </c>
      <c r="DD127" s="96" t="str">
        <f t="shared" si="1"/>
        <v>V</v>
      </c>
    </row>
    <row r="128" spans="1:110" ht="16.5" customHeight="1" x14ac:dyDescent="0.3">
      <c r="C128" s="105">
        <v>1671190</v>
      </c>
      <c r="D128" s="27">
        <v>122</v>
      </c>
      <c r="E128" s="28" t="s">
        <v>818</v>
      </c>
      <c r="F128" s="28">
        <v>1000718990</v>
      </c>
      <c r="G128" s="29" t="s">
        <v>1041</v>
      </c>
      <c r="H128" s="28">
        <v>1671190</v>
      </c>
      <c r="I128" s="29" t="s">
        <v>1042</v>
      </c>
      <c r="J128" s="28" t="s">
        <v>659</v>
      </c>
      <c r="K128" s="7"/>
      <c r="L128" s="104" t="s">
        <v>674</v>
      </c>
      <c r="M128" s="29"/>
      <c r="N128" s="29"/>
      <c r="O128" s="127"/>
      <c r="P128" s="28"/>
      <c r="Q128" s="28"/>
      <c r="R128" s="28"/>
      <c r="S128" s="28"/>
      <c r="T128" s="28"/>
      <c r="U128" s="28"/>
      <c r="V128" s="28"/>
      <c r="W128" s="28"/>
      <c r="X128" s="28"/>
      <c r="Y128" s="28"/>
      <c r="Z128" s="28"/>
      <c r="AA128" s="28"/>
      <c r="AB128" s="104"/>
      <c r="AC128" s="104"/>
      <c r="AD128" s="9" t="s">
        <v>1269</v>
      </c>
      <c r="AE128" s="39">
        <v>46059</v>
      </c>
      <c r="AF128" s="9" t="s">
        <v>1276</v>
      </c>
      <c r="AG128" s="34" t="s">
        <v>3759</v>
      </c>
      <c r="AH128" s="9"/>
      <c r="AI128" s="9"/>
      <c r="AJ128" s="9"/>
      <c r="AK128" s="45"/>
      <c r="AL128" s="45"/>
      <c r="AM128" s="45"/>
      <c r="AN128" s="45"/>
      <c r="AO128" s="45"/>
      <c r="AP128" s="45"/>
      <c r="AQ128" s="45"/>
      <c r="AR128" s="45"/>
      <c r="AS128" s="45"/>
      <c r="AT128" s="45"/>
      <c r="AU128" s="45"/>
      <c r="AV128" s="45"/>
      <c r="AW128" s="9"/>
      <c r="AX128" s="9"/>
      <c r="AY128" s="9"/>
      <c r="AZ128" s="9"/>
      <c r="BA128" s="10" t="s">
        <v>70</v>
      </c>
      <c r="BB128" s="29" t="s">
        <v>2616</v>
      </c>
      <c r="BC128" s="29" t="s">
        <v>1611</v>
      </c>
      <c r="BD128" s="29" t="s">
        <v>1611</v>
      </c>
      <c r="BE128" s="29" t="s">
        <v>1611</v>
      </c>
      <c r="BF128" s="29" t="s">
        <v>1611</v>
      </c>
      <c r="BG128" s="29" t="s">
        <v>2599</v>
      </c>
      <c r="BH128" s="29" t="s">
        <v>2600</v>
      </c>
      <c r="BI128" s="29" t="s">
        <v>2883</v>
      </c>
      <c r="BJ128" s="29" t="s">
        <v>2884</v>
      </c>
      <c r="BK128" s="29" t="s">
        <v>80</v>
      </c>
      <c r="BL128" s="29" t="s">
        <v>2688</v>
      </c>
      <c r="BM128" s="29" t="s">
        <v>1611</v>
      </c>
      <c r="BN128" s="29" t="s">
        <v>1611</v>
      </c>
      <c r="BO128" s="29" t="s">
        <v>1611</v>
      </c>
      <c r="BP128" s="29" t="s">
        <v>1611</v>
      </c>
      <c r="BQ128" s="29" t="s">
        <v>1611</v>
      </c>
      <c r="BR128" s="29" t="s">
        <v>1611</v>
      </c>
      <c r="BS128" s="29" t="s">
        <v>1611</v>
      </c>
      <c r="BT128" s="29" t="s">
        <v>1611</v>
      </c>
      <c r="BU128" s="29" t="s">
        <v>2368</v>
      </c>
      <c r="BV128" s="29" t="s">
        <v>2411</v>
      </c>
      <c r="BW128" s="29" t="s">
        <v>1611</v>
      </c>
      <c r="BX128" s="29" t="s">
        <v>1611</v>
      </c>
      <c r="BY128" s="29" t="s">
        <v>1611</v>
      </c>
      <c r="BZ128" s="29" t="s">
        <v>1611</v>
      </c>
      <c r="CA128" s="29" t="s">
        <v>1611</v>
      </c>
      <c r="CB128" s="29" t="s">
        <v>1611</v>
      </c>
      <c r="CC128" s="29" t="s">
        <v>1611</v>
      </c>
      <c r="CD128" s="29" t="s">
        <v>1611</v>
      </c>
      <c r="CE128" s="29" t="s">
        <v>1611</v>
      </c>
      <c r="CF128" s="29" t="s">
        <v>1611</v>
      </c>
      <c r="CG128" s="29" t="s">
        <v>1741</v>
      </c>
      <c r="CH128" s="29" t="s">
        <v>1854</v>
      </c>
      <c r="CI128" s="29" t="s">
        <v>1611</v>
      </c>
      <c r="CJ128" s="29" t="s">
        <v>1611</v>
      </c>
      <c r="CK128" s="29" t="s">
        <v>1611</v>
      </c>
      <c r="CL128" s="29" t="s">
        <v>1611</v>
      </c>
      <c r="CM128" s="29" t="s">
        <v>1611</v>
      </c>
      <c r="CN128" s="29" t="s">
        <v>1611</v>
      </c>
      <c r="CO128" s="29" t="s">
        <v>1611</v>
      </c>
      <c r="CP128" s="29" t="s">
        <v>1611</v>
      </c>
      <c r="CQ128" s="29" t="s">
        <v>1611</v>
      </c>
      <c r="CR128" s="29" t="s">
        <v>1611</v>
      </c>
      <c r="CS128" s="29" t="s">
        <v>1611</v>
      </c>
      <c r="CT128" s="29" t="s">
        <v>1611</v>
      </c>
      <c r="CU128" s="29" t="s">
        <v>1611</v>
      </c>
      <c r="CV128" s="29" t="s">
        <v>1611</v>
      </c>
      <c r="CW128" s="29"/>
      <c r="CX128" s="29"/>
      <c r="CY128" s="151"/>
      <c r="CZ128" t="e">
        <v>#N/A</v>
      </c>
      <c r="DA128" t="e">
        <v>#N/A</v>
      </c>
      <c r="DC128" s="96" t="s">
        <v>3700</v>
      </c>
      <c r="DD128" s="96" t="str">
        <f t="shared" si="1"/>
        <v>V</v>
      </c>
    </row>
    <row r="129" spans="1:110" ht="16.5" customHeight="1" x14ac:dyDescent="0.3">
      <c r="C129" s="105">
        <v>1662849</v>
      </c>
      <c r="D129" s="27">
        <v>123</v>
      </c>
      <c r="E129" s="28" t="s">
        <v>784</v>
      </c>
      <c r="F129" s="28">
        <v>1001390784</v>
      </c>
      <c r="G129" s="29" t="s">
        <v>1043</v>
      </c>
      <c r="H129" s="28">
        <v>1662849</v>
      </c>
      <c r="I129" s="29" t="s">
        <v>1044</v>
      </c>
      <c r="J129" s="28" t="s">
        <v>854</v>
      </c>
      <c r="K129" s="7"/>
      <c r="L129" s="104" t="s">
        <v>729</v>
      </c>
      <c r="M129" s="29" t="s">
        <v>2271</v>
      </c>
      <c r="N129" s="29" t="s">
        <v>2272</v>
      </c>
      <c r="O129" s="127">
        <v>662576</v>
      </c>
      <c r="P129" s="113" t="s">
        <v>1317</v>
      </c>
      <c r="Q129" s="28" t="s">
        <v>612</v>
      </c>
      <c r="R129" s="28" t="s">
        <v>1301</v>
      </c>
      <c r="S129" s="28" t="s">
        <v>1301</v>
      </c>
      <c r="T129" s="28" t="s">
        <v>1329</v>
      </c>
      <c r="U129" s="28" t="s">
        <v>612</v>
      </c>
      <c r="V129" s="28" t="s">
        <v>1301</v>
      </c>
      <c r="W129" s="28" t="s">
        <v>1301</v>
      </c>
      <c r="X129" s="28" t="s">
        <v>1301</v>
      </c>
      <c r="Y129" s="28" t="s">
        <v>1301</v>
      </c>
      <c r="Z129" s="28" t="s">
        <v>1301</v>
      </c>
      <c r="AA129" s="28" t="s">
        <v>1301</v>
      </c>
      <c r="AB129" s="104" t="s">
        <v>1949</v>
      </c>
      <c r="AC129" s="104" t="s">
        <v>1950</v>
      </c>
      <c r="AD129" s="9" t="s">
        <v>1269</v>
      </c>
      <c r="AE129" s="9"/>
      <c r="AF129" s="9"/>
      <c r="AG129" s="34"/>
      <c r="AH129" s="9"/>
      <c r="AI129" s="45" t="s">
        <v>461</v>
      </c>
      <c r="AJ129" s="9"/>
      <c r="AK129" s="45"/>
      <c r="AL129" s="45" t="s">
        <v>461</v>
      </c>
      <c r="AM129" s="45" t="s">
        <v>461</v>
      </c>
      <c r="AN129" s="45" t="s">
        <v>461</v>
      </c>
      <c r="AO129" s="45" t="s">
        <v>461</v>
      </c>
      <c r="AP129" s="45" t="s">
        <v>461</v>
      </c>
      <c r="AQ129" s="45" t="s">
        <v>461</v>
      </c>
      <c r="AR129" s="45" t="s">
        <v>461</v>
      </c>
      <c r="AS129" s="45" t="s">
        <v>461</v>
      </c>
      <c r="AT129" s="45"/>
      <c r="AU129" s="45"/>
      <c r="AV129" s="45"/>
      <c r="AW129" s="9"/>
      <c r="AX129" s="9"/>
      <c r="AY129" s="9"/>
      <c r="AZ129" s="9"/>
      <c r="BA129" s="10" t="s">
        <v>158</v>
      </c>
      <c r="BB129" s="29" t="s">
        <v>2538</v>
      </c>
      <c r="BC129" s="29" t="s">
        <v>1611</v>
      </c>
      <c r="BD129" s="29" t="s">
        <v>1611</v>
      </c>
      <c r="BE129" s="29" t="s">
        <v>2502</v>
      </c>
      <c r="BF129" s="29" t="s">
        <v>2503</v>
      </c>
      <c r="BG129" s="29" t="s">
        <v>40</v>
      </c>
      <c r="BH129" s="29" t="s">
        <v>2572</v>
      </c>
      <c r="BI129" s="29" t="s">
        <v>208</v>
      </c>
      <c r="BJ129" s="29" t="s">
        <v>2609</v>
      </c>
      <c r="BK129" s="29" t="s">
        <v>217</v>
      </c>
      <c r="BL129" s="29" t="s">
        <v>2606</v>
      </c>
      <c r="BM129" s="29" t="s">
        <v>1611</v>
      </c>
      <c r="BN129" s="29" t="s">
        <v>1611</v>
      </c>
      <c r="BO129" s="29" t="s">
        <v>1611</v>
      </c>
      <c r="BP129" s="29" t="s">
        <v>1611</v>
      </c>
      <c r="BQ129" s="29" t="s">
        <v>1611</v>
      </c>
      <c r="BR129" s="29" t="s">
        <v>1611</v>
      </c>
      <c r="BS129" s="29" t="s">
        <v>1611</v>
      </c>
      <c r="BT129" s="29" t="s">
        <v>1611</v>
      </c>
      <c r="BU129" s="29" t="s">
        <v>2887</v>
      </c>
      <c r="BV129" s="29" t="s">
        <v>2888</v>
      </c>
      <c r="BW129" s="29" t="s">
        <v>1611</v>
      </c>
      <c r="BX129" s="29" t="s">
        <v>1611</v>
      </c>
      <c r="BY129" s="29" t="s">
        <v>1611</v>
      </c>
      <c r="BZ129" s="29" t="s">
        <v>1611</v>
      </c>
      <c r="CA129" s="29" t="s">
        <v>1611</v>
      </c>
      <c r="CB129" s="29" t="s">
        <v>1611</v>
      </c>
      <c r="CC129" s="29" t="s">
        <v>1611</v>
      </c>
      <c r="CD129" s="29" t="s">
        <v>1611</v>
      </c>
      <c r="CE129" s="29" t="s">
        <v>1611</v>
      </c>
      <c r="CF129" s="29" t="s">
        <v>1611</v>
      </c>
      <c r="CG129" s="29" t="s">
        <v>1766</v>
      </c>
      <c r="CH129" s="29" t="s">
        <v>1884</v>
      </c>
      <c r="CI129" s="29" t="s">
        <v>1611</v>
      </c>
      <c r="CJ129" s="29" t="s">
        <v>1611</v>
      </c>
      <c r="CK129" s="29"/>
      <c r="CL129" s="29"/>
      <c r="CM129" s="29" t="s">
        <v>2889</v>
      </c>
      <c r="CN129" s="29" t="s">
        <v>2890</v>
      </c>
      <c r="CO129" s="29" t="s">
        <v>1611</v>
      </c>
      <c r="CP129" s="29" t="s">
        <v>1611</v>
      </c>
      <c r="CQ129" s="29" t="s">
        <v>1611</v>
      </c>
      <c r="CR129" s="29" t="s">
        <v>1611</v>
      </c>
      <c r="CS129" s="29" t="s">
        <v>1611</v>
      </c>
      <c r="CT129" s="29" t="s">
        <v>1611</v>
      </c>
      <c r="CU129" s="29" t="s">
        <v>1611</v>
      </c>
      <c r="CV129" s="29" t="s">
        <v>1611</v>
      </c>
      <c r="CW129" s="29"/>
      <c r="CX129" s="29"/>
      <c r="CY129" s="151"/>
      <c r="CZ129" t="s">
        <v>3290</v>
      </c>
      <c r="DA129" t="s">
        <v>3634</v>
      </c>
      <c r="DD129" s="96" t="str">
        <f t="shared" si="1"/>
        <v/>
      </c>
      <c r="DF129" s="96" t="s">
        <v>3753</v>
      </c>
    </row>
    <row r="130" spans="1:110" ht="16.5" customHeight="1" x14ac:dyDescent="0.3">
      <c r="C130" s="105">
        <v>1664661</v>
      </c>
      <c r="D130" s="27">
        <v>124</v>
      </c>
      <c r="E130" s="28" t="s">
        <v>808</v>
      </c>
      <c r="F130" s="28">
        <v>1000714042</v>
      </c>
      <c r="G130" s="29" t="s">
        <v>1046</v>
      </c>
      <c r="H130" s="28">
        <v>1664661</v>
      </c>
      <c r="I130" s="29" t="s">
        <v>1047</v>
      </c>
      <c r="J130" s="28" t="s">
        <v>429</v>
      </c>
      <c r="K130" s="7"/>
      <c r="L130" s="104" t="s">
        <v>679</v>
      </c>
      <c r="M130" s="29"/>
      <c r="N130" s="29"/>
      <c r="O130" s="127"/>
      <c r="P130" s="28"/>
      <c r="Q130" s="28"/>
      <c r="R130" s="28"/>
      <c r="S130" s="28"/>
      <c r="T130" s="28"/>
      <c r="U130" s="28"/>
      <c r="V130" s="28"/>
      <c r="W130" s="28"/>
      <c r="X130" s="28"/>
      <c r="Y130" s="28"/>
      <c r="Z130" s="28"/>
      <c r="AA130" s="28"/>
      <c r="AB130" s="104"/>
      <c r="AC130" s="28"/>
      <c r="AD130" s="9" t="s">
        <v>1269</v>
      </c>
      <c r="AE130" s="39">
        <v>45866</v>
      </c>
      <c r="AF130" s="9" t="s">
        <v>1276</v>
      </c>
      <c r="AG130" s="34" t="s">
        <v>1279</v>
      </c>
      <c r="AH130" s="9"/>
      <c r="AI130" s="9"/>
      <c r="AJ130" s="9"/>
      <c r="AK130" s="45"/>
      <c r="AL130" s="45" t="s">
        <v>1611</v>
      </c>
      <c r="AM130" s="45"/>
      <c r="AN130" s="45"/>
      <c r="AO130" s="45"/>
      <c r="AP130" s="45"/>
      <c r="AQ130" s="45"/>
      <c r="AR130" s="45"/>
      <c r="AS130" s="45"/>
      <c r="AT130" s="45"/>
      <c r="AU130" s="45"/>
      <c r="AV130" s="45"/>
      <c r="AW130" s="9"/>
      <c r="AX130" s="9"/>
      <c r="AY130" s="9"/>
      <c r="AZ130" s="9"/>
      <c r="BA130" s="10" t="s">
        <v>100</v>
      </c>
      <c r="BB130" s="29" t="s">
        <v>2513</v>
      </c>
      <c r="BC130" s="29" t="s">
        <v>1611</v>
      </c>
      <c r="BD130" s="29" t="s">
        <v>1611</v>
      </c>
      <c r="BE130" s="29" t="s">
        <v>2514</v>
      </c>
      <c r="BF130" s="29" t="s">
        <v>2515</v>
      </c>
      <c r="BG130" s="29" t="s">
        <v>2569</v>
      </c>
      <c r="BH130" s="29" t="s">
        <v>2570</v>
      </c>
      <c r="BI130" s="29" t="s">
        <v>191</v>
      </c>
      <c r="BJ130" s="29" t="s">
        <v>2685</v>
      </c>
      <c r="BK130" s="29" t="s">
        <v>93</v>
      </c>
      <c r="BL130" s="29" t="s">
        <v>2629</v>
      </c>
      <c r="BM130" s="29" t="s">
        <v>1611</v>
      </c>
      <c r="BN130" s="29" t="s">
        <v>1611</v>
      </c>
      <c r="BO130" s="29" t="s">
        <v>1611</v>
      </c>
      <c r="BP130" s="29" t="s">
        <v>1611</v>
      </c>
      <c r="BQ130" s="29" t="s">
        <v>1611</v>
      </c>
      <c r="BR130" s="29" t="s">
        <v>1611</v>
      </c>
      <c r="BS130" s="29" t="s">
        <v>1611</v>
      </c>
      <c r="BT130" s="29" t="s">
        <v>1611</v>
      </c>
      <c r="BU130" s="29" t="s">
        <v>2830</v>
      </c>
      <c r="BV130" s="29" t="s">
        <v>2831</v>
      </c>
      <c r="BW130" s="29" t="s">
        <v>1611</v>
      </c>
      <c r="BX130" s="29" t="s">
        <v>1611</v>
      </c>
      <c r="BY130" s="29" t="s">
        <v>1611</v>
      </c>
      <c r="BZ130" s="29" t="s">
        <v>1611</v>
      </c>
      <c r="CA130" s="29" t="s">
        <v>1611</v>
      </c>
      <c r="CB130" s="29" t="s">
        <v>1611</v>
      </c>
      <c r="CC130" s="29" t="s">
        <v>1611</v>
      </c>
      <c r="CD130" s="29" t="s">
        <v>1611</v>
      </c>
      <c r="CE130" s="29" t="s">
        <v>1611</v>
      </c>
      <c r="CF130" s="29" t="s">
        <v>1611</v>
      </c>
      <c r="CG130" s="29" t="s">
        <v>2842</v>
      </c>
      <c r="CH130" s="29" t="s">
        <v>2843</v>
      </c>
      <c r="CI130" s="29" t="s">
        <v>1611</v>
      </c>
      <c r="CJ130" s="29" t="s">
        <v>1611</v>
      </c>
      <c r="CK130" s="29" t="s">
        <v>1611</v>
      </c>
      <c r="CL130" s="29" t="s">
        <v>1611</v>
      </c>
      <c r="CM130" s="29" t="s">
        <v>1611</v>
      </c>
      <c r="CN130" s="29" t="s">
        <v>1611</v>
      </c>
      <c r="CO130" s="29" t="s">
        <v>1611</v>
      </c>
      <c r="CP130" s="29" t="s">
        <v>1611</v>
      </c>
      <c r="CQ130" s="29" t="s">
        <v>1611</v>
      </c>
      <c r="CR130" s="29" t="s">
        <v>1611</v>
      </c>
      <c r="CS130" s="29" t="s">
        <v>1611</v>
      </c>
      <c r="CT130" s="29" t="s">
        <v>1611</v>
      </c>
      <c r="CU130" s="29" t="s">
        <v>1611</v>
      </c>
      <c r="CV130" s="29" t="s">
        <v>1611</v>
      </c>
      <c r="CW130" s="29"/>
      <c r="CX130" s="29"/>
      <c r="CY130" s="151"/>
      <c r="CZ130" t="e">
        <v>#N/A</v>
      </c>
      <c r="DA130" t="e">
        <v>#N/A</v>
      </c>
      <c r="DD130" s="96" t="str">
        <f t="shared" si="1"/>
        <v>V</v>
      </c>
    </row>
    <row r="131" spans="1:110" ht="16.5" customHeight="1" x14ac:dyDescent="0.3">
      <c r="C131" s="105">
        <v>1664990</v>
      </c>
      <c r="D131" s="27">
        <v>125</v>
      </c>
      <c r="E131" s="28" t="s">
        <v>829</v>
      </c>
      <c r="F131" s="28">
        <v>1000317274</v>
      </c>
      <c r="G131" s="29" t="s">
        <v>2292</v>
      </c>
      <c r="H131" s="28">
        <v>1664990</v>
      </c>
      <c r="I131" s="29" t="s">
        <v>1048</v>
      </c>
      <c r="J131" s="28" t="s">
        <v>854</v>
      </c>
      <c r="K131" s="7"/>
      <c r="L131" s="104" t="s">
        <v>224</v>
      </c>
      <c r="M131" s="29"/>
      <c r="N131" s="29"/>
      <c r="O131" s="127">
        <v>40531</v>
      </c>
      <c r="P131" s="28"/>
      <c r="Q131" s="28"/>
      <c r="R131" s="28"/>
      <c r="S131" s="28"/>
      <c r="T131" s="28"/>
      <c r="U131" s="28"/>
      <c r="V131" s="28"/>
      <c r="W131" s="28"/>
      <c r="X131" s="28"/>
      <c r="Y131" s="28"/>
      <c r="Z131" s="28"/>
      <c r="AA131" s="28"/>
      <c r="AB131" s="104" t="s">
        <v>1949</v>
      </c>
      <c r="AC131" s="104" t="s">
        <v>1950</v>
      </c>
      <c r="AD131" s="9" t="s">
        <v>1269</v>
      </c>
      <c r="AE131" s="39">
        <v>45924</v>
      </c>
      <c r="AF131" s="9" t="s">
        <v>1276</v>
      </c>
      <c r="AG131" s="34" t="s">
        <v>2297</v>
      </c>
      <c r="AH131" s="9"/>
      <c r="AI131" s="9"/>
      <c r="AJ131" s="9"/>
      <c r="AK131" s="45"/>
      <c r="AL131" s="45" t="s">
        <v>3218</v>
      </c>
      <c r="AM131" s="45"/>
      <c r="AN131" s="45"/>
      <c r="AO131" s="45"/>
      <c r="AP131" s="45"/>
      <c r="AQ131" s="45"/>
      <c r="AR131" s="45"/>
      <c r="AS131" s="45"/>
      <c r="AT131" s="45"/>
      <c r="AU131" s="45"/>
      <c r="AV131" s="45"/>
      <c r="AW131" s="9"/>
      <c r="AX131" s="9"/>
      <c r="AY131" s="9"/>
      <c r="AZ131" s="9"/>
      <c r="BA131" s="10" t="s">
        <v>184</v>
      </c>
      <c r="BB131" s="29" t="s">
        <v>2568</v>
      </c>
      <c r="BC131" s="29" t="s">
        <v>1611</v>
      </c>
      <c r="BD131" s="29" t="s">
        <v>1611</v>
      </c>
      <c r="BE131" s="29" t="s">
        <v>2514</v>
      </c>
      <c r="BF131" s="29" t="s">
        <v>2515</v>
      </c>
      <c r="BG131" s="29" t="s">
        <v>2539</v>
      </c>
      <c r="BH131" s="29" t="s">
        <v>2540</v>
      </c>
      <c r="BI131" s="29" t="s">
        <v>294</v>
      </c>
      <c r="BJ131" s="29" t="s">
        <v>2718</v>
      </c>
      <c r="BK131" s="29" t="s">
        <v>237</v>
      </c>
      <c r="BL131" s="29" t="s">
        <v>2620</v>
      </c>
      <c r="BM131" s="29" t="s">
        <v>1611</v>
      </c>
      <c r="BN131" s="29" t="s">
        <v>1611</v>
      </c>
      <c r="BO131" s="29" t="s">
        <v>1611</v>
      </c>
      <c r="BP131" s="29" t="s">
        <v>1611</v>
      </c>
      <c r="BQ131" s="29" t="s">
        <v>1611</v>
      </c>
      <c r="BR131" s="29" t="s">
        <v>1611</v>
      </c>
      <c r="BS131" s="29" t="s">
        <v>1611</v>
      </c>
      <c r="BT131" s="29" t="s">
        <v>1611</v>
      </c>
      <c r="BU131" s="29" t="s">
        <v>2848</v>
      </c>
      <c r="BV131" s="29" t="s">
        <v>2849</v>
      </c>
      <c r="BW131" s="29" t="s">
        <v>1611</v>
      </c>
      <c r="BX131" s="29" t="s">
        <v>1611</v>
      </c>
      <c r="BY131" s="29" t="s">
        <v>1611</v>
      </c>
      <c r="BZ131" s="29" t="s">
        <v>1611</v>
      </c>
      <c r="CA131" s="29" t="s">
        <v>1611</v>
      </c>
      <c r="CB131" s="29" t="s">
        <v>1611</v>
      </c>
      <c r="CC131" s="29" t="s">
        <v>1611</v>
      </c>
      <c r="CD131" s="29" t="s">
        <v>1611</v>
      </c>
      <c r="CE131" s="29" t="s">
        <v>1611</v>
      </c>
      <c r="CF131" s="29" t="s">
        <v>1611</v>
      </c>
      <c r="CG131" s="29" t="s">
        <v>1678</v>
      </c>
      <c r="CH131" s="29" t="s">
        <v>1874</v>
      </c>
      <c r="CI131" s="29" t="s">
        <v>1611</v>
      </c>
      <c r="CJ131" s="29" t="s">
        <v>1611</v>
      </c>
      <c r="CK131" s="29" t="s">
        <v>1611</v>
      </c>
      <c r="CL131" s="29" t="s">
        <v>1611</v>
      </c>
      <c r="CM131" s="29" t="s">
        <v>1611</v>
      </c>
      <c r="CN131" s="29" t="s">
        <v>1611</v>
      </c>
      <c r="CO131" s="29" t="s">
        <v>1611</v>
      </c>
      <c r="CP131" s="29" t="s">
        <v>1611</v>
      </c>
      <c r="CQ131" s="29" t="s">
        <v>1611</v>
      </c>
      <c r="CR131" s="29" t="s">
        <v>1611</v>
      </c>
      <c r="CS131" s="29" t="s">
        <v>1611</v>
      </c>
      <c r="CT131" s="29" t="s">
        <v>1611</v>
      </c>
      <c r="CU131" s="29" t="s">
        <v>1611</v>
      </c>
      <c r="CV131" s="29" t="s">
        <v>1611</v>
      </c>
      <c r="CW131" s="29"/>
      <c r="CX131" s="29"/>
      <c r="CY131" s="151"/>
      <c r="CZ131" t="s">
        <v>3731</v>
      </c>
      <c r="DA131" t="s">
        <v>3724</v>
      </c>
      <c r="DD131" s="96" t="str">
        <f t="shared" si="1"/>
        <v>V</v>
      </c>
    </row>
    <row r="132" spans="1:110" ht="16.5" customHeight="1" x14ac:dyDescent="0.3">
      <c r="C132" s="105">
        <v>1683715</v>
      </c>
      <c r="D132" s="27">
        <v>126</v>
      </c>
      <c r="E132" s="28" t="s">
        <v>843</v>
      </c>
      <c r="F132" s="28">
        <v>1000847579</v>
      </c>
      <c r="G132" s="29" t="s">
        <v>1049</v>
      </c>
      <c r="H132" s="28">
        <v>1683715</v>
      </c>
      <c r="I132" s="29" t="s">
        <v>1050</v>
      </c>
      <c r="J132" s="28" t="s">
        <v>854</v>
      </c>
      <c r="K132" s="7"/>
      <c r="L132" s="104" t="s">
        <v>730</v>
      </c>
      <c r="M132" s="29"/>
      <c r="N132" s="29"/>
      <c r="O132" s="127"/>
      <c r="P132" s="28"/>
      <c r="Q132" s="28"/>
      <c r="R132" s="28"/>
      <c r="S132" s="28"/>
      <c r="T132" s="28"/>
      <c r="U132" s="28"/>
      <c r="V132" s="28"/>
      <c r="W132" s="28"/>
      <c r="X132" s="28"/>
      <c r="Y132" s="28"/>
      <c r="Z132" s="28"/>
      <c r="AA132" s="28"/>
      <c r="AB132" s="104"/>
      <c r="AC132" s="28"/>
      <c r="AD132" s="9" t="s">
        <v>1269</v>
      </c>
      <c r="AE132" s="39">
        <v>45861</v>
      </c>
      <c r="AF132" s="9" t="s">
        <v>1276</v>
      </c>
      <c r="AG132" s="34" t="s">
        <v>1296</v>
      </c>
      <c r="AH132" s="9"/>
      <c r="AI132" s="9"/>
      <c r="AJ132" s="9"/>
      <c r="AK132" s="45"/>
      <c r="AL132" s="45" t="s">
        <v>1611</v>
      </c>
      <c r="AM132" s="45"/>
      <c r="AN132" s="45"/>
      <c r="AO132" s="45"/>
      <c r="AP132" s="45"/>
      <c r="AQ132" s="45"/>
      <c r="AR132" s="45"/>
      <c r="AS132" s="45"/>
      <c r="AT132" s="45"/>
      <c r="AU132" s="45"/>
      <c r="AV132" s="45"/>
      <c r="AW132" s="9"/>
      <c r="AX132" s="9"/>
      <c r="AY132" s="9"/>
      <c r="AZ132" s="9"/>
      <c r="BA132" s="10" t="s">
        <v>184</v>
      </c>
      <c r="BB132" s="29" t="s">
        <v>2568</v>
      </c>
      <c r="BC132" s="29" t="s">
        <v>1611</v>
      </c>
      <c r="BD132" s="29" t="s">
        <v>1611</v>
      </c>
      <c r="BE132" s="29" t="s">
        <v>2502</v>
      </c>
      <c r="BF132" s="29" t="s">
        <v>2503</v>
      </c>
      <c r="BG132" s="29" t="s">
        <v>2660</v>
      </c>
      <c r="BH132" s="29" t="s">
        <v>2661</v>
      </c>
      <c r="BI132" s="29" t="s">
        <v>217</v>
      </c>
      <c r="BJ132" s="29" t="s">
        <v>2606</v>
      </c>
      <c r="BK132" s="29" t="s">
        <v>2641</v>
      </c>
      <c r="BL132" s="29" t="s">
        <v>2701</v>
      </c>
      <c r="BM132" s="29" t="s">
        <v>1611</v>
      </c>
      <c r="BN132" s="29" t="s">
        <v>1611</v>
      </c>
      <c r="BO132" s="29" t="s">
        <v>1611</v>
      </c>
      <c r="BP132" s="29" t="s">
        <v>1611</v>
      </c>
      <c r="BQ132" s="29" t="s">
        <v>1611</v>
      </c>
      <c r="BR132" s="29" t="s">
        <v>1611</v>
      </c>
      <c r="BS132" s="29" t="s">
        <v>1611</v>
      </c>
      <c r="BT132" s="29" t="s">
        <v>1611</v>
      </c>
      <c r="BU132" s="29" t="s">
        <v>2388</v>
      </c>
      <c r="BV132" s="29" t="s">
        <v>2435</v>
      </c>
      <c r="BW132" s="29" t="s">
        <v>1611</v>
      </c>
      <c r="BX132" s="29" t="s">
        <v>1611</v>
      </c>
      <c r="BY132" s="29" t="s">
        <v>1611</v>
      </c>
      <c r="BZ132" s="29" t="s">
        <v>1611</v>
      </c>
      <c r="CA132" s="29" t="s">
        <v>1611</v>
      </c>
      <c r="CB132" s="29" t="s">
        <v>1611</v>
      </c>
      <c r="CC132" s="29" t="s">
        <v>1611</v>
      </c>
      <c r="CD132" s="29" t="s">
        <v>1611</v>
      </c>
      <c r="CE132" s="29" t="s">
        <v>1611</v>
      </c>
      <c r="CF132" s="29" t="s">
        <v>1611</v>
      </c>
      <c r="CG132" s="29" t="s">
        <v>2891</v>
      </c>
      <c r="CH132" s="29" t="s">
        <v>2892</v>
      </c>
      <c r="CI132" s="29" t="s">
        <v>1611</v>
      </c>
      <c r="CJ132" s="29" t="s">
        <v>1611</v>
      </c>
      <c r="CK132" s="29" t="s">
        <v>1611</v>
      </c>
      <c r="CL132" s="29" t="s">
        <v>1611</v>
      </c>
      <c r="CM132" s="29" t="s">
        <v>1611</v>
      </c>
      <c r="CN132" s="29" t="s">
        <v>1611</v>
      </c>
      <c r="CO132" s="29" t="s">
        <v>1611</v>
      </c>
      <c r="CP132" s="29" t="s">
        <v>1611</v>
      </c>
      <c r="CQ132" s="29" t="s">
        <v>1611</v>
      </c>
      <c r="CR132" s="29" t="s">
        <v>1611</v>
      </c>
      <c r="CS132" s="29" t="s">
        <v>1611</v>
      </c>
      <c r="CT132" s="29" t="s">
        <v>1611</v>
      </c>
      <c r="CU132" s="29" t="s">
        <v>1611</v>
      </c>
      <c r="CV132" s="29" t="s">
        <v>1611</v>
      </c>
      <c r="CW132" s="29"/>
      <c r="CX132" s="29"/>
      <c r="CY132" s="151"/>
      <c r="CZ132" t="e">
        <v>#N/A</v>
      </c>
      <c r="DA132" t="e">
        <v>#N/A</v>
      </c>
      <c r="DD132" s="96" t="str">
        <f t="shared" si="1"/>
        <v>V</v>
      </c>
    </row>
    <row r="133" spans="1:110" ht="16.5" customHeight="1" x14ac:dyDescent="0.3">
      <c r="C133" s="105">
        <v>1684449</v>
      </c>
      <c r="D133" s="27">
        <v>127</v>
      </c>
      <c r="E133" s="28" t="s">
        <v>822</v>
      </c>
      <c r="F133" s="28">
        <v>1000750214</v>
      </c>
      <c r="G133" s="29" t="s">
        <v>1052</v>
      </c>
      <c r="H133" s="28">
        <v>1684449</v>
      </c>
      <c r="I133" s="29" t="s">
        <v>1053</v>
      </c>
      <c r="J133" s="28" t="s">
        <v>429</v>
      </c>
      <c r="K133" s="7"/>
      <c r="L133" s="104" t="s">
        <v>731</v>
      </c>
      <c r="M133" s="29"/>
      <c r="N133" s="29"/>
      <c r="O133" s="127"/>
      <c r="P133" s="28"/>
      <c r="Q133" s="28"/>
      <c r="R133" s="28"/>
      <c r="S133" s="28"/>
      <c r="T133" s="28"/>
      <c r="U133" s="28"/>
      <c r="V133" s="28"/>
      <c r="W133" s="28"/>
      <c r="X133" s="28"/>
      <c r="Y133" s="28"/>
      <c r="Z133" s="28"/>
      <c r="AA133" s="28"/>
      <c r="AB133" s="104"/>
      <c r="AC133" s="104"/>
      <c r="AD133" s="9" t="s">
        <v>1269</v>
      </c>
      <c r="AE133" s="39">
        <v>45994</v>
      </c>
      <c r="AF133" s="9" t="s">
        <v>1276</v>
      </c>
      <c r="AG133" s="34" t="s">
        <v>3653</v>
      </c>
      <c r="AH133" s="9"/>
      <c r="AI133" s="9" t="s">
        <v>2491</v>
      </c>
      <c r="AJ133" s="9"/>
      <c r="AK133" s="45"/>
      <c r="AL133" s="9" t="s">
        <v>2491</v>
      </c>
      <c r="AM133" s="45"/>
      <c r="AN133" s="45"/>
      <c r="AO133" s="45"/>
      <c r="AP133" s="45"/>
      <c r="AQ133" s="45"/>
      <c r="AR133" s="45"/>
      <c r="AS133" s="45"/>
      <c r="AT133" s="45"/>
      <c r="AU133" s="45"/>
      <c r="AV133" s="45"/>
      <c r="AW133" s="9"/>
      <c r="AX133" s="9"/>
      <c r="AY133" s="9"/>
      <c r="AZ133" s="9"/>
      <c r="BA133" s="10" t="s">
        <v>79</v>
      </c>
      <c r="BB133" s="29" t="s">
        <v>2612</v>
      </c>
      <c r="BC133" s="29" t="s">
        <v>1611</v>
      </c>
      <c r="BD133" s="29" t="s">
        <v>1611</v>
      </c>
      <c r="BE133" s="29" t="s">
        <v>2502</v>
      </c>
      <c r="BF133" s="29" t="s">
        <v>2503</v>
      </c>
      <c r="BG133" s="29" t="s">
        <v>40</v>
      </c>
      <c r="BH133" s="29" t="s">
        <v>2572</v>
      </c>
      <c r="BI133" s="29" t="s">
        <v>2774</v>
      </c>
      <c r="BJ133" s="29" t="s">
        <v>2775</v>
      </c>
      <c r="BK133" s="29" t="s">
        <v>3016</v>
      </c>
      <c r="BL133" t="s">
        <v>3017</v>
      </c>
      <c r="BM133" s="29" t="s">
        <v>1611</v>
      </c>
      <c r="BN133" s="29" t="s">
        <v>1611</v>
      </c>
      <c r="BO133" s="29" t="s">
        <v>1611</v>
      </c>
      <c r="BP133" s="29" t="s">
        <v>1611</v>
      </c>
      <c r="BQ133" s="29" t="s">
        <v>1611</v>
      </c>
      <c r="BR133" s="29" t="s">
        <v>1611</v>
      </c>
      <c r="BS133" s="29" t="s">
        <v>1611</v>
      </c>
      <c r="BT133" s="29" t="s">
        <v>1611</v>
      </c>
      <c r="BU133" s="29" t="s">
        <v>3018</v>
      </c>
      <c r="BV133" t="s">
        <v>3019</v>
      </c>
      <c r="BW133" s="29" t="s">
        <v>1611</v>
      </c>
      <c r="BX133" s="29" t="s">
        <v>1611</v>
      </c>
      <c r="BY133" s="29" t="s">
        <v>1611</v>
      </c>
      <c r="BZ133" s="29" t="s">
        <v>1611</v>
      </c>
      <c r="CA133" s="29" t="s">
        <v>1611</v>
      </c>
      <c r="CB133" s="29" t="s">
        <v>1611</v>
      </c>
      <c r="CC133" s="29" t="s">
        <v>1611</v>
      </c>
      <c r="CD133" s="29" t="s">
        <v>1611</v>
      </c>
      <c r="CE133" s="29" t="s">
        <v>1611</v>
      </c>
      <c r="CF133" s="29" t="s">
        <v>1611</v>
      </c>
      <c r="CG133" s="29" t="s">
        <v>1758</v>
      </c>
      <c r="CH133" s="29" t="s">
        <v>2444</v>
      </c>
      <c r="CI133" s="29" t="s">
        <v>1611</v>
      </c>
      <c r="CJ133" s="29" t="s">
        <v>1611</v>
      </c>
      <c r="CK133" s="29" t="s">
        <v>1611</v>
      </c>
      <c r="CL133" s="29" t="s">
        <v>1611</v>
      </c>
      <c r="CM133" s="29" t="s">
        <v>1611</v>
      </c>
      <c r="CN133" s="29" t="s">
        <v>1611</v>
      </c>
      <c r="CO133" s="29" t="s">
        <v>1611</v>
      </c>
      <c r="CP133" s="29" t="s">
        <v>1611</v>
      </c>
      <c r="CQ133" s="29" t="s">
        <v>1611</v>
      </c>
      <c r="CR133" s="29" t="s">
        <v>1611</v>
      </c>
      <c r="CS133" s="29" t="s">
        <v>1611</v>
      </c>
      <c r="CT133" s="29" t="s">
        <v>1611</v>
      </c>
      <c r="CU133" s="29" t="s">
        <v>1611</v>
      </c>
      <c r="CV133" s="29" t="s">
        <v>1611</v>
      </c>
      <c r="CW133" s="29"/>
      <c r="CX133" s="29"/>
      <c r="CY133" s="151"/>
      <c r="CZ133" t="s">
        <v>3729</v>
      </c>
      <c r="DA133" t="s">
        <v>3724</v>
      </c>
      <c r="DD133" s="96" t="str">
        <f t="shared" si="1"/>
        <v>V</v>
      </c>
    </row>
    <row r="134" spans="1:110" ht="16.5" customHeight="1" x14ac:dyDescent="0.3">
      <c r="C134" s="105">
        <v>1662230</v>
      </c>
      <c r="D134" s="27">
        <v>128</v>
      </c>
      <c r="E134" s="28" t="s">
        <v>822</v>
      </c>
      <c r="F134" s="28">
        <v>1000753077</v>
      </c>
      <c r="G134" s="29" t="s">
        <v>1054</v>
      </c>
      <c r="H134" s="28">
        <v>1662230</v>
      </c>
      <c r="I134" s="29" t="s">
        <v>1055</v>
      </c>
      <c r="J134" s="28" t="s">
        <v>854</v>
      </c>
      <c r="K134" s="7"/>
      <c r="L134" s="104" t="s">
        <v>732</v>
      </c>
      <c r="M134" s="29"/>
      <c r="N134" s="29"/>
      <c r="O134" s="127"/>
      <c r="P134" s="28"/>
      <c r="Q134" s="28"/>
      <c r="R134" s="28"/>
      <c r="S134" s="28"/>
      <c r="T134" s="28"/>
      <c r="U134" s="28"/>
      <c r="V134" s="28"/>
      <c r="W134" s="28"/>
      <c r="X134" s="28"/>
      <c r="Y134" s="28"/>
      <c r="Z134" s="28"/>
      <c r="AA134" s="28"/>
      <c r="AB134" s="104"/>
      <c r="AC134" s="104"/>
      <c r="AD134" s="9" t="s">
        <v>1269</v>
      </c>
      <c r="AE134" s="39">
        <v>46060</v>
      </c>
      <c r="AF134" s="9" t="s">
        <v>1276</v>
      </c>
      <c r="AG134" s="34" t="s">
        <v>3755</v>
      </c>
      <c r="AH134" s="9"/>
      <c r="AI134" s="9"/>
      <c r="AJ134" s="9"/>
      <c r="AK134" s="45"/>
      <c r="AL134" s="45" t="s">
        <v>2278</v>
      </c>
      <c r="AM134" s="45"/>
      <c r="AN134" s="45"/>
      <c r="AO134" s="45"/>
      <c r="AP134" s="45"/>
      <c r="AQ134" s="45"/>
      <c r="AR134" s="45"/>
      <c r="AS134" s="45"/>
      <c r="AT134" s="45"/>
      <c r="AU134" s="45"/>
      <c r="AV134" s="45"/>
      <c r="AW134" s="9"/>
      <c r="AX134" s="9"/>
      <c r="AY134" s="9"/>
      <c r="AZ134" s="9"/>
      <c r="BA134" s="10" t="s">
        <v>268</v>
      </c>
      <c r="BB134" s="29" t="s">
        <v>2608</v>
      </c>
      <c r="BC134" s="29" t="s">
        <v>1611</v>
      </c>
      <c r="BD134" s="29" t="s">
        <v>1611</v>
      </c>
      <c r="BE134" s="29" t="s">
        <v>2502</v>
      </c>
      <c r="BF134" s="29" t="s">
        <v>2503</v>
      </c>
      <c r="BG134" s="29" t="s">
        <v>2599</v>
      </c>
      <c r="BH134" s="29" t="s">
        <v>2600</v>
      </c>
      <c r="BI134" s="29" t="s">
        <v>2774</v>
      </c>
      <c r="BJ134" s="29" t="s">
        <v>2775</v>
      </c>
      <c r="BK134" s="29" t="s">
        <v>2604</v>
      </c>
      <c r="BL134" s="29" t="s">
        <v>2605</v>
      </c>
      <c r="BM134" s="29" t="s">
        <v>1611</v>
      </c>
      <c r="BN134" s="29" t="s">
        <v>1611</v>
      </c>
      <c r="BO134" s="29" t="s">
        <v>1611</v>
      </c>
      <c r="BP134" s="29" t="s">
        <v>1611</v>
      </c>
      <c r="BQ134" s="29" t="s">
        <v>1611</v>
      </c>
      <c r="BR134" s="29" t="s">
        <v>1611</v>
      </c>
      <c r="BS134" s="29" t="s">
        <v>1611</v>
      </c>
      <c r="BT134" s="29" t="s">
        <v>1611</v>
      </c>
      <c r="BU134" s="29" t="s">
        <v>2851</v>
      </c>
      <c r="BV134" s="29" t="s">
        <v>2852</v>
      </c>
      <c r="BW134" s="29" t="s">
        <v>1611</v>
      </c>
      <c r="BX134" s="29" t="s">
        <v>1611</v>
      </c>
      <c r="BY134" s="29" t="s">
        <v>1611</v>
      </c>
      <c r="BZ134" s="29" t="s">
        <v>1611</v>
      </c>
      <c r="CA134" s="29" t="s">
        <v>1611</v>
      </c>
      <c r="CB134" s="29" t="s">
        <v>1611</v>
      </c>
      <c r="CC134" s="29" t="s">
        <v>1611</v>
      </c>
      <c r="CD134" s="29" t="s">
        <v>1611</v>
      </c>
      <c r="CE134" s="29" t="s">
        <v>1611</v>
      </c>
      <c r="CF134" s="29" t="s">
        <v>1611</v>
      </c>
      <c r="CG134" s="29" t="s">
        <v>1742</v>
      </c>
      <c r="CH134" s="29" t="s">
        <v>1855</v>
      </c>
      <c r="CI134" s="29" t="s">
        <v>1611</v>
      </c>
      <c r="CJ134" s="29" t="s">
        <v>1611</v>
      </c>
      <c r="CK134" s="29" t="s">
        <v>1611</v>
      </c>
      <c r="CL134" s="29" t="s">
        <v>1611</v>
      </c>
      <c r="CM134" s="29" t="s">
        <v>1611</v>
      </c>
      <c r="CN134" s="29" t="s">
        <v>1611</v>
      </c>
      <c r="CO134" s="29" t="s">
        <v>1611</v>
      </c>
      <c r="CP134" s="29" t="s">
        <v>1611</v>
      </c>
      <c r="CQ134" s="29" t="s">
        <v>1611</v>
      </c>
      <c r="CR134" s="29" t="s">
        <v>1611</v>
      </c>
      <c r="CS134" s="29" t="s">
        <v>1611</v>
      </c>
      <c r="CT134" s="29" t="s">
        <v>1611</v>
      </c>
      <c r="CU134" s="29" t="s">
        <v>1611</v>
      </c>
      <c r="CV134" s="29" t="s">
        <v>1611</v>
      </c>
      <c r="CW134" s="29"/>
      <c r="CX134" s="29"/>
      <c r="CY134" s="151"/>
      <c r="CZ134" t="s">
        <v>3611</v>
      </c>
      <c r="DA134" t="s">
        <v>3587</v>
      </c>
      <c r="DC134" s="96" t="s">
        <v>3700</v>
      </c>
      <c r="DD134" s="96" t="str">
        <f t="shared" si="1"/>
        <v>V</v>
      </c>
    </row>
    <row r="135" spans="1:110" ht="16.5" customHeight="1" x14ac:dyDescent="0.3">
      <c r="C135" s="105">
        <v>1666352</v>
      </c>
      <c r="D135" s="27">
        <v>129</v>
      </c>
      <c r="E135" s="28" t="s">
        <v>786</v>
      </c>
      <c r="F135" s="28">
        <v>1000961585</v>
      </c>
      <c r="G135" s="29" t="s">
        <v>1056</v>
      </c>
      <c r="H135" s="28">
        <v>1666352</v>
      </c>
      <c r="I135" s="29" t="s">
        <v>1057</v>
      </c>
      <c r="J135" s="28" t="s">
        <v>429</v>
      </c>
      <c r="K135" s="7"/>
      <c r="L135" s="104" t="s">
        <v>733</v>
      </c>
      <c r="M135" s="29"/>
      <c r="N135" s="29"/>
      <c r="O135" s="127"/>
      <c r="P135" s="28"/>
      <c r="Q135" s="28"/>
      <c r="R135" s="28"/>
      <c r="S135" s="28"/>
      <c r="T135" s="28"/>
      <c r="U135" s="28"/>
      <c r="V135" s="28"/>
      <c r="W135" s="28"/>
      <c r="X135" s="28"/>
      <c r="Y135" s="28"/>
      <c r="Z135" s="28"/>
      <c r="AA135" s="28"/>
      <c r="AB135" s="104"/>
      <c r="AC135" s="104"/>
      <c r="AD135" s="9" t="s">
        <v>1269</v>
      </c>
      <c r="AE135" s="39">
        <v>45961</v>
      </c>
      <c r="AF135" s="9" t="s">
        <v>1276</v>
      </c>
      <c r="AG135" s="34" t="s">
        <v>3011</v>
      </c>
      <c r="AH135" s="9"/>
      <c r="AI135" s="9"/>
      <c r="AJ135" s="9"/>
      <c r="AK135" s="45"/>
      <c r="AL135" s="45" t="s">
        <v>1611</v>
      </c>
      <c r="AM135" s="45"/>
      <c r="AN135" s="45"/>
      <c r="AO135" s="45"/>
      <c r="AP135" s="45"/>
      <c r="AQ135" s="45"/>
      <c r="AR135" s="45"/>
      <c r="AS135" s="45"/>
      <c r="AT135" s="45"/>
      <c r="AU135" s="45"/>
      <c r="AV135" s="45"/>
      <c r="AW135" s="9"/>
      <c r="AX135" s="9"/>
      <c r="AY135" s="9"/>
      <c r="AZ135" s="9"/>
      <c r="BA135" s="10" t="s">
        <v>79</v>
      </c>
      <c r="BB135" s="29" t="s">
        <v>2612</v>
      </c>
      <c r="BC135" s="29" t="s">
        <v>1611</v>
      </c>
      <c r="BD135" s="29" t="s">
        <v>1611</v>
      </c>
      <c r="BE135" s="29" t="s">
        <v>2514</v>
      </c>
      <c r="BF135" s="29" t="s">
        <v>2515</v>
      </c>
      <c r="BG135" s="29" t="s">
        <v>2599</v>
      </c>
      <c r="BH135" s="29" t="s">
        <v>2600</v>
      </c>
      <c r="BI135" s="29" t="s">
        <v>330</v>
      </c>
      <c r="BJ135" s="29" t="s">
        <v>2520</v>
      </c>
      <c r="BK135" s="29" t="s">
        <v>575</v>
      </c>
      <c r="BL135" s="29" t="s">
        <v>2676</v>
      </c>
      <c r="BM135" s="29" t="s">
        <v>1611</v>
      </c>
      <c r="BN135" s="29" t="s">
        <v>1611</v>
      </c>
      <c r="BO135" s="29" t="s">
        <v>1611</v>
      </c>
      <c r="BP135" s="29" t="s">
        <v>1611</v>
      </c>
      <c r="BQ135" s="29" t="s">
        <v>1611</v>
      </c>
      <c r="BR135" s="29" t="s">
        <v>1611</v>
      </c>
      <c r="BS135" s="29" t="s">
        <v>1611</v>
      </c>
      <c r="BT135" s="29" t="s">
        <v>1611</v>
      </c>
      <c r="BU135" s="29" t="s">
        <v>2378</v>
      </c>
      <c r="BV135" s="29" t="s">
        <v>2422</v>
      </c>
      <c r="BW135" s="29" t="s">
        <v>1611</v>
      </c>
      <c r="BX135" s="29" t="s">
        <v>1611</v>
      </c>
      <c r="BY135" s="29" t="s">
        <v>1611</v>
      </c>
      <c r="BZ135" s="29" t="s">
        <v>1611</v>
      </c>
      <c r="CA135" s="29" t="s">
        <v>1611</v>
      </c>
      <c r="CB135" s="29" t="s">
        <v>1611</v>
      </c>
      <c r="CC135" s="29" t="s">
        <v>1611</v>
      </c>
      <c r="CD135" s="29" t="s">
        <v>1611</v>
      </c>
      <c r="CE135" s="29" t="s">
        <v>1611</v>
      </c>
      <c r="CF135" s="29" t="s">
        <v>1611</v>
      </c>
      <c r="CG135" s="29" t="s">
        <v>254</v>
      </c>
      <c r="CH135" s="29" t="s">
        <v>1875</v>
      </c>
      <c r="CI135" s="29" t="s">
        <v>1611</v>
      </c>
      <c r="CJ135" s="29" t="s">
        <v>1611</v>
      </c>
      <c r="CK135" s="29" t="s">
        <v>1611</v>
      </c>
      <c r="CL135" s="29" t="s">
        <v>1611</v>
      </c>
      <c r="CM135" s="29" t="s">
        <v>1611</v>
      </c>
      <c r="CN135" s="29" t="s">
        <v>1611</v>
      </c>
      <c r="CO135" s="29" t="s">
        <v>1611</v>
      </c>
      <c r="CP135" s="29" t="s">
        <v>1611</v>
      </c>
      <c r="CQ135" s="29" t="s">
        <v>1611</v>
      </c>
      <c r="CR135" s="29" t="s">
        <v>1611</v>
      </c>
      <c r="CS135" s="29" t="s">
        <v>1611</v>
      </c>
      <c r="CT135" s="29" t="s">
        <v>1611</v>
      </c>
      <c r="CU135" s="29" t="s">
        <v>1611</v>
      </c>
      <c r="CV135" s="29" t="s">
        <v>1611</v>
      </c>
      <c r="CW135" s="29"/>
      <c r="CX135" s="29"/>
      <c r="CY135" s="151"/>
      <c r="CZ135" t="e">
        <v>#N/A</v>
      </c>
      <c r="DA135" t="e">
        <v>#N/A</v>
      </c>
      <c r="DD135" s="96" t="str">
        <f t="shared" si="1"/>
        <v>V</v>
      </c>
    </row>
    <row r="136" spans="1:110" ht="16.5" customHeight="1" x14ac:dyDescent="0.3">
      <c r="C136" s="105">
        <v>1662602</v>
      </c>
      <c r="D136" s="27">
        <v>130</v>
      </c>
      <c r="E136" s="28" t="s">
        <v>792</v>
      </c>
      <c r="F136" s="28">
        <v>1000805428</v>
      </c>
      <c r="G136" s="29" t="s">
        <v>1060</v>
      </c>
      <c r="H136" s="28">
        <v>1662602</v>
      </c>
      <c r="I136" s="29" t="s">
        <v>1061</v>
      </c>
      <c r="J136" s="28" t="s">
        <v>854</v>
      </c>
      <c r="K136" s="7"/>
      <c r="L136" s="104" t="s">
        <v>734</v>
      </c>
      <c r="M136" s="29"/>
      <c r="N136" s="29"/>
      <c r="O136" s="127"/>
      <c r="P136" s="28"/>
      <c r="Q136" s="28"/>
      <c r="R136" s="28"/>
      <c r="S136" s="28"/>
      <c r="T136" s="28"/>
      <c r="U136" s="28"/>
      <c r="V136" s="28"/>
      <c r="W136" s="28"/>
      <c r="X136" s="28"/>
      <c r="Y136" s="28"/>
      <c r="Z136" s="28"/>
      <c r="AA136" s="28"/>
      <c r="AB136" s="104"/>
      <c r="AC136" s="104"/>
      <c r="AD136" s="9" t="s">
        <v>1269</v>
      </c>
      <c r="AE136" s="39">
        <v>46008</v>
      </c>
      <c r="AF136" s="9" t="s">
        <v>1276</v>
      </c>
      <c r="AG136" s="108" t="s">
        <v>3177</v>
      </c>
      <c r="AH136" s="9"/>
      <c r="AI136" s="9" t="s">
        <v>2491</v>
      </c>
      <c r="AJ136" s="9"/>
      <c r="AK136" s="45"/>
      <c r="AL136" s="9" t="s">
        <v>2491</v>
      </c>
      <c r="AM136" s="9" t="s">
        <v>46</v>
      </c>
      <c r="AN136" s="9" t="s">
        <v>46</v>
      </c>
      <c r="AO136" s="9" t="s">
        <v>46</v>
      </c>
      <c r="AP136" s="9" t="s">
        <v>46</v>
      </c>
      <c r="AQ136" s="45"/>
      <c r="AR136" s="45"/>
      <c r="AS136" s="45"/>
      <c r="AT136" s="45"/>
      <c r="AU136" s="45"/>
      <c r="AV136" s="45"/>
      <c r="AW136" s="9"/>
      <c r="AX136" s="9"/>
      <c r="AY136" s="9"/>
      <c r="AZ136" s="9"/>
      <c r="BA136" s="10" t="s">
        <v>2496</v>
      </c>
      <c r="BB136" s="29" t="s">
        <v>2550</v>
      </c>
      <c r="BC136" s="29" t="s">
        <v>1611</v>
      </c>
      <c r="BD136" s="29" t="s">
        <v>1611</v>
      </c>
      <c r="BE136" s="29" t="s">
        <v>2502</v>
      </c>
      <c r="BF136" s="29" t="s">
        <v>2503</v>
      </c>
      <c r="BG136" s="29" t="s">
        <v>2599</v>
      </c>
      <c r="BH136" s="29" t="s">
        <v>2600</v>
      </c>
      <c r="BI136" s="29" t="s">
        <v>2638</v>
      </c>
      <c r="BJ136" s="29" t="s">
        <v>2639</v>
      </c>
      <c r="BK136" s="29" t="s">
        <v>363</v>
      </c>
      <c r="BL136" s="29" t="s">
        <v>2627</v>
      </c>
      <c r="BM136" s="29" t="s">
        <v>1611</v>
      </c>
      <c r="BN136" s="29" t="s">
        <v>1611</v>
      </c>
      <c r="BO136" s="29" t="s">
        <v>1611</v>
      </c>
      <c r="BP136" s="29" t="s">
        <v>1611</v>
      </c>
      <c r="BQ136" s="29" t="s">
        <v>1611</v>
      </c>
      <c r="BR136" s="29" t="s">
        <v>1611</v>
      </c>
      <c r="BS136" s="29" t="s">
        <v>1611</v>
      </c>
      <c r="BT136" s="29" t="s">
        <v>1611</v>
      </c>
      <c r="BU136" s="29" t="s">
        <v>2379</v>
      </c>
      <c r="BV136" s="29" t="s">
        <v>2423</v>
      </c>
      <c r="BW136" s="29" t="s">
        <v>1611</v>
      </c>
      <c r="BX136" s="29" t="s">
        <v>1611</v>
      </c>
      <c r="BY136" s="29" t="s">
        <v>1611</v>
      </c>
      <c r="BZ136" s="29" t="s">
        <v>1611</v>
      </c>
      <c r="CA136" s="29" t="s">
        <v>1611</v>
      </c>
      <c r="CB136" s="29" t="s">
        <v>1611</v>
      </c>
      <c r="CC136" s="29" t="s">
        <v>1611</v>
      </c>
      <c r="CD136" s="29" t="s">
        <v>1611</v>
      </c>
      <c r="CE136" s="29" t="s">
        <v>1611</v>
      </c>
      <c r="CF136" s="29" t="s">
        <v>1611</v>
      </c>
      <c r="CG136" s="29" t="s">
        <v>3139</v>
      </c>
      <c r="CH136" s="29" t="s">
        <v>3140</v>
      </c>
      <c r="CI136" s="29" t="s">
        <v>1611</v>
      </c>
      <c r="CJ136" s="29" t="s">
        <v>1611</v>
      </c>
      <c r="CK136" s="29" t="s">
        <v>1611</v>
      </c>
      <c r="CL136" s="29" t="s">
        <v>1611</v>
      </c>
      <c r="CM136" s="29" t="s">
        <v>1611</v>
      </c>
      <c r="CN136" s="29" t="s">
        <v>1611</v>
      </c>
      <c r="CO136" s="29" t="s">
        <v>1611</v>
      </c>
      <c r="CP136" s="29" t="s">
        <v>1611</v>
      </c>
      <c r="CQ136" s="29" t="s">
        <v>1611</v>
      </c>
      <c r="CR136" s="29" t="s">
        <v>1611</v>
      </c>
      <c r="CS136" s="29" t="s">
        <v>1611</v>
      </c>
      <c r="CT136" s="29" t="s">
        <v>1611</v>
      </c>
      <c r="CU136" s="29" t="s">
        <v>1611</v>
      </c>
      <c r="CV136" s="29" t="s">
        <v>1611</v>
      </c>
      <c r="CW136" s="29"/>
      <c r="CX136" s="29"/>
      <c r="CY136" s="151"/>
      <c r="CZ136" t="s">
        <v>3732</v>
      </c>
      <c r="DA136" t="s">
        <v>3724</v>
      </c>
      <c r="DD136" s="96" t="str">
        <f t="shared" ref="DD136:DD199" si="2">IF(AF136="제외요청", "V","")</f>
        <v>V</v>
      </c>
    </row>
    <row r="137" spans="1:110" ht="16.5" customHeight="1" x14ac:dyDescent="0.3">
      <c r="C137" s="105">
        <v>1658866</v>
      </c>
      <c r="D137" s="27">
        <v>131</v>
      </c>
      <c r="E137" s="28" t="s">
        <v>656</v>
      </c>
      <c r="F137" s="28">
        <v>1000810703</v>
      </c>
      <c r="G137" s="29" t="s">
        <v>1062</v>
      </c>
      <c r="H137" s="28">
        <v>1658866</v>
      </c>
      <c r="I137" s="29" t="s">
        <v>1063</v>
      </c>
      <c r="J137" s="28" t="s">
        <v>854</v>
      </c>
      <c r="K137" s="7"/>
      <c r="L137" s="104" t="s">
        <v>720</v>
      </c>
      <c r="M137" s="29"/>
      <c r="N137" s="29"/>
      <c r="O137" s="127"/>
      <c r="P137" s="28"/>
      <c r="Q137" s="28"/>
      <c r="R137" s="28"/>
      <c r="S137" s="28"/>
      <c r="T137" s="28"/>
      <c r="U137" s="28"/>
      <c r="V137" s="28"/>
      <c r="W137" s="28"/>
      <c r="X137" s="28"/>
      <c r="Y137" s="28"/>
      <c r="Z137" s="28"/>
      <c r="AA137" s="28"/>
      <c r="AB137" s="104" t="s">
        <v>1949</v>
      </c>
      <c r="AC137" s="104" t="s">
        <v>1950</v>
      </c>
      <c r="AD137" s="9" t="s">
        <v>1269</v>
      </c>
      <c r="AE137" s="39"/>
      <c r="AF137" s="9" t="s">
        <v>1276</v>
      </c>
      <c r="AG137" s="34" t="s">
        <v>3964</v>
      </c>
      <c r="AH137" s="9"/>
      <c r="AI137" s="9"/>
      <c r="AJ137" s="9"/>
      <c r="AK137" s="45"/>
      <c r="AL137" s="45" t="s">
        <v>2278</v>
      </c>
      <c r="AM137" s="45" t="s">
        <v>46</v>
      </c>
      <c r="AN137" s="45"/>
      <c r="AO137" s="45"/>
      <c r="AP137" s="45"/>
      <c r="AQ137" s="45"/>
      <c r="AR137" s="45"/>
      <c r="AS137" s="45"/>
      <c r="AT137" s="45"/>
      <c r="AU137" s="45"/>
      <c r="AV137" s="45"/>
      <c r="AW137" s="9"/>
      <c r="AX137" s="9"/>
      <c r="AY137" s="9"/>
      <c r="AZ137" s="9"/>
      <c r="BA137" s="10" t="s">
        <v>92</v>
      </c>
      <c r="BB137" s="29" t="s">
        <v>2628</v>
      </c>
      <c r="BC137" s="29" t="s">
        <v>1611</v>
      </c>
      <c r="BD137" s="29" t="s">
        <v>1611</v>
      </c>
      <c r="BE137" s="29" t="s">
        <v>2502</v>
      </c>
      <c r="BF137" s="29" t="s">
        <v>2503</v>
      </c>
      <c r="BG137" s="29" t="s">
        <v>40</v>
      </c>
      <c r="BH137" s="29" t="s">
        <v>2572</v>
      </c>
      <c r="BI137" s="29" t="s">
        <v>130</v>
      </c>
      <c r="BJ137" s="29" t="s">
        <v>2850</v>
      </c>
      <c r="BK137" s="29" t="s">
        <v>225</v>
      </c>
      <c r="BL137" s="29" t="s">
        <v>2728</v>
      </c>
      <c r="BM137" s="29" t="s">
        <v>1611</v>
      </c>
      <c r="BN137" s="29" t="s">
        <v>1611</v>
      </c>
      <c r="BO137" s="29" t="s">
        <v>1611</v>
      </c>
      <c r="BP137" s="29" t="s">
        <v>1611</v>
      </c>
      <c r="BQ137" s="29" t="s">
        <v>1611</v>
      </c>
      <c r="BR137" s="29" t="s">
        <v>1611</v>
      </c>
      <c r="BS137" s="29" t="s">
        <v>1611</v>
      </c>
      <c r="BT137" s="29" t="s">
        <v>1611</v>
      </c>
      <c r="BU137" s="29" t="s">
        <v>2384</v>
      </c>
      <c r="BV137" s="29" t="s">
        <v>2431</v>
      </c>
      <c r="BW137" s="29" t="s">
        <v>1611</v>
      </c>
      <c r="BX137" s="29" t="s">
        <v>1611</v>
      </c>
      <c r="BY137" s="29" t="s">
        <v>1611</v>
      </c>
      <c r="BZ137" s="29" t="s">
        <v>1611</v>
      </c>
      <c r="CA137" s="29" t="s">
        <v>1611</v>
      </c>
      <c r="CB137" s="29" t="s">
        <v>1611</v>
      </c>
      <c r="CC137" s="29" t="s">
        <v>1611</v>
      </c>
      <c r="CD137" s="29" t="s">
        <v>1611</v>
      </c>
      <c r="CE137" s="29" t="s">
        <v>1611</v>
      </c>
      <c r="CF137" s="29" t="s">
        <v>1611</v>
      </c>
      <c r="CG137" s="29" t="s">
        <v>227</v>
      </c>
      <c r="CH137" s="29" t="s">
        <v>1877</v>
      </c>
      <c r="CI137" s="29" t="s">
        <v>1611</v>
      </c>
      <c r="CJ137" s="29" t="s">
        <v>1611</v>
      </c>
      <c r="CK137" s="29" t="s">
        <v>1611</v>
      </c>
      <c r="CL137" s="29" t="s">
        <v>1611</v>
      </c>
      <c r="CM137" s="29" t="s">
        <v>1611</v>
      </c>
      <c r="CN137" s="29" t="s">
        <v>1611</v>
      </c>
      <c r="CO137" s="29" t="s">
        <v>1611</v>
      </c>
      <c r="CP137" s="29" t="s">
        <v>1611</v>
      </c>
      <c r="CQ137" s="29" t="s">
        <v>1611</v>
      </c>
      <c r="CR137" s="29" t="s">
        <v>1611</v>
      </c>
      <c r="CS137" s="29" t="s">
        <v>1611</v>
      </c>
      <c r="CT137" s="29" t="s">
        <v>1611</v>
      </c>
      <c r="CU137" s="29" t="s">
        <v>1611</v>
      </c>
      <c r="CV137" s="29" t="s">
        <v>1611</v>
      </c>
      <c r="CW137" s="29"/>
      <c r="CX137" s="29"/>
      <c r="CY137" s="151"/>
      <c r="CZ137" t="s">
        <v>3612</v>
      </c>
      <c r="DA137" t="s">
        <v>3587</v>
      </c>
      <c r="DC137" s="96" t="s">
        <v>3700</v>
      </c>
      <c r="DD137" s="96" t="str">
        <f t="shared" si="2"/>
        <v>V</v>
      </c>
    </row>
    <row r="138" spans="1:110" ht="16.5" customHeight="1" x14ac:dyDescent="0.3">
      <c r="C138" s="105">
        <v>1663799</v>
      </c>
      <c r="D138" s="27">
        <v>132</v>
      </c>
      <c r="E138" s="28" t="s">
        <v>786</v>
      </c>
      <c r="F138" s="28">
        <v>1001386335</v>
      </c>
      <c r="G138" s="29" t="s">
        <v>1066</v>
      </c>
      <c r="H138" s="28">
        <v>1663799</v>
      </c>
      <c r="I138" s="29" t="s">
        <v>1067</v>
      </c>
      <c r="J138" s="28" t="s">
        <v>854</v>
      </c>
      <c r="K138" s="7"/>
      <c r="L138" s="104" t="s">
        <v>679</v>
      </c>
      <c r="M138" s="29"/>
      <c r="N138" s="29"/>
      <c r="O138" s="127"/>
      <c r="P138" s="28"/>
      <c r="Q138" s="28"/>
      <c r="R138" s="28"/>
      <c r="S138" s="28"/>
      <c r="T138" s="28"/>
      <c r="U138" s="28"/>
      <c r="V138" s="28"/>
      <c r="W138" s="28"/>
      <c r="X138" s="28"/>
      <c r="Y138" s="28"/>
      <c r="Z138" s="28"/>
      <c r="AA138" s="28"/>
      <c r="AB138" s="104"/>
      <c r="AC138" s="104"/>
      <c r="AD138" s="9" t="s">
        <v>1269</v>
      </c>
      <c r="AE138" s="39">
        <v>45910</v>
      </c>
      <c r="AF138" s="9" t="s">
        <v>1952</v>
      </c>
      <c r="AG138" s="34" t="s">
        <v>1953</v>
      </c>
      <c r="AH138" s="9"/>
      <c r="AI138" s="9"/>
      <c r="AJ138" s="9"/>
      <c r="AK138" s="45"/>
      <c r="AL138" s="45" t="s">
        <v>1611</v>
      </c>
      <c r="AM138" s="45"/>
      <c r="AN138" s="45"/>
      <c r="AO138" s="45"/>
      <c r="AP138" s="45"/>
      <c r="AQ138" s="45"/>
      <c r="AR138" s="45"/>
      <c r="AS138" s="45"/>
      <c r="AT138" s="45"/>
      <c r="AU138" s="45"/>
      <c r="AV138" s="45"/>
      <c r="AW138" s="9"/>
      <c r="AX138" s="9"/>
      <c r="AY138" s="9"/>
      <c r="AZ138" s="9"/>
      <c r="BA138" s="10" t="s">
        <v>51</v>
      </c>
      <c r="BB138" s="29" t="s">
        <v>2501</v>
      </c>
      <c r="BC138" s="29" t="s">
        <v>1611</v>
      </c>
      <c r="BD138" s="29" t="s">
        <v>1611</v>
      </c>
      <c r="BE138" s="29" t="s">
        <v>2502</v>
      </c>
      <c r="BF138" s="29" t="s">
        <v>2503</v>
      </c>
      <c r="BG138" s="29" t="s">
        <v>2650</v>
      </c>
      <c r="BH138" s="29" t="s">
        <v>2651</v>
      </c>
      <c r="BI138" s="29" t="s">
        <v>94</v>
      </c>
      <c r="BJ138" s="29" t="s">
        <v>2630</v>
      </c>
      <c r="BK138" s="29" t="s">
        <v>160</v>
      </c>
      <c r="BL138" s="29" t="s">
        <v>2541</v>
      </c>
      <c r="BM138" s="29" t="s">
        <v>1611</v>
      </c>
      <c r="BN138" s="29" t="s">
        <v>1611</v>
      </c>
      <c r="BO138" s="29" t="s">
        <v>1611</v>
      </c>
      <c r="BP138" s="29" t="s">
        <v>1611</v>
      </c>
      <c r="BQ138" s="29" t="s">
        <v>1611</v>
      </c>
      <c r="BR138" s="29" t="s">
        <v>1611</v>
      </c>
      <c r="BS138" s="29" t="s">
        <v>1611</v>
      </c>
      <c r="BT138" s="29" t="s">
        <v>1611</v>
      </c>
      <c r="BU138" s="29" t="s">
        <v>2750</v>
      </c>
      <c r="BV138" s="29" t="s">
        <v>2751</v>
      </c>
      <c r="BW138" s="29" t="s">
        <v>1611</v>
      </c>
      <c r="BX138" s="29" t="s">
        <v>1611</v>
      </c>
      <c r="BY138" s="29" t="s">
        <v>1611</v>
      </c>
      <c r="BZ138" s="29" t="s">
        <v>1611</v>
      </c>
      <c r="CA138" s="29" t="s">
        <v>1611</v>
      </c>
      <c r="CB138" s="29" t="s">
        <v>1611</v>
      </c>
      <c r="CC138" s="29" t="s">
        <v>1611</v>
      </c>
      <c r="CD138" s="29" t="s">
        <v>1611</v>
      </c>
      <c r="CE138" s="29" t="s">
        <v>1611</v>
      </c>
      <c r="CF138" s="29" t="s">
        <v>1611</v>
      </c>
      <c r="CG138" s="29" t="s">
        <v>1760</v>
      </c>
      <c r="CH138" s="29" t="s">
        <v>1878</v>
      </c>
      <c r="CI138" s="29" t="s">
        <v>1611</v>
      </c>
      <c r="CJ138" s="29" t="s">
        <v>1611</v>
      </c>
      <c r="CK138" s="29" t="s">
        <v>1611</v>
      </c>
      <c r="CL138" s="29" t="s">
        <v>1611</v>
      </c>
      <c r="CM138" s="29" t="s">
        <v>1611</v>
      </c>
      <c r="CN138" s="29" t="s">
        <v>1611</v>
      </c>
      <c r="CO138" s="29" t="s">
        <v>1611</v>
      </c>
      <c r="CP138" s="29" t="s">
        <v>1611</v>
      </c>
      <c r="CQ138" s="29" t="s">
        <v>1611</v>
      </c>
      <c r="CR138" s="29" t="s">
        <v>1611</v>
      </c>
      <c r="CS138" s="29" t="s">
        <v>1611</v>
      </c>
      <c r="CT138" s="29" t="s">
        <v>1611</v>
      </c>
      <c r="CU138" s="29" t="s">
        <v>1611</v>
      </c>
      <c r="CV138" s="29" t="s">
        <v>1611</v>
      </c>
      <c r="CW138" s="29"/>
      <c r="CX138" s="29"/>
      <c r="CY138" s="151"/>
      <c r="CZ138" t="e">
        <v>#N/A</v>
      </c>
      <c r="DA138" t="e">
        <v>#N/A</v>
      </c>
      <c r="DD138" s="96" t="str">
        <f t="shared" si="2"/>
        <v>V</v>
      </c>
    </row>
    <row r="139" spans="1:110" ht="16.5" customHeight="1" x14ac:dyDescent="0.3">
      <c r="C139" s="105">
        <v>1683199</v>
      </c>
      <c r="D139" s="27">
        <v>133</v>
      </c>
      <c r="E139" s="28" t="s">
        <v>843</v>
      </c>
      <c r="F139" s="28">
        <v>1001068951</v>
      </c>
      <c r="G139" s="29" t="s">
        <v>1068</v>
      </c>
      <c r="H139" s="28">
        <v>1683199</v>
      </c>
      <c r="I139" s="29" t="s">
        <v>1069</v>
      </c>
      <c r="J139" s="28" t="s">
        <v>659</v>
      </c>
      <c r="K139" s="7"/>
      <c r="L139" s="104" t="s">
        <v>735</v>
      </c>
      <c r="M139" s="29" t="s">
        <v>2294</v>
      </c>
      <c r="N139" s="29" t="s">
        <v>2295</v>
      </c>
      <c r="O139" s="127">
        <v>6010155</v>
      </c>
      <c r="P139" s="113" t="s">
        <v>2296</v>
      </c>
      <c r="Q139" s="28" t="s">
        <v>612</v>
      </c>
      <c r="R139" s="28" t="s">
        <v>1301</v>
      </c>
      <c r="S139" s="28" t="s">
        <v>1301</v>
      </c>
      <c r="T139" s="28" t="s">
        <v>1329</v>
      </c>
      <c r="U139" s="28" t="s">
        <v>612</v>
      </c>
      <c r="V139" s="28" t="s">
        <v>1301</v>
      </c>
      <c r="W139" s="28" t="s">
        <v>1301</v>
      </c>
      <c r="X139" s="28" t="s">
        <v>1301</v>
      </c>
      <c r="Y139" s="28" t="s">
        <v>1301</v>
      </c>
      <c r="Z139" s="28" t="s">
        <v>1301</v>
      </c>
      <c r="AA139" s="28" t="s">
        <v>1301</v>
      </c>
      <c r="AB139" s="104" t="s">
        <v>1949</v>
      </c>
      <c r="AC139" s="104" t="s">
        <v>1549</v>
      </c>
      <c r="AD139" s="9" t="s">
        <v>1269</v>
      </c>
      <c r="AE139" s="9"/>
      <c r="AF139" s="9"/>
      <c r="AG139" s="34"/>
      <c r="AH139" s="9"/>
      <c r="AI139" s="9"/>
      <c r="AJ139" s="9"/>
      <c r="AK139" s="45"/>
      <c r="AL139" s="45" t="s">
        <v>2278</v>
      </c>
      <c r="AM139" s="45" t="s">
        <v>46</v>
      </c>
      <c r="AN139" s="45" t="s">
        <v>46</v>
      </c>
      <c r="AO139" s="45" t="s">
        <v>46</v>
      </c>
      <c r="AP139" s="45" t="s">
        <v>46</v>
      </c>
      <c r="AQ139" s="45" t="s">
        <v>46</v>
      </c>
      <c r="AR139" s="45" t="s">
        <v>46</v>
      </c>
      <c r="AS139" s="45" t="s">
        <v>46</v>
      </c>
      <c r="AT139" s="45"/>
      <c r="AU139" s="45"/>
      <c r="AV139" s="45"/>
      <c r="AW139" s="45" t="s">
        <v>46</v>
      </c>
      <c r="AX139" s="45" t="s">
        <v>46</v>
      </c>
      <c r="AY139" s="45" t="s">
        <v>46</v>
      </c>
      <c r="AZ139" s="9" t="s">
        <v>46</v>
      </c>
      <c r="BA139" s="10" t="s">
        <v>1611</v>
      </c>
      <c r="BB139" s="29" t="s">
        <v>1611</v>
      </c>
      <c r="BC139" s="29" t="s">
        <v>1611</v>
      </c>
      <c r="BD139" s="29" t="s">
        <v>1611</v>
      </c>
      <c r="BE139" s="29" t="s">
        <v>1611</v>
      </c>
      <c r="BF139" s="29" t="s">
        <v>1611</v>
      </c>
      <c r="BG139" s="29" t="s">
        <v>1611</v>
      </c>
      <c r="BH139" s="29" t="s">
        <v>1611</v>
      </c>
      <c r="BI139" s="29" t="s">
        <v>217</v>
      </c>
      <c r="BJ139" s="29" t="s">
        <v>2606</v>
      </c>
      <c r="BK139" s="29" t="s">
        <v>370</v>
      </c>
      <c r="BL139" s="29" t="s">
        <v>2893</v>
      </c>
      <c r="BM139" s="29" t="s">
        <v>1611</v>
      </c>
      <c r="BN139" s="29" t="s">
        <v>1611</v>
      </c>
      <c r="BO139" s="29" t="s">
        <v>1611</v>
      </c>
      <c r="BP139" s="29" t="s">
        <v>1611</v>
      </c>
      <c r="BQ139" s="29" t="s">
        <v>1611</v>
      </c>
      <c r="BR139" s="29" t="s">
        <v>1611</v>
      </c>
      <c r="BS139" s="29" t="s">
        <v>1611</v>
      </c>
      <c r="BT139" s="29" t="s">
        <v>1611</v>
      </c>
      <c r="BU139" s="29" t="s">
        <v>371</v>
      </c>
      <c r="BV139" s="29" t="s">
        <v>2607</v>
      </c>
      <c r="BW139" s="29" t="s">
        <v>1611</v>
      </c>
      <c r="BX139" s="29" t="s">
        <v>1611</v>
      </c>
      <c r="BY139" s="29" t="s">
        <v>1611</v>
      </c>
      <c r="BZ139" s="29" t="s">
        <v>1611</v>
      </c>
      <c r="CA139" s="29" t="s">
        <v>1611</v>
      </c>
      <c r="CB139" s="29" t="s">
        <v>1611</v>
      </c>
      <c r="CC139" s="29" t="s">
        <v>1611</v>
      </c>
      <c r="CD139" s="29" t="s">
        <v>1611</v>
      </c>
      <c r="CE139" s="29" t="s">
        <v>1611</v>
      </c>
      <c r="CF139" s="29" t="s">
        <v>1611</v>
      </c>
      <c r="CG139" s="29" t="s">
        <v>1761</v>
      </c>
      <c r="CH139" s="29" t="s">
        <v>1879</v>
      </c>
      <c r="CI139" s="29" t="s">
        <v>1611</v>
      </c>
      <c r="CJ139" s="29" t="s">
        <v>1611</v>
      </c>
      <c r="CK139" s="29" t="s">
        <v>2894</v>
      </c>
      <c r="CL139" s="29" t="s">
        <v>2895</v>
      </c>
      <c r="CM139" s="29" t="s">
        <v>2896</v>
      </c>
      <c r="CN139" s="29" t="s">
        <v>3048</v>
      </c>
      <c r="CO139" s="29" t="s">
        <v>1611</v>
      </c>
      <c r="CP139" s="29" t="s">
        <v>1611</v>
      </c>
      <c r="CQ139" s="29" t="s">
        <v>1611</v>
      </c>
      <c r="CR139" s="29" t="s">
        <v>1611</v>
      </c>
      <c r="CS139" s="29" t="s">
        <v>1611</v>
      </c>
      <c r="CT139" s="29" t="s">
        <v>1611</v>
      </c>
      <c r="CU139" s="29" t="s">
        <v>1611</v>
      </c>
      <c r="CV139" s="29" t="s">
        <v>1611</v>
      </c>
      <c r="CW139" s="29"/>
      <c r="CX139" s="29"/>
      <c r="CY139" s="151"/>
      <c r="CZ139" t="s">
        <v>3291</v>
      </c>
      <c r="DA139" t="s">
        <v>3634</v>
      </c>
      <c r="DD139" s="96" t="str">
        <f t="shared" si="2"/>
        <v/>
      </c>
      <c r="DF139" s="96" t="s">
        <v>3753</v>
      </c>
    </row>
    <row r="140" spans="1:110" ht="16.5" customHeight="1" x14ac:dyDescent="0.3">
      <c r="C140" s="105">
        <v>1683385</v>
      </c>
      <c r="D140" s="27">
        <v>134</v>
      </c>
      <c r="E140" s="28" t="s">
        <v>792</v>
      </c>
      <c r="F140" s="28">
        <v>1001042011</v>
      </c>
      <c r="G140" s="29" t="s">
        <v>2270</v>
      </c>
      <c r="H140" s="28">
        <v>1683385</v>
      </c>
      <c r="I140" s="29" t="s">
        <v>1070</v>
      </c>
      <c r="J140" s="28" t="s">
        <v>854</v>
      </c>
      <c r="K140" s="7"/>
      <c r="L140" s="104" t="s">
        <v>688</v>
      </c>
      <c r="M140" s="29" t="s">
        <v>2300</v>
      </c>
      <c r="N140" s="29" t="s">
        <v>2301</v>
      </c>
      <c r="O140" s="127">
        <v>284027</v>
      </c>
      <c r="P140" s="113" t="s">
        <v>1317</v>
      </c>
      <c r="Q140" s="28" t="s">
        <v>612</v>
      </c>
      <c r="R140" s="28" t="s">
        <v>1301</v>
      </c>
      <c r="S140" s="28" t="s">
        <v>1301</v>
      </c>
      <c r="T140" s="28" t="s">
        <v>1301</v>
      </c>
      <c r="U140" s="28" t="s">
        <v>1301</v>
      </c>
      <c r="V140" s="28" t="s">
        <v>1301</v>
      </c>
      <c r="W140" s="28" t="s">
        <v>1301</v>
      </c>
      <c r="X140" s="28" t="s">
        <v>1301</v>
      </c>
      <c r="Y140" s="28" t="s">
        <v>1301</v>
      </c>
      <c r="Z140" s="28" t="s">
        <v>1301</v>
      </c>
      <c r="AA140" s="28" t="s">
        <v>1301</v>
      </c>
      <c r="AB140" s="104" t="s">
        <v>2269</v>
      </c>
      <c r="AC140" s="104" t="s">
        <v>1551</v>
      </c>
      <c r="AD140" s="9" t="s">
        <v>1269</v>
      </c>
      <c r="AE140" s="9"/>
      <c r="AF140" s="9"/>
      <c r="AG140" s="34"/>
      <c r="AH140" s="9"/>
      <c r="AI140" s="9" t="s">
        <v>1638</v>
      </c>
      <c r="AJ140" s="9"/>
      <c r="AK140" s="45"/>
      <c r="AL140" s="45" t="s">
        <v>1638</v>
      </c>
      <c r="AM140" s="45" t="s">
        <v>1638</v>
      </c>
      <c r="AN140" s="45" t="s">
        <v>46</v>
      </c>
      <c r="AO140" s="45" t="s">
        <v>46</v>
      </c>
      <c r="AP140" s="45" t="s">
        <v>46</v>
      </c>
      <c r="AQ140" s="45" t="s">
        <v>46</v>
      </c>
      <c r="AR140" s="45" t="s">
        <v>46</v>
      </c>
      <c r="AS140" s="45" t="s">
        <v>46</v>
      </c>
      <c r="AT140" s="45"/>
      <c r="AU140" s="45"/>
      <c r="AV140" s="45"/>
      <c r="AW140" s="9"/>
      <c r="AX140" s="9"/>
      <c r="AY140" s="9"/>
      <c r="AZ140" s="9"/>
      <c r="BA140" s="10" t="s">
        <v>147</v>
      </c>
      <c r="BB140" s="29" t="s">
        <v>2695</v>
      </c>
      <c r="BC140" s="29" t="s">
        <v>1611</v>
      </c>
      <c r="BD140" s="29" t="s">
        <v>1611</v>
      </c>
      <c r="BE140" s="29" t="s">
        <v>2502</v>
      </c>
      <c r="BF140" s="29" t="s">
        <v>2503</v>
      </c>
      <c r="BG140" s="29" t="s">
        <v>2599</v>
      </c>
      <c r="BH140" s="29" t="s">
        <v>2600</v>
      </c>
      <c r="BI140" s="29" t="s">
        <v>2638</v>
      </c>
      <c r="BJ140" s="29" t="s">
        <v>2639</v>
      </c>
      <c r="BK140" s="29" t="s">
        <v>191</v>
      </c>
      <c r="BL140" s="29" t="s">
        <v>2685</v>
      </c>
      <c r="BM140" s="29" t="s">
        <v>1611</v>
      </c>
      <c r="BN140" s="29" t="s">
        <v>1611</v>
      </c>
      <c r="BO140" s="29" t="s">
        <v>1611</v>
      </c>
      <c r="BP140" s="29" t="s">
        <v>1611</v>
      </c>
      <c r="BQ140" s="29" t="s">
        <v>1611</v>
      </c>
      <c r="BR140" s="29" t="s">
        <v>1611</v>
      </c>
      <c r="BS140" s="29" t="s">
        <v>1611</v>
      </c>
      <c r="BT140" s="29" t="s">
        <v>1611</v>
      </c>
      <c r="BU140" s="29" t="s">
        <v>2374</v>
      </c>
      <c r="BV140" s="29" t="s">
        <v>2418</v>
      </c>
      <c r="BW140" s="29" t="s">
        <v>1611</v>
      </c>
      <c r="BX140" s="29" t="s">
        <v>1611</v>
      </c>
      <c r="BY140" s="29" t="s">
        <v>1611</v>
      </c>
      <c r="BZ140" s="29" t="s">
        <v>1611</v>
      </c>
      <c r="CA140" s="29" t="s">
        <v>1611</v>
      </c>
      <c r="CB140" s="29" t="s">
        <v>1611</v>
      </c>
      <c r="CC140" s="29" t="s">
        <v>1611</v>
      </c>
      <c r="CD140" s="29" t="s">
        <v>1611</v>
      </c>
      <c r="CE140" s="29" t="s">
        <v>1611</v>
      </c>
      <c r="CF140" s="29" t="s">
        <v>1611</v>
      </c>
      <c r="CG140" s="29" t="s">
        <v>2897</v>
      </c>
      <c r="CH140" s="29" t="s">
        <v>2898</v>
      </c>
      <c r="CI140" s="29" t="s">
        <v>1611</v>
      </c>
      <c r="CJ140" s="29" t="s">
        <v>1611</v>
      </c>
      <c r="CK140" s="29" t="s">
        <v>2899</v>
      </c>
      <c r="CL140" s="29" t="s">
        <v>2900</v>
      </c>
      <c r="CM140" s="29" t="s">
        <v>2901</v>
      </c>
      <c r="CN140" s="29" t="s">
        <v>2902</v>
      </c>
      <c r="CO140" s="29" t="s">
        <v>1611</v>
      </c>
      <c r="CP140" s="29" t="s">
        <v>1611</v>
      </c>
      <c r="CQ140" s="29" t="s">
        <v>1611</v>
      </c>
      <c r="CR140" s="29" t="s">
        <v>1611</v>
      </c>
      <c r="CS140" s="29" t="s">
        <v>1611</v>
      </c>
      <c r="CT140" s="29" t="s">
        <v>1611</v>
      </c>
      <c r="CU140" s="29" t="s">
        <v>1611</v>
      </c>
      <c r="CV140" s="29" t="s">
        <v>1611</v>
      </c>
      <c r="CW140" s="29"/>
      <c r="CX140" s="29"/>
      <c r="CY140" s="151"/>
      <c r="CZ140" t="s">
        <v>3292</v>
      </c>
      <c r="DA140" t="s">
        <v>3634</v>
      </c>
      <c r="DD140" s="96" t="str">
        <f t="shared" si="2"/>
        <v/>
      </c>
      <c r="DF140" s="96" t="s">
        <v>3753</v>
      </c>
    </row>
    <row r="141" spans="1:110" ht="16.5" customHeight="1" x14ac:dyDescent="0.3">
      <c r="A141" t="s">
        <v>3798</v>
      </c>
      <c r="B141" t="s">
        <v>3778</v>
      </c>
      <c r="C141" s="105">
        <v>1683698</v>
      </c>
      <c r="D141" s="27">
        <v>135</v>
      </c>
      <c r="E141" s="28" t="s">
        <v>843</v>
      </c>
      <c r="F141" s="28">
        <v>1000711607</v>
      </c>
      <c r="G141" s="29" t="s">
        <v>1071</v>
      </c>
      <c r="H141" s="28">
        <v>1683698</v>
      </c>
      <c r="I141" s="29" t="s">
        <v>1072</v>
      </c>
      <c r="J141" s="28" t="s">
        <v>854</v>
      </c>
      <c r="K141" s="7"/>
      <c r="L141" s="104" t="s">
        <v>3814</v>
      </c>
      <c r="M141" s="29" t="s">
        <v>3815</v>
      </c>
      <c r="N141" s="29" t="s">
        <v>3816</v>
      </c>
      <c r="O141" s="127">
        <v>75337</v>
      </c>
      <c r="P141" s="113" t="s">
        <v>1317</v>
      </c>
      <c r="Q141" s="113" t="s">
        <v>612</v>
      </c>
      <c r="R141" s="28" t="s">
        <v>1301</v>
      </c>
      <c r="S141" s="28" t="s">
        <v>1301</v>
      </c>
      <c r="T141" s="28" t="s">
        <v>1301</v>
      </c>
      <c r="U141" s="28" t="s">
        <v>1301</v>
      </c>
      <c r="V141" s="28" t="s">
        <v>1301</v>
      </c>
      <c r="W141" s="28" t="s">
        <v>1301</v>
      </c>
      <c r="X141" s="28" t="s">
        <v>1301</v>
      </c>
      <c r="Y141" s="28" t="s">
        <v>1301</v>
      </c>
      <c r="Z141" s="28" t="s">
        <v>1301</v>
      </c>
      <c r="AA141" s="28" t="s">
        <v>1301</v>
      </c>
      <c r="AB141" s="104" t="s">
        <v>663</v>
      </c>
      <c r="AC141" s="104" t="s">
        <v>1340</v>
      </c>
      <c r="AD141" s="9" t="s">
        <v>1269</v>
      </c>
      <c r="AE141" s="39"/>
      <c r="AF141" s="9"/>
      <c r="AG141" s="108"/>
      <c r="AH141" s="9"/>
      <c r="AI141" s="9"/>
      <c r="AJ141" s="9"/>
      <c r="AK141" s="45" t="s">
        <v>46</v>
      </c>
      <c r="AL141" s="45" t="s">
        <v>2278</v>
      </c>
      <c r="AM141" s="45" t="s">
        <v>3800</v>
      </c>
      <c r="AN141" s="45" t="s">
        <v>3800</v>
      </c>
      <c r="AO141" s="45" t="s">
        <v>3800</v>
      </c>
      <c r="AP141" s="45" t="s">
        <v>3800</v>
      </c>
      <c r="AQ141" s="45" t="s">
        <v>3800</v>
      </c>
      <c r="AR141" s="45" t="s">
        <v>3800</v>
      </c>
      <c r="AS141" s="45" t="s">
        <v>3800</v>
      </c>
      <c r="AT141" s="45"/>
      <c r="AU141" s="45"/>
      <c r="AV141" s="45"/>
      <c r="AW141" s="9" t="s">
        <v>3800</v>
      </c>
      <c r="AX141" s="9" t="s">
        <v>3800</v>
      </c>
      <c r="AY141" s="9" t="s">
        <v>3800</v>
      </c>
      <c r="AZ141" s="9" t="s">
        <v>3800</v>
      </c>
      <c r="BA141" s="10" t="s">
        <v>51</v>
      </c>
      <c r="BB141" s="29" t="s">
        <v>2501</v>
      </c>
      <c r="BC141" s="29" t="s">
        <v>1611</v>
      </c>
      <c r="BD141" s="29" t="s">
        <v>1611</v>
      </c>
      <c r="BE141" s="29" t="s">
        <v>2502</v>
      </c>
      <c r="BF141" s="29" t="s">
        <v>2503</v>
      </c>
      <c r="BG141" s="29" t="s">
        <v>2569</v>
      </c>
      <c r="BH141" s="29" t="s">
        <v>2570</v>
      </c>
      <c r="BI141" s="29" t="s">
        <v>94</v>
      </c>
      <c r="BJ141" s="29" t="s">
        <v>2630</v>
      </c>
      <c r="BK141" s="29" t="s">
        <v>2723</v>
      </c>
      <c r="BL141" s="29" t="s">
        <v>2724</v>
      </c>
      <c r="BM141" s="29" t="s">
        <v>1611</v>
      </c>
      <c r="BN141" s="29" t="s">
        <v>1611</v>
      </c>
      <c r="BO141" s="29" t="s">
        <v>1611</v>
      </c>
      <c r="BP141" s="29" t="s">
        <v>1611</v>
      </c>
      <c r="BQ141" s="29" t="s">
        <v>1611</v>
      </c>
      <c r="BR141" s="29" t="s">
        <v>1611</v>
      </c>
      <c r="BS141" s="29" t="s">
        <v>1611</v>
      </c>
      <c r="BT141" s="29" t="s">
        <v>1611</v>
      </c>
      <c r="BU141" s="29" t="s">
        <v>1762</v>
      </c>
      <c r="BV141" s="29" t="s">
        <v>1880</v>
      </c>
      <c r="BW141" s="29" t="s">
        <v>1611</v>
      </c>
      <c r="BX141" s="29" t="s">
        <v>1611</v>
      </c>
      <c r="BY141" s="29" t="s">
        <v>1611</v>
      </c>
      <c r="BZ141" s="29" t="s">
        <v>1611</v>
      </c>
      <c r="CA141" s="29" t="s">
        <v>1611</v>
      </c>
      <c r="CB141" s="29" t="s">
        <v>1611</v>
      </c>
      <c r="CC141" s="29" t="s">
        <v>1611</v>
      </c>
      <c r="CD141" s="29" t="s">
        <v>1611</v>
      </c>
      <c r="CE141" s="29" t="s">
        <v>1611</v>
      </c>
      <c r="CF141" s="29" t="s">
        <v>1611</v>
      </c>
      <c r="CG141" s="29" t="s">
        <v>3811</v>
      </c>
      <c r="CH141" s="219" t="s">
        <v>3812</v>
      </c>
      <c r="CI141" s="29" t="s">
        <v>1611</v>
      </c>
      <c r="CJ141" s="29" t="s">
        <v>1611</v>
      </c>
      <c r="CK141" s="29" t="s">
        <v>3817</v>
      </c>
      <c r="CL141" s="219" t="s">
        <v>3820</v>
      </c>
      <c r="CM141" s="29" t="s">
        <v>3818</v>
      </c>
      <c r="CN141" s="219" t="s">
        <v>3821</v>
      </c>
      <c r="CO141" s="29" t="s">
        <v>3819</v>
      </c>
      <c r="CP141" s="219" t="s">
        <v>3822</v>
      </c>
      <c r="CQ141" s="29" t="s">
        <v>1611</v>
      </c>
      <c r="CR141" s="29" t="s">
        <v>1611</v>
      </c>
      <c r="CS141" s="29" t="s">
        <v>1611</v>
      </c>
      <c r="CT141" s="29" t="s">
        <v>1611</v>
      </c>
      <c r="CU141" s="29" t="s">
        <v>1611</v>
      </c>
      <c r="CV141" s="29" t="s">
        <v>1611</v>
      </c>
      <c r="CW141" s="29"/>
      <c r="CX141" s="29"/>
      <c r="CY141" s="151"/>
      <c r="CZ141" t="s">
        <v>3613</v>
      </c>
      <c r="DA141" t="s">
        <v>3634</v>
      </c>
      <c r="DC141" s="96" t="s">
        <v>3700</v>
      </c>
      <c r="DD141" s="96" t="str">
        <f t="shared" si="2"/>
        <v/>
      </c>
      <c r="DF141" s="96" t="s">
        <v>46</v>
      </c>
    </row>
    <row r="142" spans="1:110" ht="16.5" customHeight="1" x14ac:dyDescent="0.3">
      <c r="C142" s="105">
        <v>1684521</v>
      </c>
      <c r="D142" s="27">
        <v>136</v>
      </c>
      <c r="E142" s="28" t="s">
        <v>822</v>
      </c>
      <c r="F142" s="28">
        <v>1000957503</v>
      </c>
      <c r="G142" s="29" t="s">
        <v>1073</v>
      </c>
      <c r="H142" s="28">
        <v>1684521</v>
      </c>
      <c r="I142" s="29" t="s">
        <v>1074</v>
      </c>
      <c r="J142" s="28" t="s">
        <v>429</v>
      </c>
      <c r="K142" s="7"/>
      <c r="L142" s="104" t="s">
        <v>736</v>
      </c>
      <c r="M142" s="29"/>
      <c r="N142" s="29"/>
      <c r="O142" s="127"/>
      <c r="P142" s="28"/>
      <c r="Q142" s="28"/>
      <c r="R142" s="28"/>
      <c r="S142" s="28"/>
      <c r="T142" s="28"/>
      <c r="U142" s="28"/>
      <c r="V142" s="28"/>
      <c r="W142" s="28"/>
      <c r="X142" s="28"/>
      <c r="Y142" s="28"/>
      <c r="Z142" s="28"/>
      <c r="AA142" s="28"/>
      <c r="AB142" s="104"/>
      <c r="AC142" s="104"/>
      <c r="AD142" s="9" t="s">
        <v>1269</v>
      </c>
      <c r="AE142" s="39">
        <v>45960</v>
      </c>
      <c r="AF142" s="9" t="s">
        <v>1276</v>
      </c>
      <c r="AG142" s="34" t="s">
        <v>2485</v>
      </c>
      <c r="AH142" s="9"/>
      <c r="AI142" s="9"/>
      <c r="AJ142" s="9"/>
      <c r="AK142" s="45"/>
      <c r="AL142" s="45" t="s">
        <v>1611</v>
      </c>
      <c r="AM142" s="45"/>
      <c r="AN142" s="45"/>
      <c r="AO142" s="45"/>
      <c r="AP142" s="45"/>
      <c r="AQ142" s="45"/>
      <c r="AR142" s="45"/>
      <c r="AS142" s="45"/>
      <c r="AT142" s="45"/>
      <c r="AU142" s="45"/>
      <c r="AV142" s="45"/>
      <c r="AW142" s="9"/>
      <c r="AX142" s="9"/>
      <c r="AY142" s="9"/>
      <c r="AZ142" s="9"/>
      <c r="BA142" s="10" t="s">
        <v>92</v>
      </c>
      <c r="BB142" s="29" t="s">
        <v>2628</v>
      </c>
      <c r="BC142" s="29" t="s">
        <v>1611</v>
      </c>
      <c r="BD142" s="29" t="s">
        <v>1611</v>
      </c>
      <c r="BE142" s="29" t="s">
        <v>2502</v>
      </c>
      <c r="BF142" s="29" t="s">
        <v>2503</v>
      </c>
      <c r="BG142" s="29" t="s">
        <v>2569</v>
      </c>
      <c r="BH142" s="29" t="s">
        <v>2570</v>
      </c>
      <c r="BI142" s="29" t="s">
        <v>292</v>
      </c>
      <c r="BJ142" s="29" t="s">
        <v>2646</v>
      </c>
      <c r="BK142" s="29" t="s">
        <v>148</v>
      </c>
      <c r="BL142" s="29" t="s">
        <v>2678</v>
      </c>
      <c r="BM142" s="29" t="s">
        <v>1611</v>
      </c>
      <c r="BN142" s="29" t="s">
        <v>1611</v>
      </c>
      <c r="BO142" s="29" t="s">
        <v>1611</v>
      </c>
      <c r="BP142" s="29" t="s">
        <v>1611</v>
      </c>
      <c r="BQ142" s="29" t="s">
        <v>1611</v>
      </c>
      <c r="BR142" s="29" t="s">
        <v>1611</v>
      </c>
      <c r="BS142" s="29" t="s">
        <v>1611</v>
      </c>
      <c r="BT142" s="29" t="s">
        <v>1611</v>
      </c>
      <c r="BU142" s="29" t="s">
        <v>2380</v>
      </c>
      <c r="BV142" s="29" t="s">
        <v>2424</v>
      </c>
      <c r="BW142" s="29" t="s">
        <v>1611</v>
      </c>
      <c r="BX142" s="29" t="s">
        <v>1611</v>
      </c>
      <c r="BY142" s="29" t="s">
        <v>1611</v>
      </c>
      <c r="BZ142" s="29" t="s">
        <v>1611</v>
      </c>
      <c r="CA142" s="29" t="s">
        <v>1611</v>
      </c>
      <c r="CB142" s="29" t="s">
        <v>1611</v>
      </c>
      <c r="CC142" s="29" t="s">
        <v>1611</v>
      </c>
      <c r="CD142" s="29" t="s">
        <v>1611</v>
      </c>
      <c r="CE142" s="29" t="s">
        <v>1611</v>
      </c>
      <c r="CF142" s="29" t="s">
        <v>1611</v>
      </c>
      <c r="CG142" s="29" t="s">
        <v>1763</v>
      </c>
      <c r="CH142" s="29" t="s">
        <v>1881</v>
      </c>
      <c r="CI142" s="29" t="s">
        <v>1611</v>
      </c>
      <c r="CJ142" s="29" t="s">
        <v>1611</v>
      </c>
      <c r="CK142" s="29" t="s">
        <v>1611</v>
      </c>
      <c r="CL142" s="29" t="s">
        <v>1611</v>
      </c>
      <c r="CM142" s="29" t="s">
        <v>1611</v>
      </c>
      <c r="CN142" s="29" t="s">
        <v>1611</v>
      </c>
      <c r="CO142" s="29" t="s">
        <v>1611</v>
      </c>
      <c r="CP142" s="29" t="s">
        <v>1611</v>
      </c>
      <c r="CQ142" s="29" t="s">
        <v>1611</v>
      </c>
      <c r="CR142" s="29" t="s">
        <v>1611</v>
      </c>
      <c r="CS142" s="29" t="s">
        <v>1611</v>
      </c>
      <c r="CT142" s="29" t="s">
        <v>1611</v>
      </c>
      <c r="CU142" s="29" t="s">
        <v>1611</v>
      </c>
      <c r="CV142" s="29" t="s">
        <v>1611</v>
      </c>
      <c r="CW142" s="29"/>
      <c r="CX142" s="29"/>
      <c r="CY142" s="151"/>
      <c r="CZ142" t="e">
        <v>#N/A</v>
      </c>
      <c r="DA142" t="e">
        <v>#N/A</v>
      </c>
      <c r="DD142" s="96" t="str">
        <f t="shared" si="2"/>
        <v>V</v>
      </c>
    </row>
    <row r="143" spans="1:110" ht="16.5" customHeight="1" x14ac:dyDescent="0.3">
      <c r="A143" t="s">
        <v>3762</v>
      </c>
      <c r="B143" t="s">
        <v>3778</v>
      </c>
      <c r="C143" s="105">
        <v>1666297</v>
      </c>
      <c r="D143" s="27">
        <v>137</v>
      </c>
      <c r="E143" s="28" t="s">
        <v>792</v>
      </c>
      <c r="F143" s="28">
        <v>1000317156</v>
      </c>
      <c r="G143" s="29" t="s">
        <v>1076</v>
      </c>
      <c r="H143" s="28">
        <v>1666297</v>
      </c>
      <c r="I143" s="29" t="s">
        <v>1077</v>
      </c>
      <c r="J143" s="28" t="s">
        <v>429</v>
      </c>
      <c r="K143" s="7"/>
      <c r="L143" s="104" t="s">
        <v>50</v>
      </c>
      <c r="M143" s="29" t="s">
        <v>206</v>
      </c>
      <c r="N143" s="29" t="s">
        <v>2272</v>
      </c>
      <c r="O143" s="127">
        <v>281340</v>
      </c>
      <c r="P143" s="28" t="s">
        <v>1301</v>
      </c>
      <c r="Q143" s="28" t="s">
        <v>1301</v>
      </c>
      <c r="R143" s="28" t="s">
        <v>1301</v>
      </c>
      <c r="S143" s="28" t="s">
        <v>1301</v>
      </c>
      <c r="T143" s="28" t="s">
        <v>1329</v>
      </c>
      <c r="U143" s="28" t="s">
        <v>612</v>
      </c>
      <c r="V143" s="28" t="s">
        <v>1301</v>
      </c>
      <c r="W143" s="28" t="s">
        <v>1301</v>
      </c>
      <c r="X143" s="28" t="s">
        <v>1301</v>
      </c>
      <c r="Y143" s="28" t="s">
        <v>1301</v>
      </c>
      <c r="Z143" s="28" t="s">
        <v>1301</v>
      </c>
      <c r="AA143" s="28" t="s">
        <v>1301</v>
      </c>
      <c r="AB143" s="104" t="s">
        <v>663</v>
      </c>
      <c r="AC143" s="104" t="s">
        <v>1340</v>
      </c>
      <c r="AD143" s="9" t="s">
        <v>1269</v>
      </c>
      <c r="AE143" s="9"/>
      <c r="AF143" s="9"/>
      <c r="AG143" s="34"/>
      <c r="AH143" s="9"/>
      <c r="AI143" s="9"/>
      <c r="AJ143" s="45" t="s">
        <v>46</v>
      </c>
      <c r="AK143" s="45"/>
      <c r="AL143" s="45" t="s">
        <v>3059</v>
      </c>
      <c r="AM143" s="45" t="s">
        <v>46</v>
      </c>
      <c r="AN143" s="45" t="s">
        <v>46</v>
      </c>
      <c r="AO143" s="45" t="s">
        <v>46</v>
      </c>
      <c r="AP143" s="45" t="s">
        <v>46</v>
      </c>
      <c r="AQ143" s="45" t="s">
        <v>46</v>
      </c>
      <c r="AR143" s="45" t="s">
        <v>46</v>
      </c>
      <c r="AS143" s="45"/>
      <c r="AT143" s="45"/>
      <c r="AU143" s="45"/>
      <c r="AV143" s="45"/>
      <c r="AW143" s="9" t="s">
        <v>461</v>
      </c>
      <c r="AX143" s="9" t="s">
        <v>461</v>
      </c>
      <c r="AY143" s="9" t="s">
        <v>461</v>
      </c>
      <c r="AZ143" s="9" t="s">
        <v>461</v>
      </c>
      <c r="BA143" s="10" t="s">
        <v>92</v>
      </c>
      <c r="BB143" s="29" t="s">
        <v>2628</v>
      </c>
      <c r="BC143" s="29" t="s">
        <v>1611</v>
      </c>
      <c r="BD143" s="29" t="s">
        <v>1611</v>
      </c>
      <c r="BE143" s="29" t="s">
        <v>2514</v>
      </c>
      <c r="BF143" s="29" t="s">
        <v>2515</v>
      </c>
      <c r="BG143" s="29" t="s">
        <v>40</v>
      </c>
      <c r="BH143" s="29" t="s">
        <v>2572</v>
      </c>
      <c r="BI143" s="29" t="s">
        <v>355</v>
      </c>
      <c r="BJ143" s="29" t="s">
        <v>2551</v>
      </c>
      <c r="BK143" s="29" t="s">
        <v>408</v>
      </c>
      <c r="BL143" s="29" t="s">
        <v>2601</v>
      </c>
      <c r="BM143" s="29" t="s">
        <v>1611</v>
      </c>
      <c r="BN143" s="29" t="s">
        <v>1611</v>
      </c>
      <c r="BO143" s="29" t="s">
        <v>1611</v>
      </c>
      <c r="BP143" s="29" t="s">
        <v>1611</v>
      </c>
      <c r="BQ143" s="29" t="s">
        <v>1611</v>
      </c>
      <c r="BR143" s="29" t="s">
        <v>1611</v>
      </c>
      <c r="BS143" s="29" t="s">
        <v>1611</v>
      </c>
      <c r="BT143" s="29" t="s">
        <v>1611</v>
      </c>
      <c r="BU143" s="29" t="s">
        <v>2381</v>
      </c>
      <c r="BV143" s="29" t="s">
        <v>3810</v>
      </c>
      <c r="BW143" s="29" t="s">
        <v>1611</v>
      </c>
      <c r="BX143" s="29" t="s">
        <v>1611</v>
      </c>
      <c r="BY143" s="29" t="s">
        <v>1611</v>
      </c>
      <c r="BZ143" s="29" t="s">
        <v>1611</v>
      </c>
      <c r="CA143" s="29" t="s">
        <v>1611</v>
      </c>
      <c r="CB143" s="29" t="s">
        <v>1611</v>
      </c>
      <c r="CC143" s="29" t="s">
        <v>1611</v>
      </c>
      <c r="CD143" s="29" t="s">
        <v>1611</v>
      </c>
      <c r="CE143" s="29" t="s">
        <v>1611</v>
      </c>
      <c r="CF143" s="29" t="s">
        <v>1611</v>
      </c>
      <c r="CG143" s="29" t="s">
        <v>3722</v>
      </c>
      <c r="CH143" s="29" t="s">
        <v>1882</v>
      </c>
      <c r="CI143" s="29" t="s">
        <v>1611</v>
      </c>
      <c r="CJ143" s="29" t="s">
        <v>1611</v>
      </c>
      <c r="CK143" s="29" t="s">
        <v>3471</v>
      </c>
      <c r="CL143" s="29" t="s">
        <v>3473</v>
      </c>
      <c r="CM143" s="29" t="s">
        <v>1611</v>
      </c>
      <c r="CN143" s="29" t="s">
        <v>1611</v>
      </c>
      <c r="CO143" s="29" t="s">
        <v>1611</v>
      </c>
      <c r="CP143" s="29" t="s">
        <v>1611</v>
      </c>
      <c r="CQ143" s="29" t="s">
        <v>1611</v>
      </c>
      <c r="CR143" s="29" t="s">
        <v>1611</v>
      </c>
      <c r="CS143" s="29" t="s">
        <v>1611</v>
      </c>
      <c r="CT143" s="29" t="s">
        <v>1611</v>
      </c>
      <c r="CU143" s="29" t="s">
        <v>1611</v>
      </c>
      <c r="CV143" s="29" t="s">
        <v>1611</v>
      </c>
      <c r="CW143" s="29"/>
      <c r="CX143" s="29"/>
      <c r="CY143" s="151"/>
      <c r="CZ143" t="s">
        <v>3614</v>
      </c>
      <c r="DA143" t="s">
        <v>3634</v>
      </c>
      <c r="DD143" s="96" t="str">
        <f t="shared" si="2"/>
        <v/>
      </c>
      <c r="DF143" s="96" t="s">
        <v>3753</v>
      </c>
    </row>
    <row r="144" spans="1:110" ht="16.5" customHeight="1" x14ac:dyDescent="0.3">
      <c r="C144" s="105">
        <v>1684237</v>
      </c>
      <c r="D144" s="27">
        <v>138</v>
      </c>
      <c r="E144" s="28" t="s">
        <v>656</v>
      </c>
      <c r="F144" s="28">
        <v>1000317506</v>
      </c>
      <c r="G144" s="29" t="s">
        <v>1079</v>
      </c>
      <c r="H144" s="28">
        <v>1684237</v>
      </c>
      <c r="I144" s="29" t="s">
        <v>1080</v>
      </c>
      <c r="J144" s="28" t="s">
        <v>429</v>
      </c>
      <c r="K144" s="7"/>
      <c r="L144" s="104" t="s">
        <v>737</v>
      </c>
      <c r="M144" s="29"/>
      <c r="N144" s="29"/>
      <c r="O144" s="127"/>
      <c r="P144" s="28"/>
      <c r="Q144" s="28"/>
      <c r="R144" s="28"/>
      <c r="S144" s="28"/>
      <c r="T144" s="28"/>
      <c r="U144" s="28"/>
      <c r="V144" s="28"/>
      <c r="W144" s="28"/>
      <c r="X144" s="28"/>
      <c r="Y144" s="28"/>
      <c r="Z144" s="28"/>
      <c r="AA144" s="28"/>
      <c r="AB144" s="104"/>
      <c r="AC144" s="104"/>
      <c r="AD144" s="9" t="s">
        <v>1269</v>
      </c>
      <c r="AE144" s="39">
        <v>45894</v>
      </c>
      <c r="AF144" s="9" t="s">
        <v>1276</v>
      </c>
      <c r="AG144" s="34" t="s">
        <v>1639</v>
      </c>
      <c r="AH144" s="9"/>
      <c r="AI144" s="9"/>
      <c r="AJ144" s="9"/>
      <c r="AK144" s="45"/>
      <c r="AL144" s="45" t="s">
        <v>1611</v>
      </c>
      <c r="AM144" s="45"/>
      <c r="AN144" s="45"/>
      <c r="AO144" s="45"/>
      <c r="AP144" s="45"/>
      <c r="AQ144" s="45"/>
      <c r="AR144" s="45"/>
      <c r="AS144" s="45"/>
      <c r="AT144" s="45"/>
      <c r="AU144" s="45"/>
      <c r="AV144" s="45"/>
      <c r="AW144" s="9"/>
      <c r="AX144" s="9"/>
      <c r="AY144" s="9"/>
      <c r="AZ144" s="9"/>
      <c r="BA144" s="10" t="s">
        <v>158</v>
      </c>
      <c r="BB144" s="29" t="s">
        <v>2538</v>
      </c>
      <c r="BC144" s="29" t="s">
        <v>1611</v>
      </c>
      <c r="BD144" s="29" t="s">
        <v>1611</v>
      </c>
      <c r="BE144" s="29" t="s">
        <v>1611</v>
      </c>
      <c r="BF144" s="29" t="s">
        <v>1611</v>
      </c>
      <c r="BG144" s="29" t="s">
        <v>40</v>
      </c>
      <c r="BH144" s="29" t="s">
        <v>2572</v>
      </c>
      <c r="BI144" s="29" t="s">
        <v>160</v>
      </c>
      <c r="BJ144" s="29" t="s">
        <v>2541</v>
      </c>
      <c r="BK144" s="29" t="s">
        <v>2584</v>
      </c>
      <c r="BL144" s="29" t="s">
        <v>2876</v>
      </c>
      <c r="BM144" s="29" t="s">
        <v>1611</v>
      </c>
      <c r="BN144" s="29" t="s">
        <v>1611</v>
      </c>
      <c r="BO144" s="29" t="s">
        <v>1611</v>
      </c>
      <c r="BP144" s="29" t="s">
        <v>1611</v>
      </c>
      <c r="BQ144" s="29" t="s">
        <v>1611</v>
      </c>
      <c r="BR144" s="29" t="s">
        <v>1611</v>
      </c>
      <c r="BS144" s="29" t="s">
        <v>1611</v>
      </c>
      <c r="BT144" s="29" t="s">
        <v>1611</v>
      </c>
      <c r="BU144" s="29" t="s">
        <v>2383</v>
      </c>
      <c r="BV144" s="29" t="s">
        <v>2430</v>
      </c>
      <c r="BW144" s="29" t="s">
        <v>1611</v>
      </c>
      <c r="BX144" s="29" t="s">
        <v>1611</v>
      </c>
      <c r="BY144" s="29" t="s">
        <v>1611</v>
      </c>
      <c r="BZ144" s="29" t="s">
        <v>1611</v>
      </c>
      <c r="CA144" s="29" t="s">
        <v>1611</v>
      </c>
      <c r="CB144" s="29" t="s">
        <v>1611</v>
      </c>
      <c r="CC144" s="29" t="s">
        <v>1611</v>
      </c>
      <c r="CD144" s="29" t="s">
        <v>1611</v>
      </c>
      <c r="CE144" s="29" t="s">
        <v>1611</v>
      </c>
      <c r="CF144" s="29" t="s">
        <v>1611</v>
      </c>
      <c r="CG144" s="29" t="s">
        <v>2904</v>
      </c>
      <c r="CH144" s="29" t="s">
        <v>2905</v>
      </c>
      <c r="CI144" s="29" t="s">
        <v>1611</v>
      </c>
      <c r="CJ144" s="29" t="s">
        <v>1611</v>
      </c>
      <c r="CK144" s="29" t="s">
        <v>1611</v>
      </c>
      <c r="CL144" s="29" t="s">
        <v>1611</v>
      </c>
      <c r="CM144" s="29" t="s">
        <v>1611</v>
      </c>
      <c r="CN144" s="29" t="s">
        <v>1611</v>
      </c>
      <c r="CO144" s="29" t="s">
        <v>1611</v>
      </c>
      <c r="CP144" s="29" t="s">
        <v>1611</v>
      </c>
      <c r="CQ144" s="29" t="s">
        <v>1611</v>
      </c>
      <c r="CR144" s="29" t="s">
        <v>1611</v>
      </c>
      <c r="CS144" s="29" t="s">
        <v>1611</v>
      </c>
      <c r="CT144" s="29" t="s">
        <v>1611</v>
      </c>
      <c r="CU144" s="29" t="s">
        <v>1611</v>
      </c>
      <c r="CV144" s="29" t="s">
        <v>1611</v>
      </c>
      <c r="CW144" s="29"/>
      <c r="CX144" s="29"/>
      <c r="CY144" s="151"/>
      <c r="CZ144" t="e">
        <v>#N/A</v>
      </c>
      <c r="DA144" t="e">
        <v>#N/A</v>
      </c>
      <c r="DD144" s="96" t="str">
        <f t="shared" si="2"/>
        <v>V</v>
      </c>
    </row>
    <row r="145" spans="1:113" ht="16.5" customHeight="1" x14ac:dyDescent="0.3">
      <c r="C145" s="105">
        <v>1697449</v>
      </c>
      <c r="D145" s="27">
        <v>139</v>
      </c>
      <c r="E145" s="28" t="s">
        <v>843</v>
      </c>
      <c r="F145" s="28">
        <v>1001074664</v>
      </c>
      <c r="G145" s="29" t="s">
        <v>1082</v>
      </c>
      <c r="H145" s="28">
        <v>1697449</v>
      </c>
      <c r="I145" s="29" t="s">
        <v>1083</v>
      </c>
      <c r="J145" s="28" t="s">
        <v>659</v>
      </c>
      <c r="K145" s="7"/>
      <c r="L145" s="104" t="s">
        <v>738</v>
      </c>
      <c r="M145" s="29"/>
      <c r="N145" s="29"/>
      <c r="O145" s="127"/>
      <c r="P145" s="28"/>
      <c r="Q145" s="28"/>
      <c r="R145" s="28"/>
      <c r="S145" s="28"/>
      <c r="T145" s="28"/>
      <c r="U145" s="28"/>
      <c r="V145" s="28"/>
      <c r="W145" s="28"/>
      <c r="X145" s="28"/>
      <c r="Y145" s="28"/>
      <c r="Z145" s="28"/>
      <c r="AA145" s="28"/>
      <c r="AB145" s="104"/>
      <c r="AC145" s="28"/>
      <c r="AD145" s="9" t="s">
        <v>1269</v>
      </c>
      <c r="AE145" s="39">
        <v>45861</v>
      </c>
      <c r="AF145" s="9" t="s">
        <v>1276</v>
      </c>
      <c r="AG145" s="34" t="s">
        <v>1296</v>
      </c>
      <c r="AH145" s="9"/>
      <c r="AI145" s="9"/>
      <c r="AJ145" s="9"/>
      <c r="AK145" s="45"/>
      <c r="AL145" s="45" t="s">
        <v>1611</v>
      </c>
      <c r="AM145" s="45"/>
      <c r="AN145" s="45"/>
      <c r="AO145" s="45"/>
      <c r="AP145" s="45"/>
      <c r="AQ145" s="45"/>
      <c r="AR145" s="45"/>
      <c r="AS145" s="45"/>
      <c r="AT145" s="45"/>
      <c r="AU145" s="45"/>
      <c r="AV145" s="45"/>
      <c r="AW145" s="9"/>
      <c r="AX145" s="9"/>
      <c r="AY145" s="9"/>
      <c r="AZ145" s="9"/>
      <c r="BA145" s="10" t="s">
        <v>158</v>
      </c>
      <c r="BB145" s="29" t="s">
        <v>2538</v>
      </c>
      <c r="BC145" s="29" t="s">
        <v>1611</v>
      </c>
      <c r="BD145" s="29" t="s">
        <v>1611</v>
      </c>
      <c r="BE145" s="29" t="s">
        <v>1611</v>
      </c>
      <c r="BF145" s="29" t="s">
        <v>1611</v>
      </c>
      <c r="BG145" s="29" t="s">
        <v>40</v>
      </c>
      <c r="BH145" s="29" t="s">
        <v>2572</v>
      </c>
      <c r="BI145" s="29" t="s">
        <v>408</v>
      </c>
      <c r="BJ145" s="29" t="s">
        <v>2601</v>
      </c>
      <c r="BK145" s="29" t="s">
        <v>2641</v>
      </c>
      <c r="BL145" s="29" t="s">
        <v>2701</v>
      </c>
      <c r="BM145" s="29" t="s">
        <v>1611</v>
      </c>
      <c r="BN145" s="29" t="s">
        <v>1611</v>
      </c>
      <c r="BO145" s="29" t="s">
        <v>1611</v>
      </c>
      <c r="BP145" s="29" t="s">
        <v>1611</v>
      </c>
      <c r="BQ145" s="29" t="s">
        <v>1611</v>
      </c>
      <c r="BR145" s="29" t="s">
        <v>1611</v>
      </c>
      <c r="BS145" s="29" t="s">
        <v>1611</v>
      </c>
      <c r="BT145" s="29" t="s">
        <v>1611</v>
      </c>
      <c r="BU145" s="29" t="s">
        <v>2906</v>
      </c>
      <c r="BV145" s="29" t="s">
        <v>2907</v>
      </c>
      <c r="BW145" s="29" t="s">
        <v>1611</v>
      </c>
      <c r="BX145" s="29" t="s">
        <v>1611</v>
      </c>
      <c r="BY145" s="29" t="s">
        <v>1611</v>
      </c>
      <c r="BZ145" s="29" t="s">
        <v>1611</v>
      </c>
      <c r="CA145" s="29" t="s">
        <v>1611</v>
      </c>
      <c r="CB145" s="29" t="s">
        <v>1611</v>
      </c>
      <c r="CC145" s="29" t="s">
        <v>1611</v>
      </c>
      <c r="CD145" s="29" t="s">
        <v>1611</v>
      </c>
      <c r="CE145" s="29" t="s">
        <v>1611</v>
      </c>
      <c r="CF145" s="29" t="s">
        <v>1611</v>
      </c>
      <c r="CG145" s="29" t="s">
        <v>2908</v>
      </c>
      <c r="CH145" s="29" t="s">
        <v>2909</v>
      </c>
      <c r="CI145" s="29" t="s">
        <v>1611</v>
      </c>
      <c r="CJ145" s="29" t="s">
        <v>1611</v>
      </c>
      <c r="CK145" s="29" t="s">
        <v>1611</v>
      </c>
      <c r="CL145" s="29" t="s">
        <v>1611</v>
      </c>
      <c r="CM145" s="29" t="s">
        <v>1611</v>
      </c>
      <c r="CN145" s="29" t="s">
        <v>1611</v>
      </c>
      <c r="CO145" s="29" t="s">
        <v>1611</v>
      </c>
      <c r="CP145" s="29" t="s">
        <v>1611</v>
      </c>
      <c r="CQ145" s="29" t="s">
        <v>1611</v>
      </c>
      <c r="CR145" s="29" t="s">
        <v>1611</v>
      </c>
      <c r="CS145" s="29" t="s">
        <v>1611</v>
      </c>
      <c r="CT145" s="29" t="s">
        <v>1611</v>
      </c>
      <c r="CU145" s="29" t="s">
        <v>1611</v>
      </c>
      <c r="CV145" s="29" t="s">
        <v>1611</v>
      </c>
      <c r="CW145" s="29"/>
      <c r="CX145" s="29"/>
      <c r="CY145" s="151"/>
      <c r="CZ145" t="e">
        <v>#N/A</v>
      </c>
      <c r="DA145" t="e">
        <v>#N/A</v>
      </c>
      <c r="DD145" s="96" t="str">
        <f t="shared" si="2"/>
        <v>V</v>
      </c>
    </row>
    <row r="146" spans="1:113" ht="16.5" customHeight="1" x14ac:dyDescent="0.3">
      <c r="C146" s="105">
        <v>1662618</v>
      </c>
      <c r="D146" s="27">
        <v>140</v>
      </c>
      <c r="E146" s="28" t="s">
        <v>843</v>
      </c>
      <c r="F146" s="28">
        <v>1000316806</v>
      </c>
      <c r="G146" s="29" t="s">
        <v>1084</v>
      </c>
      <c r="H146" s="28">
        <v>1662618</v>
      </c>
      <c r="I146" s="29" t="s">
        <v>1085</v>
      </c>
      <c r="J146" s="28" t="s">
        <v>854</v>
      </c>
      <c r="K146" s="7"/>
      <c r="L146" s="104" t="s">
        <v>739</v>
      </c>
      <c r="M146" s="29"/>
      <c r="N146" s="29"/>
      <c r="O146" s="127"/>
      <c r="P146" s="28"/>
      <c r="Q146" s="28"/>
      <c r="R146" s="28"/>
      <c r="S146" s="28"/>
      <c r="T146" s="28"/>
      <c r="U146" s="28"/>
      <c r="V146" s="28"/>
      <c r="W146" s="28"/>
      <c r="X146" s="28"/>
      <c r="Y146" s="28"/>
      <c r="Z146" s="28"/>
      <c r="AA146" s="28"/>
      <c r="AB146" s="104"/>
      <c r="AC146" s="104"/>
      <c r="AD146" s="9" t="s">
        <v>1269</v>
      </c>
      <c r="AE146" s="39">
        <v>46062</v>
      </c>
      <c r="AF146" s="9" t="s">
        <v>1276</v>
      </c>
      <c r="AG146" s="108" t="s">
        <v>3775</v>
      </c>
      <c r="AH146" s="9"/>
      <c r="AI146" s="9"/>
      <c r="AJ146" s="9"/>
      <c r="AK146" s="45"/>
      <c r="AL146" s="45"/>
      <c r="AM146" s="45"/>
      <c r="AN146" s="45"/>
      <c r="AO146" s="45"/>
      <c r="AP146" s="45"/>
      <c r="AQ146" s="45"/>
      <c r="AR146" s="45"/>
      <c r="AS146" s="45"/>
      <c r="AT146" s="45"/>
      <c r="AU146" s="45"/>
      <c r="AV146" s="45"/>
      <c r="AW146" s="9"/>
      <c r="AX146" s="9"/>
      <c r="AY146" s="9"/>
      <c r="AZ146" s="9"/>
      <c r="BA146" s="10" t="s">
        <v>2497</v>
      </c>
      <c r="BB146" s="29" t="s">
        <v>2567</v>
      </c>
      <c r="BC146" s="29" t="s">
        <v>1611</v>
      </c>
      <c r="BD146" s="29" t="s">
        <v>1611</v>
      </c>
      <c r="BE146" s="29" t="s">
        <v>2514</v>
      </c>
      <c r="BF146" s="29" t="s">
        <v>2515</v>
      </c>
      <c r="BG146" s="29" t="s">
        <v>2599</v>
      </c>
      <c r="BH146" s="29" t="s">
        <v>2600</v>
      </c>
      <c r="BI146" s="29" t="s">
        <v>2577</v>
      </c>
      <c r="BJ146" s="29" t="s">
        <v>2578</v>
      </c>
      <c r="BK146" s="29" t="s">
        <v>2625</v>
      </c>
      <c r="BL146" s="29" t="s">
        <v>2626</v>
      </c>
      <c r="BM146" s="29" t="s">
        <v>1611</v>
      </c>
      <c r="BN146" s="29" t="s">
        <v>1611</v>
      </c>
      <c r="BO146" s="29" t="s">
        <v>1611</v>
      </c>
      <c r="BP146" s="29" t="s">
        <v>1611</v>
      </c>
      <c r="BQ146" s="29" t="s">
        <v>1611</v>
      </c>
      <c r="BR146" s="29" t="s">
        <v>1611</v>
      </c>
      <c r="BS146" s="29" t="s">
        <v>1611</v>
      </c>
      <c r="BT146" s="29" t="s">
        <v>1611</v>
      </c>
      <c r="BU146" s="29" t="s">
        <v>1703</v>
      </c>
      <c r="BV146" s="29" t="s">
        <v>1802</v>
      </c>
      <c r="BW146" s="29" t="s">
        <v>1611</v>
      </c>
      <c r="BX146" s="29" t="s">
        <v>1611</v>
      </c>
      <c r="BY146" s="29" t="s">
        <v>1611</v>
      </c>
      <c r="BZ146" s="29" t="s">
        <v>1611</v>
      </c>
      <c r="CA146" s="29" t="s">
        <v>1611</v>
      </c>
      <c r="CB146" s="29" t="s">
        <v>1611</v>
      </c>
      <c r="CC146" s="29" t="s">
        <v>1611</v>
      </c>
      <c r="CD146" s="29" t="s">
        <v>1611</v>
      </c>
      <c r="CE146" s="29" t="s">
        <v>1611</v>
      </c>
      <c r="CF146" s="29" t="s">
        <v>1611</v>
      </c>
      <c r="CG146" s="29" t="s">
        <v>1765</v>
      </c>
      <c r="CH146" s="29" t="s">
        <v>1883</v>
      </c>
      <c r="CI146" s="29" t="s">
        <v>1611</v>
      </c>
      <c r="CJ146" s="29" t="s">
        <v>1611</v>
      </c>
      <c r="CK146" s="29" t="s">
        <v>1611</v>
      </c>
      <c r="CL146" s="29" t="s">
        <v>1611</v>
      </c>
      <c r="CM146" s="29" t="s">
        <v>1611</v>
      </c>
      <c r="CN146" s="29" t="s">
        <v>1611</v>
      </c>
      <c r="CO146" s="29" t="s">
        <v>1611</v>
      </c>
      <c r="CP146" s="29" t="s">
        <v>1611</v>
      </c>
      <c r="CQ146" s="29" t="s">
        <v>1611</v>
      </c>
      <c r="CR146" s="29" t="s">
        <v>1611</v>
      </c>
      <c r="CS146" s="29" t="s">
        <v>1611</v>
      </c>
      <c r="CT146" s="29" t="s">
        <v>1611</v>
      </c>
      <c r="CU146" s="29" t="s">
        <v>1611</v>
      </c>
      <c r="CV146" s="29" t="s">
        <v>1611</v>
      </c>
      <c r="CW146" s="29"/>
      <c r="CX146" s="29"/>
      <c r="CY146" s="151"/>
      <c r="CZ146" t="e">
        <v>#N/A</v>
      </c>
      <c r="DA146" t="e">
        <v>#N/A</v>
      </c>
      <c r="DC146" s="96" t="s">
        <v>3700</v>
      </c>
      <c r="DD146" s="96" t="str">
        <f t="shared" si="2"/>
        <v>V</v>
      </c>
    </row>
    <row r="147" spans="1:113" ht="16.5" customHeight="1" x14ac:dyDescent="0.3">
      <c r="C147" s="105">
        <v>1669075</v>
      </c>
      <c r="D147" s="27">
        <v>141</v>
      </c>
      <c r="E147" s="28" t="s">
        <v>829</v>
      </c>
      <c r="F147" s="28">
        <v>1001170542</v>
      </c>
      <c r="G147" s="29" t="s">
        <v>1087</v>
      </c>
      <c r="H147" s="28">
        <v>1669075</v>
      </c>
      <c r="I147" s="29" t="s">
        <v>1088</v>
      </c>
      <c r="J147" s="28" t="s">
        <v>429</v>
      </c>
      <c r="K147" s="7"/>
      <c r="L147" s="104" t="s">
        <v>224</v>
      </c>
      <c r="M147" s="29"/>
      <c r="N147" s="29"/>
      <c r="O147" s="127"/>
      <c r="P147" s="28"/>
      <c r="Q147" s="28"/>
      <c r="R147" s="28"/>
      <c r="S147" s="28"/>
      <c r="T147" s="28"/>
      <c r="U147" s="28"/>
      <c r="V147" s="28"/>
      <c r="W147" s="28"/>
      <c r="X147" s="28"/>
      <c r="Y147" s="28"/>
      <c r="Z147" s="28"/>
      <c r="AA147" s="28"/>
      <c r="AB147" s="104"/>
      <c r="AC147" s="104"/>
      <c r="AD147" s="9" t="s">
        <v>1269</v>
      </c>
      <c r="AE147" s="39">
        <v>45972</v>
      </c>
      <c r="AF147" s="9" t="s">
        <v>1276</v>
      </c>
      <c r="AG147" s="34" t="s">
        <v>3084</v>
      </c>
      <c r="AH147" s="9"/>
      <c r="AI147" s="9"/>
      <c r="AJ147" s="9"/>
      <c r="AK147" s="45"/>
      <c r="AL147" s="45" t="s">
        <v>461</v>
      </c>
      <c r="AM147" s="45"/>
      <c r="AN147" s="45"/>
      <c r="AO147" s="45"/>
      <c r="AP147" s="45"/>
      <c r="AQ147" s="45"/>
      <c r="AR147" s="45"/>
      <c r="AS147" s="45"/>
      <c r="AT147" s="45"/>
      <c r="AU147" s="45"/>
      <c r="AV147" s="45"/>
      <c r="AW147" s="9"/>
      <c r="AX147" s="9"/>
      <c r="AY147" s="9"/>
      <c r="AZ147" s="9"/>
      <c r="BA147" s="10" t="s">
        <v>173</v>
      </c>
      <c r="BB147" s="29" t="s">
        <v>2717</v>
      </c>
      <c r="BC147" s="29" t="s">
        <v>1611</v>
      </c>
      <c r="BD147" s="29" t="s">
        <v>1611</v>
      </c>
      <c r="BE147" s="29" t="s">
        <v>2514</v>
      </c>
      <c r="BF147" s="29" t="s">
        <v>2515</v>
      </c>
      <c r="BG147" s="29" t="s">
        <v>40</v>
      </c>
      <c r="BH147" s="29" t="s">
        <v>2572</v>
      </c>
      <c r="BI147" s="29" t="s">
        <v>2723</v>
      </c>
      <c r="BJ147" s="29" t="s">
        <v>2724</v>
      </c>
      <c r="BK147" s="29" t="s">
        <v>311</v>
      </c>
      <c r="BL147" s="29" t="s">
        <v>2725</v>
      </c>
      <c r="BM147" s="29" t="s">
        <v>1611</v>
      </c>
      <c r="BN147" s="29" t="s">
        <v>1611</v>
      </c>
      <c r="BO147" s="29" t="s">
        <v>1611</v>
      </c>
      <c r="BP147" s="29" t="s">
        <v>1611</v>
      </c>
      <c r="BQ147" s="29" t="s">
        <v>1611</v>
      </c>
      <c r="BR147" s="29" t="s">
        <v>1611</v>
      </c>
      <c r="BS147" s="29" t="s">
        <v>1611</v>
      </c>
      <c r="BT147" s="29" t="s">
        <v>1611</v>
      </c>
      <c r="BU147" s="29" t="s">
        <v>312</v>
      </c>
      <c r="BV147" s="29" t="s">
        <v>2836</v>
      </c>
      <c r="BW147" s="29" t="s">
        <v>1611</v>
      </c>
      <c r="BX147" s="29" t="s">
        <v>1611</v>
      </c>
      <c r="BY147" s="29" t="s">
        <v>1611</v>
      </c>
      <c r="BZ147" s="29" t="s">
        <v>1611</v>
      </c>
      <c r="CA147" s="29" t="s">
        <v>1611</v>
      </c>
      <c r="CB147" s="29" t="s">
        <v>1611</v>
      </c>
      <c r="CC147" s="29" t="s">
        <v>1611</v>
      </c>
      <c r="CD147" s="29" t="s">
        <v>1611</v>
      </c>
      <c r="CE147" s="29" t="s">
        <v>1611</v>
      </c>
      <c r="CF147" s="29" t="s">
        <v>1611</v>
      </c>
      <c r="CG147" s="29" t="s">
        <v>2910</v>
      </c>
      <c r="CH147" s="29" t="s">
        <v>2911</v>
      </c>
      <c r="CI147" s="29" t="s">
        <v>1611</v>
      </c>
      <c r="CJ147" s="29" t="s">
        <v>1611</v>
      </c>
      <c r="CK147" s="29" t="s">
        <v>1611</v>
      </c>
      <c r="CL147" s="29" t="s">
        <v>1611</v>
      </c>
      <c r="CM147" s="29" t="s">
        <v>1611</v>
      </c>
      <c r="CN147" s="29" t="s">
        <v>1611</v>
      </c>
      <c r="CO147" s="29" t="s">
        <v>1611</v>
      </c>
      <c r="CP147" s="29" t="s">
        <v>1611</v>
      </c>
      <c r="CQ147" s="29" t="s">
        <v>1611</v>
      </c>
      <c r="CR147" s="29" t="s">
        <v>1611</v>
      </c>
      <c r="CS147" s="29" t="s">
        <v>1611</v>
      </c>
      <c r="CT147" s="29" t="s">
        <v>1611</v>
      </c>
      <c r="CU147" s="29" t="s">
        <v>1611</v>
      </c>
      <c r="CV147" s="29" t="s">
        <v>1611</v>
      </c>
      <c r="CW147" s="29"/>
      <c r="CX147" s="29"/>
      <c r="CY147" s="151"/>
      <c r="CZ147" t="s">
        <v>3730</v>
      </c>
      <c r="DA147" t="s">
        <v>3724</v>
      </c>
      <c r="DD147" s="96" t="str">
        <f t="shared" si="2"/>
        <v>V</v>
      </c>
    </row>
    <row r="148" spans="1:113" ht="16.5" customHeight="1" x14ac:dyDescent="0.3">
      <c r="C148" s="105">
        <v>1685777</v>
      </c>
      <c r="D148" s="27">
        <v>142</v>
      </c>
      <c r="E148" s="28" t="s">
        <v>786</v>
      </c>
      <c r="F148" s="28">
        <v>1000316408</v>
      </c>
      <c r="G148" s="29" t="s">
        <v>1089</v>
      </c>
      <c r="H148" s="28">
        <v>1685777</v>
      </c>
      <c r="I148" s="29" t="s">
        <v>1090</v>
      </c>
      <c r="J148" s="28" t="s">
        <v>429</v>
      </c>
      <c r="K148" s="7"/>
      <c r="L148" s="104" t="s">
        <v>740</v>
      </c>
      <c r="M148" s="29"/>
      <c r="N148" s="29"/>
      <c r="O148" s="127"/>
      <c r="P148" s="28"/>
      <c r="Q148" s="28"/>
      <c r="R148" s="28"/>
      <c r="S148" s="28"/>
      <c r="T148" s="28"/>
      <c r="U148" s="28"/>
      <c r="V148" s="28"/>
      <c r="W148" s="28"/>
      <c r="X148" s="28"/>
      <c r="Y148" s="28"/>
      <c r="Z148" s="28"/>
      <c r="AA148" s="28"/>
      <c r="AB148" s="104"/>
      <c r="AC148" s="104"/>
      <c r="AD148" s="9" t="s">
        <v>1269</v>
      </c>
      <c r="AE148" s="39">
        <v>45960</v>
      </c>
      <c r="AF148" s="9" t="s">
        <v>1276</v>
      </c>
      <c r="AG148" s="34" t="s">
        <v>2486</v>
      </c>
      <c r="AH148" s="9"/>
      <c r="AI148" s="9"/>
      <c r="AJ148" s="9"/>
      <c r="AK148" s="45"/>
      <c r="AL148" s="45" t="s">
        <v>1611</v>
      </c>
      <c r="AM148" s="45"/>
      <c r="AN148" s="45"/>
      <c r="AO148" s="45"/>
      <c r="AP148" s="45"/>
      <c r="AQ148" s="45"/>
      <c r="AR148" s="45"/>
      <c r="AS148" s="45"/>
      <c r="AT148" s="45"/>
      <c r="AU148" s="45"/>
      <c r="AV148" s="45"/>
      <c r="AW148" s="9"/>
      <c r="AX148" s="9"/>
      <c r="AY148" s="9"/>
      <c r="AZ148" s="9"/>
      <c r="BA148" s="10" t="s">
        <v>2496</v>
      </c>
      <c r="BB148" s="29" t="s">
        <v>2550</v>
      </c>
      <c r="BC148" s="29" t="s">
        <v>1611</v>
      </c>
      <c r="BD148" s="29" t="s">
        <v>1611</v>
      </c>
      <c r="BE148" s="29" t="s">
        <v>1611</v>
      </c>
      <c r="BF148" s="29" t="s">
        <v>1611</v>
      </c>
      <c r="BG148" s="29" t="s">
        <v>1611</v>
      </c>
      <c r="BH148" s="29" t="s">
        <v>1611</v>
      </c>
      <c r="BI148" s="29" t="s">
        <v>579</v>
      </c>
      <c r="BJ148" s="29" t="s">
        <v>2663</v>
      </c>
      <c r="BK148" s="29" t="s">
        <v>2709</v>
      </c>
      <c r="BL148" s="29" t="s">
        <v>2710</v>
      </c>
      <c r="BM148" s="29" t="s">
        <v>1611</v>
      </c>
      <c r="BN148" s="29" t="s">
        <v>1611</v>
      </c>
      <c r="BO148" s="29" t="s">
        <v>1611</v>
      </c>
      <c r="BP148" s="29" t="s">
        <v>1611</v>
      </c>
      <c r="BQ148" s="29" t="s">
        <v>1611</v>
      </c>
      <c r="BR148" s="29" t="s">
        <v>1611</v>
      </c>
      <c r="BS148" s="29" t="s">
        <v>1611</v>
      </c>
      <c r="BT148" s="29" t="s">
        <v>1611</v>
      </c>
      <c r="BU148" s="29" t="s">
        <v>209</v>
      </c>
      <c r="BV148" s="29" t="s">
        <v>2426</v>
      </c>
      <c r="BW148" s="29" t="s">
        <v>1611</v>
      </c>
      <c r="BX148" s="29" t="s">
        <v>1611</v>
      </c>
      <c r="BY148" s="29" t="s">
        <v>1611</v>
      </c>
      <c r="BZ148" s="29" t="s">
        <v>1611</v>
      </c>
      <c r="CA148" s="29" t="s">
        <v>1611</v>
      </c>
      <c r="CB148" s="29" t="s">
        <v>1611</v>
      </c>
      <c r="CC148" s="29" t="s">
        <v>1611</v>
      </c>
      <c r="CD148" s="29" t="s">
        <v>1611</v>
      </c>
      <c r="CE148" s="29" t="s">
        <v>1611</v>
      </c>
      <c r="CF148" s="29" t="s">
        <v>1611</v>
      </c>
      <c r="CG148" s="29" t="s">
        <v>1760</v>
      </c>
      <c r="CH148" s="29" t="s">
        <v>1878</v>
      </c>
      <c r="CI148" s="29" t="s">
        <v>1611</v>
      </c>
      <c r="CJ148" s="29" t="s">
        <v>1611</v>
      </c>
      <c r="CK148" s="29" t="s">
        <v>1611</v>
      </c>
      <c r="CL148" s="29" t="s">
        <v>1611</v>
      </c>
      <c r="CM148" s="29" t="s">
        <v>1611</v>
      </c>
      <c r="CN148" s="29" t="s">
        <v>1611</v>
      </c>
      <c r="CO148" s="29" t="s">
        <v>1611</v>
      </c>
      <c r="CP148" s="29" t="s">
        <v>1611</v>
      </c>
      <c r="CQ148" s="29" t="s">
        <v>1611</v>
      </c>
      <c r="CR148" s="29" t="s">
        <v>1611</v>
      </c>
      <c r="CS148" s="29" t="s">
        <v>1611</v>
      </c>
      <c r="CT148" s="29" t="s">
        <v>1611</v>
      </c>
      <c r="CU148" s="29" t="s">
        <v>1611</v>
      </c>
      <c r="CV148" s="29" t="s">
        <v>1611</v>
      </c>
      <c r="CW148" s="29"/>
      <c r="CX148" s="29"/>
      <c r="CY148" s="151"/>
      <c r="CZ148" t="e">
        <v>#N/A</v>
      </c>
      <c r="DA148" t="e">
        <v>#N/A</v>
      </c>
      <c r="DD148" s="96" t="str">
        <f t="shared" si="2"/>
        <v>V</v>
      </c>
    </row>
    <row r="149" spans="1:113" ht="16.5" customHeight="1" x14ac:dyDescent="0.3">
      <c r="A149" t="s">
        <v>3893</v>
      </c>
      <c r="B149" t="s">
        <v>3778</v>
      </c>
      <c r="C149" s="105">
        <v>1657096</v>
      </c>
      <c r="D149" s="27">
        <v>143</v>
      </c>
      <c r="E149" s="28" t="s">
        <v>784</v>
      </c>
      <c r="F149" s="28">
        <v>1000800419</v>
      </c>
      <c r="G149" s="29" t="s">
        <v>1619</v>
      </c>
      <c r="H149" s="28">
        <v>1657096</v>
      </c>
      <c r="I149" s="29" t="s">
        <v>1092</v>
      </c>
      <c r="J149" s="28" t="s">
        <v>854</v>
      </c>
      <c r="K149" s="7"/>
      <c r="L149" s="104" t="s">
        <v>1626</v>
      </c>
      <c r="M149" s="29"/>
      <c r="N149" s="29"/>
      <c r="O149" s="127">
        <v>176037</v>
      </c>
      <c r="P149" s="113" t="s">
        <v>1317</v>
      </c>
      <c r="Q149" s="28" t="s">
        <v>612</v>
      </c>
      <c r="R149" s="28" t="s">
        <v>1301</v>
      </c>
      <c r="S149" s="28" t="s">
        <v>1301</v>
      </c>
      <c r="T149" s="28" t="s">
        <v>1329</v>
      </c>
      <c r="U149" s="28" t="s">
        <v>612</v>
      </c>
      <c r="V149" s="28" t="s">
        <v>1301</v>
      </c>
      <c r="W149" s="28" t="s">
        <v>1301</v>
      </c>
      <c r="X149" s="28" t="s">
        <v>1301</v>
      </c>
      <c r="Y149" s="28" t="s">
        <v>1301</v>
      </c>
      <c r="Z149" s="28" t="s">
        <v>1301</v>
      </c>
      <c r="AA149" s="28" t="s">
        <v>1301</v>
      </c>
      <c r="AB149" s="104" t="s">
        <v>663</v>
      </c>
      <c r="AC149" s="104" t="s">
        <v>1340</v>
      </c>
      <c r="AD149" s="9" t="s">
        <v>1269</v>
      </c>
      <c r="AE149" s="9"/>
      <c r="AF149" s="9"/>
      <c r="AG149" s="34"/>
      <c r="AH149" s="9"/>
      <c r="AI149" s="9" t="s">
        <v>1625</v>
      </c>
      <c r="AJ149" s="9"/>
      <c r="AK149" s="45"/>
      <c r="AL149" s="45" t="s">
        <v>461</v>
      </c>
      <c r="AM149" s="45" t="s">
        <v>461</v>
      </c>
      <c r="AN149" s="45" t="s">
        <v>461</v>
      </c>
      <c r="AO149" s="45" t="s">
        <v>1625</v>
      </c>
      <c r="AP149" s="45" t="s">
        <v>1625</v>
      </c>
      <c r="AQ149" s="45" t="s">
        <v>46</v>
      </c>
      <c r="AR149" s="45" t="s">
        <v>46</v>
      </c>
      <c r="AS149" s="45" t="s">
        <v>461</v>
      </c>
      <c r="AT149" s="45"/>
      <c r="AU149" s="45"/>
      <c r="AV149" s="45"/>
      <c r="AW149" s="9" t="s">
        <v>461</v>
      </c>
      <c r="AX149" s="9" t="s">
        <v>461</v>
      </c>
      <c r="AY149" s="9" t="s">
        <v>461</v>
      </c>
      <c r="AZ149" s="9" t="s">
        <v>461</v>
      </c>
      <c r="BA149" s="10" t="s">
        <v>79</v>
      </c>
      <c r="BB149" s="29" t="s">
        <v>2612</v>
      </c>
      <c r="BC149" s="29" t="s">
        <v>1611</v>
      </c>
      <c r="BD149" s="29" t="s">
        <v>1611</v>
      </c>
      <c r="BE149" s="29" t="s">
        <v>2514</v>
      </c>
      <c r="BF149" s="29" t="s">
        <v>2515</v>
      </c>
      <c r="BG149" s="29" t="s">
        <v>2650</v>
      </c>
      <c r="BH149" s="29" t="s">
        <v>2651</v>
      </c>
      <c r="BI149" s="29" t="s">
        <v>102</v>
      </c>
      <c r="BJ149" s="29" t="s">
        <v>2780</v>
      </c>
      <c r="BK149" s="29" t="s">
        <v>2638</v>
      </c>
      <c r="BL149" s="29" t="s">
        <v>2639</v>
      </c>
      <c r="BM149" s="29" t="s">
        <v>1611</v>
      </c>
      <c r="BN149" s="29" t="s">
        <v>1611</v>
      </c>
      <c r="BO149" s="29" t="s">
        <v>1611</v>
      </c>
      <c r="BP149" s="29" t="s">
        <v>1611</v>
      </c>
      <c r="BQ149" s="29" t="s">
        <v>1611</v>
      </c>
      <c r="BR149" s="29" t="s">
        <v>1611</v>
      </c>
      <c r="BS149" s="29" t="s">
        <v>1611</v>
      </c>
      <c r="BT149" s="29" t="s">
        <v>1611</v>
      </c>
      <c r="BU149" s="29" t="s">
        <v>218</v>
      </c>
      <c r="BV149" s="29" t="s">
        <v>2677</v>
      </c>
      <c r="BW149" s="29" t="s">
        <v>1611</v>
      </c>
      <c r="BX149" s="29" t="s">
        <v>1611</v>
      </c>
      <c r="BY149" s="29" t="s">
        <v>1611</v>
      </c>
      <c r="BZ149" s="29" t="s">
        <v>1611</v>
      </c>
      <c r="CA149" s="29" t="s">
        <v>1611</v>
      </c>
      <c r="CB149" s="29" t="s">
        <v>1611</v>
      </c>
      <c r="CC149" s="29" t="s">
        <v>1611</v>
      </c>
      <c r="CD149" s="29" t="s">
        <v>1611</v>
      </c>
      <c r="CE149" s="29" t="s">
        <v>1611</v>
      </c>
      <c r="CF149" s="29" t="s">
        <v>1611</v>
      </c>
      <c r="CG149" s="29" t="s">
        <v>3489</v>
      </c>
      <c r="CH149" s="29" t="s">
        <v>3488</v>
      </c>
      <c r="CI149" s="29" t="s">
        <v>1611</v>
      </c>
      <c r="CJ149" s="29" t="s">
        <v>1611</v>
      </c>
      <c r="CK149" s="29" t="s">
        <v>2912</v>
      </c>
      <c r="CL149" s="29" t="s">
        <v>2913</v>
      </c>
      <c r="CM149" s="29" t="s">
        <v>2914</v>
      </c>
      <c r="CN149" s="29" t="s">
        <v>2915</v>
      </c>
      <c r="CO149" s="29" t="s">
        <v>1611</v>
      </c>
      <c r="CP149" s="29" t="s">
        <v>1611</v>
      </c>
      <c r="CQ149" s="29" t="s">
        <v>1611</v>
      </c>
      <c r="CR149" s="29" t="s">
        <v>1611</v>
      </c>
      <c r="CS149" s="29" t="s">
        <v>1611</v>
      </c>
      <c r="CT149" s="29" t="s">
        <v>1611</v>
      </c>
      <c r="CU149" s="29" t="s">
        <v>1611</v>
      </c>
      <c r="CV149" s="29" t="s">
        <v>1611</v>
      </c>
      <c r="CW149" s="29"/>
      <c r="CX149" s="29"/>
      <c r="CY149" s="151"/>
      <c r="CZ149" t="s">
        <v>2251</v>
      </c>
      <c r="DA149" t="s">
        <v>3634</v>
      </c>
      <c r="DD149" s="96" t="str">
        <f t="shared" si="2"/>
        <v/>
      </c>
      <c r="DF149" s="96" t="s">
        <v>3753</v>
      </c>
    </row>
    <row r="150" spans="1:113" ht="16.5" customHeight="1" x14ac:dyDescent="0.3">
      <c r="C150" s="105">
        <v>1663937</v>
      </c>
      <c r="D150" s="27">
        <v>144</v>
      </c>
      <c r="E150" s="28" t="s">
        <v>818</v>
      </c>
      <c r="F150" s="28">
        <v>1001354801</v>
      </c>
      <c r="G150" s="29" t="s">
        <v>1093</v>
      </c>
      <c r="H150" s="28">
        <v>1663937</v>
      </c>
      <c r="I150" s="29" t="s">
        <v>1094</v>
      </c>
      <c r="J150" s="28" t="s">
        <v>854</v>
      </c>
      <c r="K150" s="7"/>
      <c r="L150" s="104" t="s">
        <v>741</v>
      </c>
      <c r="M150" s="29"/>
      <c r="N150" s="29"/>
      <c r="O150" s="127"/>
      <c r="P150" s="28"/>
      <c r="Q150" s="28"/>
      <c r="R150" s="28"/>
      <c r="S150" s="28"/>
      <c r="T150" s="28"/>
      <c r="U150" s="28"/>
      <c r="V150" s="28"/>
      <c r="W150" s="28"/>
      <c r="X150" s="28"/>
      <c r="Y150" s="28"/>
      <c r="Z150" s="28"/>
      <c r="AA150" s="28"/>
      <c r="AB150" s="104"/>
      <c r="AC150" s="104"/>
      <c r="AD150" s="9" t="s">
        <v>1269</v>
      </c>
      <c r="AE150" s="39">
        <v>45903</v>
      </c>
      <c r="AF150" s="9" t="s">
        <v>1933</v>
      </c>
      <c r="AG150" s="34" t="s">
        <v>1936</v>
      </c>
      <c r="AH150" s="9"/>
      <c r="AI150" s="9"/>
      <c r="AJ150" s="9"/>
      <c r="AK150" s="45"/>
      <c r="AL150" s="45" t="s">
        <v>1611</v>
      </c>
      <c r="AM150" s="45"/>
      <c r="AN150" s="45"/>
      <c r="AO150" s="45"/>
      <c r="AP150" s="45"/>
      <c r="AQ150" s="45"/>
      <c r="AR150" s="45"/>
      <c r="AS150" s="45"/>
      <c r="AT150" s="45"/>
      <c r="AU150" s="45"/>
      <c r="AV150" s="45"/>
      <c r="AW150" s="9"/>
      <c r="AX150" s="9"/>
      <c r="AY150" s="9"/>
      <c r="AZ150" s="9"/>
      <c r="BA150" s="10" t="s">
        <v>291</v>
      </c>
      <c r="BB150" s="29" t="s">
        <v>2704</v>
      </c>
      <c r="BC150" s="29" t="s">
        <v>1611</v>
      </c>
      <c r="BD150" s="29" t="s">
        <v>1611</v>
      </c>
      <c r="BE150" s="29" t="s">
        <v>2514</v>
      </c>
      <c r="BF150" s="29" t="s">
        <v>2515</v>
      </c>
      <c r="BG150" s="29" t="s">
        <v>2539</v>
      </c>
      <c r="BH150" s="29" t="s">
        <v>2540</v>
      </c>
      <c r="BI150" s="29" t="s">
        <v>311</v>
      </c>
      <c r="BJ150" s="29" t="s">
        <v>2725</v>
      </c>
      <c r="BK150" s="29" t="s">
        <v>337</v>
      </c>
      <c r="BL150" s="29" t="s">
        <v>2521</v>
      </c>
      <c r="BM150" s="29" t="s">
        <v>1611</v>
      </c>
      <c r="BN150" s="29" t="s">
        <v>1611</v>
      </c>
      <c r="BO150" s="29" t="s">
        <v>1611</v>
      </c>
      <c r="BP150" s="29" t="s">
        <v>1611</v>
      </c>
      <c r="BQ150" s="29" t="s">
        <v>1611</v>
      </c>
      <c r="BR150" s="29" t="s">
        <v>1611</v>
      </c>
      <c r="BS150" s="29" t="s">
        <v>1611</v>
      </c>
      <c r="BT150" s="29" t="s">
        <v>1611</v>
      </c>
      <c r="BU150" s="29" t="s">
        <v>331</v>
      </c>
      <c r="BV150" s="29" t="s">
        <v>1831</v>
      </c>
      <c r="BW150" s="29" t="s">
        <v>1611</v>
      </c>
      <c r="BX150" s="29" t="s">
        <v>1611</v>
      </c>
      <c r="BY150" s="29" t="s">
        <v>1611</v>
      </c>
      <c r="BZ150" s="29" t="s">
        <v>1611</v>
      </c>
      <c r="CA150" s="29" t="s">
        <v>1611</v>
      </c>
      <c r="CB150" s="29" t="s">
        <v>1611</v>
      </c>
      <c r="CC150" s="29" t="s">
        <v>1611</v>
      </c>
      <c r="CD150" s="29" t="s">
        <v>1611</v>
      </c>
      <c r="CE150" s="29" t="s">
        <v>1611</v>
      </c>
      <c r="CF150" s="29" t="s">
        <v>1611</v>
      </c>
      <c r="CG150" s="29" t="s">
        <v>1611</v>
      </c>
      <c r="CH150" s="29" t="s">
        <v>1611</v>
      </c>
      <c r="CI150" s="29" t="s">
        <v>1611</v>
      </c>
      <c r="CJ150" s="29" t="s">
        <v>1611</v>
      </c>
      <c r="CK150" s="29" t="s">
        <v>1611</v>
      </c>
      <c r="CL150" s="29" t="s">
        <v>1611</v>
      </c>
      <c r="CM150" s="29" t="s">
        <v>1611</v>
      </c>
      <c r="CN150" s="29" t="s">
        <v>1611</v>
      </c>
      <c r="CO150" s="29" t="s">
        <v>1611</v>
      </c>
      <c r="CP150" s="29" t="s">
        <v>1611</v>
      </c>
      <c r="CQ150" s="29" t="s">
        <v>1611</v>
      </c>
      <c r="CR150" s="29" t="s">
        <v>1611</v>
      </c>
      <c r="CS150" s="29" t="s">
        <v>1611</v>
      </c>
      <c r="CT150" s="29" t="s">
        <v>1611</v>
      </c>
      <c r="CU150" s="29" t="s">
        <v>1611</v>
      </c>
      <c r="CV150" s="29" t="s">
        <v>1611</v>
      </c>
      <c r="CW150" s="29"/>
      <c r="CX150" s="29"/>
      <c r="CY150" s="151"/>
      <c r="CZ150" t="e">
        <v>#N/A</v>
      </c>
      <c r="DA150" t="e">
        <v>#N/A</v>
      </c>
      <c r="DD150" s="96" t="str">
        <f t="shared" si="2"/>
        <v>V</v>
      </c>
    </row>
    <row r="151" spans="1:113" ht="16.5" customHeight="1" x14ac:dyDescent="0.3">
      <c r="C151" s="105">
        <v>1681968</v>
      </c>
      <c r="D151" s="27">
        <v>145</v>
      </c>
      <c r="E151" s="28" t="s">
        <v>808</v>
      </c>
      <c r="F151" s="28">
        <v>1000709363</v>
      </c>
      <c r="G151" s="29" t="s">
        <v>1095</v>
      </c>
      <c r="H151" s="28">
        <v>1681968</v>
      </c>
      <c r="I151" s="29" t="s">
        <v>1096</v>
      </c>
      <c r="J151" s="28" t="s">
        <v>429</v>
      </c>
      <c r="K151" s="7"/>
      <c r="L151" s="104" t="s">
        <v>742</v>
      </c>
      <c r="M151" s="29"/>
      <c r="N151" s="29"/>
      <c r="O151" s="127"/>
      <c r="P151" s="28"/>
      <c r="Q151" s="28"/>
      <c r="R151" s="28"/>
      <c r="S151" s="28"/>
      <c r="T151" s="28"/>
      <c r="U151" s="28"/>
      <c r="V151" s="28"/>
      <c r="W151" s="28"/>
      <c r="X151" s="28"/>
      <c r="Y151" s="28"/>
      <c r="Z151" s="28"/>
      <c r="AA151" s="28"/>
      <c r="AB151" s="104"/>
      <c r="AC151" s="28"/>
      <c r="AD151" s="9" t="s">
        <v>1269</v>
      </c>
      <c r="AE151" s="39">
        <v>45862</v>
      </c>
      <c r="AF151" s="9" t="s">
        <v>1276</v>
      </c>
      <c r="AG151" s="34" t="s">
        <v>1293</v>
      </c>
      <c r="AH151" s="9"/>
      <c r="AI151" s="9"/>
      <c r="AJ151" s="9"/>
      <c r="AK151" s="45"/>
      <c r="AL151" s="45" t="s">
        <v>1611</v>
      </c>
      <c r="AM151" s="45"/>
      <c r="AN151" s="45"/>
      <c r="AO151" s="45"/>
      <c r="AP151" s="45"/>
      <c r="AQ151" s="45"/>
      <c r="AR151" s="45"/>
      <c r="AS151" s="45"/>
      <c r="AT151" s="45"/>
      <c r="AU151" s="45"/>
      <c r="AV151" s="45"/>
      <c r="AW151" s="9"/>
      <c r="AX151" s="9"/>
      <c r="AY151" s="9"/>
      <c r="AZ151" s="9"/>
      <c r="BA151" s="10" t="s">
        <v>51</v>
      </c>
      <c r="BB151" s="29" t="s">
        <v>2501</v>
      </c>
      <c r="BC151" s="29" t="s">
        <v>1611</v>
      </c>
      <c r="BD151" s="29" t="s">
        <v>1611</v>
      </c>
      <c r="BE151" s="29" t="s">
        <v>1611</v>
      </c>
      <c r="BF151" s="29" t="s">
        <v>1611</v>
      </c>
      <c r="BG151" s="29" t="s">
        <v>1611</v>
      </c>
      <c r="BH151" s="29" t="s">
        <v>1611</v>
      </c>
      <c r="BI151" s="29" t="s">
        <v>148</v>
      </c>
      <c r="BJ151" s="29" t="s">
        <v>2678</v>
      </c>
      <c r="BK151" s="29" t="s">
        <v>584</v>
      </c>
      <c r="BL151" s="29" t="s">
        <v>2711</v>
      </c>
      <c r="BM151" s="29" t="s">
        <v>1611</v>
      </c>
      <c r="BN151" s="29" t="s">
        <v>1611</v>
      </c>
      <c r="BO151" s="29" t="s">
        <v>1611</v>
      </c>
      <c r="BP151" s="29" t="s">
        <v>1611</v>
      </c>
      <c r="BQ151" s="29" t="s">
        <v>1611</v>
      </c>
      <c r="BR151" s="29" t="s">
        <v>1611</v>
      </c>
      <c r="BS151" s="29" t="s">
        <v>1611</v>
      </c>
      <c r="BT151" s="29" t="s">
        <v>1611</v>
      </c>
      <c r="BU151" s="29" t="s">
        <v>2394</v>
      </c>
      <c r="BV151" s="29" t="s">
        <v>2442</v>
      </c>
      <c r="BW151" s="29" t="s">
        <v>1611</v>
      </c>
      <c r="BX151" s="29" t="s">
        <v>1611</v>
      </c>
      <c r="BY151" s="29" t="s">
        <v>1611</v>
      </c>
      <c r="BZ151" s="29" t="s">
        <v>1611</v>
      </c>
      <c r="CA151" s="29" t="s">
        <v>1611</v>
      </c>
      <c r="CB151" s="29" t="s">
        <v>1611</v>
      </c>
      <c r="CC151" s="29" t="s">
        <v>1611</v>
      </c>
      <c r="CD151" s="29" t="s">
        <v>1611</v>
      </c>
      <c r="CE151" s="29" t="s">
        <v>1611</v>
      </c>
      <c r="CF151" s="29" t="s">
        <v>1611</v>
      </c>
      <c r="CG151" s="29" t="s">
        <v>2916</v>
      </c>
      <c r="CH151" s="29" t="s">
        <v>2917</v>
      </c>
      <c r="CI151" s="29" t="s">
        <v>1611</v>
      </c>
      <c r="CJ151" s="29" t="s">
        <v>1611</v>
      </c>
      <c r="CK151" s="29" t="s">
        <v>1611</v>
      </c>
      <c r="CL151" s="29" t="s">
        <v>1611</v>
      </c>
      <c r="CM151" s="29" t="s">
        <v>1611</v>
      </c>
      <c r="CN151" s="29" t="s">
        <v>1611</v>
      </c>
      <c r="CO151" s="29" t="s">
        <v>1611</v>
      </c>
      <c r="CP151" s="29" t="s">
        <v>1611</v>
      </c>
      <c r="CQ151" s="29" t="s">
        <v>1611</v>
      </c>
      <c r="CR151" s="29" t="s">
        <v>1611</v>
      </c>
      <c r="CS151" s="29" t="s">
        <v>1611</v>
      </c>
      <c r="CT151" s="29" t="s">
        <v>1611</v>
      </c>
      <c r="CU151" s="29" t="s">
        <v>1611</v>
      </c>
      <c r="CV151" s="29" t="s">
        <v>1611</v>
      </c>
      <c r="CW151" s="29"/>
      <c r="CX151" s="29"/>
      <c r="CY151" s="151"/>
      <c r="CZ151" t="e">
        <v>#N/A</v>
      </c>
      <c r="DA151" t="e">
        <v>#N/A</v>
      </c>
      <c r="DD151" s="96" t="str">
        <f t="shared" si="2"/>
        <v>V</v>
      </c>
    </row>
    <row r="152" spans="1:113" ht="16.5" customHeight="1" x14ac:dyDescent="0.3">
      <c r="A152" t="s">
        <v>3893</v>
      </c>
      <c r="B152" t="s">
        <v>3778</v>
      </c>
      <c r="C152" s="105">
        <v>1683810</v>
      </c>
      <c r="D152" s="27">
        <v>146</v>
      </c>
      <c r="E152" s="28" t="s">
        <v>843</v>
      </c>
      <c r="F152" s="28">
        <v>1000314466</v>
      </c>
      <c r="G152" s="29" t="s">
        <v>1097</v>
      </c>
      <c r="H152" s="28">
        <v>1683810</v>
      </c>
      <c r="I152" s="29" t="s">
        <v>1098</v>
      </c>
      <c r="J152" s="28" t="s">
        <v>854</v>
      </c>
      <c r="K152" s="7"/>
      <c r="L152" s="104" t="s">
        <v>2335</v>
      </c>
      <c r="M152" s="29" t="s">
        <v>2336</v>
      </c>
      <c r="N152" s="29" t="s">
        <v>2337</v>
      </c>
      <c r="O152" s="127">
        <v>79019</v>
      </c>
      <c r="P152" s="113" t="s">
        <v>1346</v>
      </c>
      <c r="Q152" s="28" t="s">
        <v>612</v>
      </c>
      <c r="R152" s="28" t="s">
        <v>1301</v>
      </c>
      <c r="S152" s="28" t="s">
        <v>1301</v>
      </c>
      <c r="T152" s="28" t="s">
        <v>1329</v>
      </c>
      <c r="U152" s="28" t="s">
        <v>612</v>
      </c>
      <c r="V152" s="28" t="s">
        <v>1301</v>
      </c>
      <c r="W152" s="28" t="s">
        <v>1301</v>
      </c>
      <c r="X152" s="28" t="s">
        <v>1301</v>
      </c>
      <c r="Y152" s="28" t="s">
        <v>1301</v>
      </c>
      <c r="Z152" s="28" t="s">
        <v>1301</v>
      </c>
      <c r="AA152" s="28" t="s">
        <v>1301</v>
      </c>
      <c r="AB152" s="104" t="s">
        <v>663</v>
      </c>
      <c r="AC152" s="104" t="s">
        <v>1340</v>
      </c>
      <c r="AD152" s="9" t="s">
        <v>1269</v>
      </c>
      <c r="AE152" s="9"/>
      <c r="AF152" s="9"/>
      <c r="AG152" s="34"/>
      <c r="AH152" s="9"/>
      <c r="AI152" s="9" t="s">
        <v>1928</v>
      </c>
      <c r="AJ152" s="9"/>
      <c r="AK152" s="45"/>
      <c r="AL152" s="45" t="s">
        <v>461</v>
      </c>
      <c r="AM152" s="45" t="s">
        <v>1928</v>
      </c>
      <c r="AN152" s="9" t="s">
        <v>46</v>
      </c>
      <c r="AO152" s="9" t="s">
        <v>46</v>
      </c>
      <c r="AP152" s="9" t="s">
        <v>46</v>
      </c>
      <c r="AQ152" s="9" t="s">
        <v>46</v>
      </c>
      <c r="AR152" s="9" t="s">
        <v>46</v>
      </c>
      <c r="AS152" s="9" t="s">
        <v>46</v>
      </c>
      <c r="AT152" s="45"/>
      <c r="AU152" s="45"/>
      <c r="AV152" s="45"/>
      <c r="AW152" s="9" t="s">
        <v>461</v>
      </c>
      <c r="AX152" s="9" t="s">
        <v>461</v>
      </c>
      <c r="AY152" s="9" t="s">
        <v>461</v>
      </c>
      <c r="AZ152" s="9" t="s">
        <v>461</v>
      </c>
      <c r="BA152" s="10" t="s">
        <v>173</v>
      </c>
      <c r="BB152" s="29" t="s">
        <v>2717</v>
      </c>
      <c r="BC152" s="29" t="s">
        <v>1611</v>
      </c>
      <c r="BD152" s="29" t="s">
        <v>1611</v>
      </c>
      <c r="BE152" s="29" t="s">
        <v>2514</v>
      </c>
      <c r="BF152" s="29" t="s">
        <v>2515</v>
      </c>
      <c r="BG152" s="29" t="s">
        <v>2539</v>
      </c>
      <c r="BH152" s="29" t="s">
        <v>2540</v>
      </c>
      <c r="BI152" s="29" t="s">
        <v>2577</v>
      </c>
      <c r="BJ152" s="29" t="s">
        <v>2578</v>
      </c>
      <c r="BK152" s="29" t="s">
        <v>102</v>
      </c>
      <c r="BL152" s="29" t="s">
        <v>2780</v>
      </c>
      <c r="BM152" s="29" t="s">
        <v>1611</v>
      </c>
      <c r="BN152" s="29" t="s">
        <v>1611</v>
      </c>
      <c r="BO152" s="29" t="s">
        <v>1611</v>
      </c>
      <c r="BP152" s="29" t="s">
        <v>1611</v>
      </c>
      <c r="BQ152" s="29" t="s">
        <v>1611</v>
      </c>
      <c r="BR152" s="29" t="s">
        <v>1611</v>
      </c>
      <c r="BS152" s="29" t="s">
        <v>1611</v>
      </c>
      <c r="BT152" s="29" t="s">
        <v>1611</v>
      </c>
      <c r="BU152" s="29" t="s">
        <v>1762</v>
      </c>
      <c r="BV152" s="29" t="s">
        <v>1880</v>
      </c>
      <c r="BW152" s="29" t="s">
        <v>1611</v>
      </c>
      <c r="BX152" s="29" t="s">
        <v>1611</v>
      </c>
      <c r="BY152" s="29" t="s">
        <v>1611</v>
      </c>
      <c r="BZ152" s="29" t="s">
        <v>1611</v>
      </c>
      <c r="CA152" s="29" t="s">
        <v>1611</v>
      </c>
      <c r="CB152" s="29" t="s">
        <v>1611</v>
      </c>
      <c r="CC152" s="29" t="s">
        <v>1611</v>
      </c>
      <c r="CD152" s="29" t="s">
        <v>1611</v>
      </c>
      <c r="CE152" s="29" t="s">
        <v>1611</v>
      </c>
      <c r="CF152" s="29" t="s">
        <v>1611</v>
      </c>
      <c r="CG152" s="29" t="s">
        <v>2918</v>
      </c>
      <c r="CH152" s="29" t="s">
        <v>2919</v>
      </c>
      <c r="CI152" s="29" t="s">
        <v>1611</v>
      </c>
      <c r="CJ152" s="29" t="s">
        <v>1611</v>
      </c>
      <c r="CK152" s="29" t="s">
        <v>2920</v>
      </c>
      <c r="CL152" s="29" t="s">
        <v>2921</v>
      </c>
      <c r="CM152" s="29" t="s">
        <v>2922</v>
      </c>
      <c r="CN152" s="29" t="s">
        <v>2923</v>
      </c>
      <c r="CO152" s="29" t="s">
        <v>1611</v>
      </c>
      <c r="CP152" s="29" t="s">
        <v>1611</v>
      </c>
      <c r="CQ152" s="29" t="s">
        <v>1611</v>
      </c>
      <c r="CR152" s="29" t="s">
        <v>1611</v>
      </c>
      <c r="CS152" s="29" t="s">
        <v>1611</v>
      </c>
      <c r="CT152" s="29" t="s">
        <v>1611</v>
      </c>
      <c r="CU152" s="29" t="s">
        <v>1611</v>
      </c>
      <c r="CV152" s="29" t="s">
        <v>1611</v>
      </c>
      <c r="CW152" s="29"/>
      <c r="CX152" s="29"/>
      <c r="CY152" s="151"/>
      <c r="CZ152" t="s">
        <v>3293</v>
      </c>
      <c r="DA152" t="s">
        <v>3634</v>
      </c>
      <c r="DD152" s="96" t="str">
        <f t="shared" si="2"/>
        <v/>
      </c>
      <c r="DF152" s="96" t="s">
        <v>3753</v>
      </c>
    </row>
    <row r="153" spans="1:113" ht="16.5" customHeight="1" x14ac:dyDescent="0.3">
      <c r="C153" s="105">
        <v>1684057</v>
      </c>
      <c r="D153" s="27">
        <v>147</v>
      </c>
      <c r="E153" s="28" t="s">
        <v>784</v>
      </c>
      <c r="F153" s="28">
        <v>1000317541</v>
      </c>
      <c r="G153" s="29" t="s">
        <v>1100</v>
      </c>
      <c r="H153" s="28">
        <v>1684057</v>
      </c>
      <c r="I153" s="29" t="s">
        <v>1101</v>
      </c>
      <c r="J153" s="28" t="s">
        <v>429</v>
      </c>
      <c r="K153" s="7"/>
      <c r="L153" s="104" t="s">
        <v>407</v>
      </c>
      <c r="M153" s="29" t="s">
        <v>3717</v>
      </c>
      <c r="N153" s="29" t="s">
        <v>3718</v>
      </c>
      <c r="O153" s="127">
        <v>281340</v>
      </c>
      <c r="P153" s="113" t="s">
        <v>3719</v>
      </c>
      <c r="Q153" s="28" t="s">
        <v>612</v>
      </c>
      <c r="R153" s="28" t="s">
        <v>1301</v>
      </c>
      <c r="S153" s="28" t="s">
        <v>1301</v>
      </c>
      <c r="T153" s="28" t="s">
        <v>1301</v>
      </c>
      <c r="U153" s="28" t="s">
        <v>1301</v>
      </c>
      <c r="V153" s="28" t="s">
        <v>1301</v>
      </c>
      <c r="W153" s="28" t="s">
        <v>1301</v>
      </c>
      <c r="X153" s="28" t="s">
        <v>1301</v>
      </c>
      <c r="Y153" s="28" t="s">
        <v>1301</v>
      </c>
      <c r="Z153" s="28" t="s">
        <v>1301</v>
      </c>
      <c r="AA153" s="28" t="s">
        <v>1301</v>
      </c>
      <c r="AB153" s="104" t="s">
        <v>663</v>
      </c>
      <c r="AC153" s="104" t="s">
        <v>1340</v>
      </c>
      <c r="AD153" s="9" t="s">
        <v>45</v>
      </c>
      <c r="AE153" s="9"/>
      <c r="AF153" s="9"/>
      <c r="AG153" s="34"/>
      <c r="AH153" s="9"/>
      <c r="AI153" s="9"/>
      <c r="AJ153" s="9"/>
      <c r="AK153" s="45"/>
      <c r="AL153" s="45" t="s">
        <v>3059</v>
      </c>
      <c r="AM153" s="45" t="s">
        <v>46</v>
      </c>
      <c r="AN153" s="45" t="s">
        <v>46</v>
      </c>
      <c r="AO153" s="45" t="s">
        <v>46</v>
      </c>
      <c r="AP153" s="45" t="s">
        <v>46</v>
      </c>
      <c r="AQ153" s="45" t="s">
        <v>46</v>
      </c>
      <c r="AR153" s="45" t="s">
        <v>46</v>
      </c>
      <c r="AS153" s="45" t="s">
        <v>46</v>
      </c>
      <c r="AT153" s="45"/>
      <c r="AU153" s="45"/>
      <c r="AV153" s="45"/>
      <c r="AW153" s="45" t="s">
        <v>46</v>
      </c>
      <c r="AX153" s="45" t="s">
        <v>46</v>
      </c>
      <c r="AY153" s="45" t="s">
        <v>46</v>
      </c>
      <c r="AZ153" s="45" t="s">
        <v>46</v>
      </c>
      <c r="BA153" s="10" t="s">
        <v>268</v>
      </c>
      <c r="BB153" s="29" t="s">
        <v>2608</v>
      </c>
      <c r="BC153" s="29" t="s">
        <v>1611</v>
      </c>
      <c r="BD153" s="29" t="s">
        <v>1611</v>
      </c>
      <c r="BE153" s="29" t="s">
        <v>1611</v>
      </c>
      <c r="BF153" s="29" t="s">
        <v>1611</v>
      </c>
      <c r="BG153" s="29" t="s">
        <v>2721</v>
      </c>
      <c r="BH153" s="29" t="s">
        <v>2722</v>
      </c>
      <c r="BI153" s="29" t="s">
        <v>408</v>
      </c>
      <c r="BJ153" s="29" t="s">
        <v>3545</v>
      </c>
      <c r="BK153" s="29" t="s">
        <v>409</v>
      </c>
      <c r="BL153" s="29" t="s">
        <v>2640</v>
      </c>
      <c r="BM153" s="29" t="s">
        <v>1611</v>
      </c>
      <c r="BN153" s="29" t="s">
        <v>1611</v>
      </c>
      <c r="BO153" s="29" t="s">
        <v>1611</v>
      </c>
      <c r="BP153" s="29" t="s">
        <v>1611</v>
      </c>
      <c r="BQ153" s="29" t="s">
        <v>1611</v>
      </c>
      <c r="BR153" s="29" t="s">
        <v>1611</v>
      </c>
      <c r="BS153" s="29" t="s">
        <v>1611</v>
      </c>
      <c r="BT153" s="29" t="s">
        <v>1611</v>
      </c>
      <c r="BU153" s="29" t="s">
        <v>410</v>
      </c>
      <c r="BV153" s="29" t="s">
        <v>2427</v>
      </c>
      <c r="BW153" s="29" t="s">
        <v>1611</v>
      </c>
      <c r="BX153" s="29" t="s">
        <v>1611</v>
      </c>
      <c r="BY153" s="29" t="s">
        <v>1611</v>
      </c>
      <c r="BZ153" s="29" t="s">
        <v>1611</v>
      </c>
      <c r="CA153" s="29" t="s">
        <v>1611</v>
      </c>
      <c r="CB153" s="29" t="s">
        <v>1611</v>
      </c>
      <c r="CC153" s="29" t="s">
        <v>1611</v>
      </c>
      <c r="CD153" s="29" t="s">
        <v>1611</v>
      </c>
      <c r="CE153" s="29" t="s">
        <v>1611</v>
      </c>
      <c r="CF153" s="29" t="s">
        <v>1611</v>
      </c>
      <c r="CG153" s="29" t="s">
        <v>153</v>
      </c>
      <c r="CH153" s="29" t="s">
        <v>2448</v>
      </c>
      <c r="CI153" s="29" t="s">
        <v>1611</v>
      </c>
      <c r="CJ153" s="29" t="s">
        <v>1611</v>
      </c>
      <c r="CK153" s="29" t="s">
        <v>3721</v>
      </c>
      <c r="CL153" s="29" t="s">
        <v>3720</v>
      </c>
      <c r="CM153" s="29" t="s">
        <v>1611</v>
      </c>
      <c r="CN153" s="29" t="s">
        <v>1611</v>
      </c>
      <c r="CO153" s="29" t="s">
        <v>1611</v>
      </c>
      <c r="CP153" s="29" t="s">
        <v>1611</v>
      </c>
      <c r="CQ153" s="29" t="s">
        <v>1611</v>
      </c>
      <c r="CR153" s="29" t="s">
        <v>1611</v>
      </c>
      <c r="CS153" s="29" t="s">
        <v>1611</v>
      </c>
      <c r="CT153" s="29" t="s">
        <v>1611</v>
      </c>
      <c r="CU153" s="29" t="s">
        <v>1611</v>
      </c>
      <c r="CV153" s="29" t="s">
        <v>1611</v>
      </c>
      <c r="CW153" s="29"/>
      <c r="CX153" s="29"/>
      <c r="CY153" s="151"/>
      <c r="CZ153" t="s">
        <v>3615</v>
      </c>
      <c r="DA153" t="s">
        <v>3634</v>
      </c>
      <c r="DD153" s="96" t="str">
        <f t="shared" si="2"/>
        <v/>
      </c>
      <c r="DF153" s="96" t="s">
        <v>3753</v>
      </c>
    </row>
    <row r="154" spans="1:113" ht="16.5" customHeight="1" x14ac:dyDescent="0.3">
      <c r="C154" s="105">
        <v>1684242</v>
      </c>
      <c r="D154" s="27">
        <v>148</v>
      </c>
      <c r="E154" s="28" t="s">
        <v>656</v>
      </c>
      <c r="F154" s="28">
        <v>1000325719</v>
      </c>
      <c r="G154" s="29" t="s">
        <v>1103</v>
      </c>
      <c r="H154" s="28">
        <v>1684242</v>
      </c>
      <c r="I154" s="29" t="s">
        <v>1104</v>
      </c>
      <c r="J154" s="28" t="s">
        <v>659</v>
      </c>
      <c r="K154" s="7"/>
      <c r="L154" s="104" t="s">
        <v>743</v>
      </c>
      <c r="M154" s="29"/>
      <c r="N154" s="29"/>
      <c r="O154" s="127"/>
      <c r="P154" s="28"/>
      <c r="Q154" s="28"/>
      <c r="R154" s="28"/>
      <c r="S154" s="28"/>
      <c r="T154" s="28"/>
      <c r="U154" s="28"/>
      <c r="V154" s="28"/>
      <c r="W154" s="28"/>
      <c r="X154" s="28"/>
      <c r="Y154" s="28"/>
      <c r="Z154" s="28"/>
      <c r="AA154" s="28"/>
      <c r="AB154" s="104"/>
      <c r="AC154" s="104"/>
      <c r="AD154" s="9" t="s">
        <v>1269</v>
      </c>
      <c r="AE154" s="39">
        <v>45894</v>
      </c>
      <c r="AF154" s="9" t="s">
        <v>1276</v>
      </c>
      <c r="AG154" s="34" t="s">
        <v>1639</v>
      </c>
      <c r="AH154" s="9"/>
      <c r="AI154" s="9"/>
      <c r="AJ154" s="9"/>
      <c r="AK154" s="45"/>
      <c r="AL154" s="45" t="s">
        <v>1611</v>
      </c>
      <c r="AM154" s="45"/>
      <c r="AN154" s="45"/>
      <c r="AO154" s="45"/>
      <c r="AP154" s="45"/>
      <c r="AQ154" s="45"/>
      <c r="AR154" s="45"/>
      <c r="AS154" s="45"/>
      <c r="AT154" s="45"/>
      <c r="AU154" s="45"/>
      <c r="AV154" s="45"/>
      <c r="AW154" s="9"/>
      <c r="AX154" s="9"/>
      <c r="AY154" s="9"/>
      <c r="AZ154" s="9"/>
      <c r="BA154" s="10" t="s">
        <v>2497</v>
      </c>
      <c r="BB154" s="29" t="s">
        <v>2567</v>
      </c>
      <c r="BC154" s="29" t="s">
        <v>1611</v>
      </c>
      <c r="BD154" s="29" t="s">
        <v>1611</v>
      </c>
      <c r="BE154" s="29" t="s">
        <v>2514</v>
      </c>
      <c r="BF154" s="29" t="s">
        <v>2515</v>
      </c>
      <c r="BG154" s="29" t="s">
        <v>2569</v>
      </c>
      <c r="BH154" s="29" t="s">
        <v>2570</v>
      </c>
      <c r="BI154" s="29" t="s">
        <v>2732</v>
      </c>
      <c r="BJ154" s="29" t="s">
        <v>2733</v>
      </c>
      <c r="BK154" s="29" t="s">
        <v>2584</v>
      </c>
      <c r="BL154" s="29" t="s">
        <v>2876</v>
      </c>
      <c r="BM154" s="29" t="s">
        <v>1611</v>
      </c>
      <c r="BN154" s="29" t="s">
        <v>1611</v>
      </c>
      <c r="BO154" s="29" t="s">
        <v>1611</v>
      </c>
      <c r="BP154" s="29" t="s">
        <v>1611</v>
      </c>
      <c r="BQ154" s="29" t="s">
        <v>1611</v>
      </c>
      <c r="BR154" s="29" t="s">
        <v>1611</v>
      </c>
      <c r="BS154" s="29" t="s">
        <v>1611</v>
      </c>
      <c r="BT154" s="29" t="s">
        <v>1611</v>
      </c>
      <c r="BU154" s="29" t="s">
        <v>2383</v>
      </c>
      <c r="BV154" s="29" t="s">
        <v>2430</v>
      </c>
      <c r="BW154" s="29" t="s">
        <v>1611</v>
      </c>
      <c r="BX154" s="29" t="s">
        <v>1611</v>
      </c>
      <c r="BY154" s="29" t="s">
        <v>1611</v>
      </c>
      <c r="BZ154" s="29" t="s">
        <v>1611</v>
      </c>
      <c r="CA154" s="29" t="s">
        <v>1611</v>
      </c>
      <c r="CB154" s="29" t="s">
        <v>1611</v>
      </c>
      <c r="CC154" s="29" t="s">
        <v>1611</v>
      </c>
      <c r="CD154" s="29" t="s">
        <v>1611</v>
      </c>
      <c r="CE154" s="29" t="s">
        <v>1611</v>
      </c>
      <c r="CF154" s="29" t="s">
        <v>1611</v>
      </c>
      <c r="CG154" s="29" t="s">
        <v>1777</v>
      </c>
      <c r="CH154" s="29" t="s">
        <v>1895</v>
      </c>
      <c r="CI154" s="29" t="s">
        <v>1611</v>
      </c>
      <c r="CJ154" s="29" t="s">
        <v>1611</v>
      </c>
      <c r="CK154" s="29" t="s">
        <v>1611</v>
      </c>
      <c r="CL154" s="29" t="s">
        <v>1611</v>
      </c>
      <c r="CM154" s="29" t="s">
        <v>1611</v>
      </c>
      <c r="CN154" s="29" t="s">
        <v>1611</v>
      </c>
      <c r="CO154" s="29" t="s">
        <v>1611</v>
      </c>
      <c r="CP154" s="29" t="s">
        <v>1611</v>
      </c>
      <c r="CQ154" s="29" t="s">
        <v>1611</v>
      </c>
      <c r="CR154" s="29" t="s">
        <v>1611</v>
      </c>
      <c r="CS154" s="29" t="s">
        <v>1611</v>
      </c>
      <c r="CT154" s="29" t="s">
        <v>1611</v>
      </c>
      <c r="CU154" s="29" t="s">
        <v>1611</v>
      </c>
      <c r="CV154" s="29" t="s">
        <v>1611</v>
      </c>
      <c r="CW154" s="29"/>
      <c r="CX154" s="29"/>
      <c r="CY154" s="151"/>
      <c r="CZ154" t="e">
        <v>#N/A</v>
      </c>
      <c r="DA154" t="e">
        <v>#N/A</v>
      </c>
      <c r="DD154" s="96" t="str">
        <f t="shared" si="2"/>
        <v>V</v>
      </c>
    </row>
    <row r="155" spans="1:113" ht="16.5" customHeight="1" x14ac:dyDescent="0.3">
      <c r="A155" t="s">
        <v>3762</v>
      </c>
      <c r="B155" t="s">
        <v>3778</v>
      </c>
      <c r="C155" s="105">
        <v>1684270</v>
      </c>
      <c r="D155" s="27">
        <v>149</v>
      </c>
      <c r="E155" s="28" t="s">
        <v>792</v>
      </c>
      <c r="F155" s="28">
        <v>1000317230</v>
      </c>
      <c r="G155" s="29" t="s">
        <v>3078</v>
      </c>
      <c r="H155" s="28">
        <v>1684270</v>
      </c>
      <c r="I155" s="29" t="s">
        <v>1106</v>
      </c>
      <c r="J155" s="28" t="s">
        <v>659</v>
      </c>
      <c r="K155" s="7"/>
      <c r="L155" s="104" t="s">
        <v>666</v>
      </c>
      <c r="M155" s="29" t="s">
        <v>3224</v>
      </c>
      <c r="N155" s="29" t="s">
        <v>3225</v>
      </c>
      <c r="O155" s="127">
        <v>1900893</v>
      </c>
      <c r="P155" s="28" t="s">
        <v>1301</v>
      </c>
      <c r="Q155" s="28" t="s">
        <v>1301</v>
      </c>
      <c r="R155" s="28" t="s">
        <v>1301</v>
      </c>
      <c r="S155" s="28" t="s">
        <v>1301</v>
      </c>
      <c r="T155" s="28" t="s">
        <v>1329</v>
      </c>
      <c r="U155" s="28" t="s">
        <v>612</v>
      </c>
      <c r="V155" s="28" t="s">
        <v>1301</v>
      </c>
      <c r="W155" s="28" t="s">
        <v>1301</v>
      </c>
      <c r="X155" s="28" t="s">
        <v>1301</v>
      </c>
      <c r="Y155" s="28" t="s">
        <v>1301</v>
      </c>
      <c r="Z155" s="28" t="s">
        <v>1301</v>
      </c>
      <c r="AA155" s="28" t="s">
        <v>1301</v>
      </c>
      <c r="AB155" s="104" t="s">
        <v>1339</v>
      </c>
      <c r="AC155" s="104" t="s">
        <v>1340</v>
      </c>
      <c r="AD155" s="9" t="s">
        <v>1269</v>
      </c>
      <c r="AE155" s="9"/>
      <c r="AF155" s="9"/>
      <c r="AG155" s="34"/>
      <c r="AH155" s="9"/>
      <c r="AI155" s="9"/>
      <c r="AJ155" s="45" t="s">
        <v>46</v>
      </c>
      <c r="AK155" s="45"/>
      <c r="AL155" s="45" t="s">
        <v>2278</v>
      </c>
      <c r="AM155" s="45" t="s">
        <v>46</v>
      </c>
      <c r="AN155" s="45" t="s">
        <v>46</v>
      </c>
      <c r="AO155" s="45" t="s">
        <v>46</v>
      </c>
      <c r="AP155" s="45" t="s">
        <v>46</v>
      </c>
      <c r="AQ155" s="45" t="s">
        <v>46</v>
      </c>
      <c r="AR155" s="45" t="s">
        <v>46</v>
      </c>
      <c r="AS155" s="45"/>
      <c r="AT155" s="45"/>
      <c r="AU155" s="45"/>
      <c r="AV155" s="45"/>
      <c r="AW155" s="45" t="s">
        <v>46</v>
      </c>
      <c r="AX155" s="45" t="s">
        <v>46</v>
      </c>
      <c r="AY155" s="45" t="s">
        <v>46</v>
      </c>
      <c r="AZ155" s="45" t="s">
        <v>46</v>
      </c>
      <c r="BA155" s="10" t="s">
        <v>1611</v>
      </c>
      <c r="BB155" s="29" t="s">
        <v>1611</v>
      </c>
      <c r="BC155" s="29" t="s">
        <v>1611</v>
      </c>
      <c r="BD155" s="29" t="s">
        <v>1611</v>
      </c>
      <c r="BE155" s="29" t="s">
        <v>1611</v>
      </c>
      <c r="BF155" s="29" t="s">
        <v>1611</v>
      </c>
      <c r="BG155" s="29" t="s">
        <v>1611</v>
      </c>
      <c r="BH155" s="29" t="s">
        <v>1611</v>
      </c>
      <c r="BI155" s="29" t="s">
        <v>217</v>
      </c>
      <c r="BJ155" s="29" t="s">
        <v>2606</v>
      </c>
      <c r="BK155" s="29" t="s">
        <v>2575</v>
      </c>
      <c r="BL155" s="29" t="s">
        <v>2576</v>
      </c>
      <c r="BM155" s="29" t="s">
        <v>1611</v>
      </c>
      <c r="BN155" s="29" t="s">
        <v>1611</v>
      </c>
      <c r="BO155" s="29" t="s">
        <v>1611</v>
      </c>
      <c r="BP155" s="29" t="s">
        <v>1611</v>
      </c>
      <c r="BQ155" s="29" t="s">
        <v>1611</v>
      </c>
      <c r="BR155" s="29" t="s">
        <v>1611</v>
      </c>
      <c r="BS155" s="29" t="s">
        <v>1611</v>
      </c>
      <c r="BT155" s="29" t="s">
        <v>1611</v>
      </c>
      <c r="BU155" s="29" t="s">
        <v>1703</v>
      </c>
      <c r="BV155" s="29" t="s">
        <v>1802</v>
      </c>
      <c r="BW155" s="29" t="s">
        <v>1611</v>
      </c>
      <c r="BX155" s="29" t="s">
        <v>1611</v>
      </c>
      <c r="BY155" s="29" t="s">
        <v>1611</v>
      </c>
      <c r="BZ155" s="29" t="s">
        <v>1611</v>
      </c>
      <c r="CA155" s="29" t="s">
        <v>1611</v>
      </c>
      <c r="CB155" s="29" t="s">
        <v>1611</v>
      </c>
      <c r="CC155" s="29" t="s">
        <v>1611</v>
      </c>
      <c r="CD155" s="29" t="s">
        <v>1611</v>
      </c>
      <c r="CE155" s="29" t="s">
        <v>1611</v>
      </c>
      <c r="CF155" s="29" t="s">
        <v>1611</v>
      </c>
      <c r="CG155" s="29" t="s">
        <v>3077</v>
      </c>
      <c r="CH155" s="29" t="s">
        <v>1839</v>
      </c>
      <c r="CI155" s="29" t="s">
        <v>1611</v>
      </c>
      <c r="CJ155" s="29" t="s">
        <v>1611</v>
      </c>
      <c r="CK155" s="29" t="s">
        <v>3226</v>
      </c>
      <c r="CL155" s="29" t="s">
        <v>3227</v>
      </c>
      <c r="CM155" s="29" t="s">
        <v>1611</v>
      </c>
      <c r="CN155" s="29" t="s">
        <v>1611</v>
      </c>
      <c r="CO155" s="29" t="s">
        <v>1611</v>
      </c>
      <c r="CP155" s="29" t="s">
        <v>1611</v>
      </c>
      <c r="CQ155" s="29" t="s">
        <v>1611</v>
      </c>
      <c r="CR155" s="29" t="s">
        <v>1611</v>
      </c>
      <c r="CS155" s="29" t="s">
        <v>1611</v>
      </c>
      <c r="CT155" s="29" t="s">
        <v>1611</v>
      </c>
      <c r="CU155" s="29" t="s">
        <v>1611</v>
      </c>
      <c r="CV155" s="29" t="s">
        <v>1611</v>
      </c>
      <c r="CW155" s="29"/>
      <c r="CX155" s="29"/>
      <c r="CY155" s="151"/>
      <c r="CZ155" t="s">
        <v>3228</v>
      </c>
      <c r="DA155" t="s">
        <v>3634</v>
      </c>
      <c r="DD155" s="96" t="str">
        <f t="shared" si="2"/>
        <v/>
      </c>
      <c r="DF155" s="96" t="s">
        <v>3753</v>
      </c>
    </row>
    <row r="156" spans="1:113" ht="16.5" customHeight="1" x14ac:dyDescent="0.3">
      <c r="C156" s="105">
        <v>1684314</v>
      </c>
      <c r="D156" s="27">
        <v>150</v>
      </c>
      <c r="E156" s="28" t="s">
        <v>792</v>
      </c>
      <c r="F156" s="28">
        <v>1000891310</v>
      </c>
      <c r="G156" s="29" t="s">
        <v>1107</v>
      </c>
      <c r="H156" s="28">
        <v>1684314</v>
      </c>
      <c r="I156" s="29" t="s">
        <v>1108</v>
      </c>
      <c r="J156" s="28" t="s">
        <v>659</v>
      </c>
      <c r="K156" s="7"/>
      <c r="L156" s="104" t="s">
        <v>744</v>
      </c>
      <c r="M156" s="29" t="s">
        <v>3469</v>
      </c>
      <c r="N156" s="29" t="s">
        <v>3470</v>
      </c>
      <c r="O156" s="127">
        <v>5758357</v>
      </c>
      <c r="P156" s="113" t="s">
        <v>1947</v>
      </c>
      <c r="Q156" s="28" t="s">
        <v>612</v>
      </c>
      <c r="R156" s="28" t="s">
        <v>1301</v>
      </c>
      <c r="S156" s="28" t="s">
        <v>1301</v>
      </c>
      <c r="T156" s="28" t="s">
        <v>1301</v>
      </c>
      <c r="U156" s="28" t="s">
        <v>1301</v>
      </c>
      <c r="V156" s="28" t="s">
        <v>1301</v>
      </c>
      <c r="W156" s="28" t="s">
        <v>1301</v>
      </c>
      <c r="X156" s="28" t="s">
        <v>1301</v>
      </c>
      <c r="Y156" s="28" t="s">
        <v>1301</v>
      </c>
      <c r="Z156" s="28" t="s">
        <v>1301</v>
      </c>
      <c r="AA156" s="28" t="s">
        <v>1301</v>
      </c>
      <c r="AB156" s="104" t="s">
        <v>663</v>
      </c>
      <c r="AC156" s="104" t="s">
        <v>1340</v>
      </c>
      <c r="AD156" s="9" t="s">
        <v>1269</v>
      </c>
      <c r="AE156" s="9"/>
      <c r="AF156" s="9"/>
      <c r="AG156" s="34"/>
      <c r="AH156" s="9"/>
      <c r="AI156" s="9"/>
      <c r="AJ156" s="45" t="s">
        <v>46</v>
      </c>
      <c r="AK156" s="45"/>
      <c r="AL156" s="45" t="s">
        <v>3059</v>
      </c>
      <c r="AM156" s="45" t="s">
        <v>46</v>
      </c>
      <c r="AN156" s="45" t="s">
        <v>46</v>
      </c>
      <c r="AO156" s="45" t="s">
        <v>46</v>
      </c>
      <c r="AP156" s="45" t="s">
        <v>46</v>
      </c>
      <c r="AQ156" s="45" t="s">
        <v>46</v>
      </c>
      <c r="AR156" s="45" t="s">
        <v>46</v>
      </c>
      <c r="AS156" s="45"/>
      <c r="AT156" s="45"/>
      <c r="AU156" s="45"/>
      <c r="AV156" s="45"/>
      <c r="AW156" s="9"/>
      <c r="AX156" s="9"/>
      <c r="AY156" s="9"/>
      <c r="AZ156" s="9"/>
      <c r="BA156" s="10" t="s">
        <v>1611</v>
      </c>
      <c r="BB156" s="29" t="s">
        <v>1611</v>
      </c>
      <c r="BC156" s="29" t="s">
        <v>1611</v>
      </c>
      <c r="BD156" s="29" t="s">
        <v>1611</v>
      </c>
      <c r="BE156" s="29" t="s">
        <v>1611</v>
      </c>
      <c r="BF156" s="29" t="s">
        <v>1611</v>
      </c>
      <c r="BG156" s="29" t="s">
        <v>1611</v>
      </c>
      <c r="BH156" s="29" t="s">
        <v>1611</v>
      </c>
      <c r="BI156" s="29" t="s">
        <v>2686</v>
      </c>
      <c r="BJ156" s="29" t="s">
        <v>2687</v>
      </c>
      <c r="BK156" s="29" t="s">
        <v>408</v>
      </c>
      <c r="BL156" s="29" t="s">
        <v>2601</v>
      </c>
      <c r="BM156" s="29" t="s">
        <v>1611</v>
      </c>
      <c r="BN156" s="29" t="s">
        <v>1611</v>
      </c>
      <c r="BO156" s="29" t="s">
        <v>1611</v>
      </c>
      <c r="BP156" s="29" t="s">
        <v>1611</v>
      </c>
      <c r="BQ156" s="29" t="s">
        <v>1611</v>
      </c>
      <c r="BR156" s="29" t="s">
        <v>1611</v>
      </c>
      <c r="BS156" s="29" t="s">
        <v>1611</v>
      </c>
      <c r="BT156" s="29" t="s">
        <v>1611</v>
      </c>
      <c r="BU156" s="29" t="s">
        <v>2381</v>
      </c>
      <c r="BV156" s="29" t="s">
        <v>2425</v>
      </c>
      <c r="BW156" s="29" t="s">
        <v>1611</v>
      </c>
      <c r="BX156" s="29" t="s">
        <v>1611</v>
      </c>
      <c r="BY156" s="29" t="s">
        <v>1611</v>
      </c>
      <c r="BZ156" s="29" t="s">
        <v>1611</v>
      </c>
      <c r="CA156" s="29" t="s">
        <v>1611</v>
      </c>
      <c r="CB156" s="29" t="s">
        <v>1611</v>
      </c>
      <c r="CC156" s="29" t="s">
        <v>1611</v>
      </c>
      <c r="CD156" s="29" t="s">
        <v>1611</v>
      </c>
      <c r="CE156" s="29" t="s">
        <v>1611</v>
      </c>
      <c r="CF156" s="29" t="s">
        <v>1611</v>
      </c>
      <c r="CG156" s="29" t="s">
        <v>1764</v>
      </c>
      <c r="CH156" s="29" t="s">
        <v>1882</v>
      </c>
      <c r="CI156" s="29" t="s">
        <v>1611</v>
      </c>
      <c r="CJ156" s="29" t="s">
        <v>1611</v>
      </c>
      <c r="CK156" s="29" t="s">
        <v>3471</v>
      </c>
      <c r="CL156" s="29" t="s">
        <v>3473</v>
      </c>
      <c r="CM156" s="29" t="s">
        <v>3472</v>
      </c>
      <c r="CN156" s="29" t="s">
        <v>3474</v>
      </c>
      <c r="CO156" s="29" t="s">
        <v>1611</v>
      </c>
      <c r="CP156" s="29" t="s">
        <v>1611</v>
      </c>
      <c r="CQ156" s="29" t="s">
        <v>1611</v>
      </c>
      <c r="CR156" s="29" t="s">
        <v>1611</v>
      </c>
      <c r="CS156" s="29" t="s">
        <v>1611</v>
      </c>
      <c r="CT156" s="29" t="s">
        <v>1611</v>
      </c>
      <c r="CU156" s="29" t="s">
        <v>1611</v>
      </c>
      <c r="CV156" s="29" t="s">
        <v>1611</v>
      </c>
      <c r="CW156" s="29"/>
      <c r="CX156" s="29"/>
      <c r="CY156" s="151"/>
      <c r="CZ156" t="s">
        <v>3616</v>
      </c>
      <c r="DA156" t="s">
        <v>3634</v>
      </c>
      <c r="DD156" s="96" t="str">
        <f t="shared" si="2"/>
        <v/>
      </c>
      <c r="DF156" s="96" t="s">
        <v>3753</v>
      </c>
    </row>
    <row r="157" spans="1:113" ht="16.5" customHeight="1" x14ac:dyDescent="0.3">
      <c r="A157" t="s">
        <v>3919</v>
      </c>
      <c r="B157" t="s">
        <v>3778</v>
      </c>
      <c r="C157" s="105">
        <v>1684738</v>
      </c>
      <c r="D157" s="27">
        <v>151</v>
      </c>
      <c r="E157" s="28" t="s">
        <v>794</v>
      </c>
      <c r="F157" s="28">
        <v>1000316074</v>
      </c>
      <c r="G157" s="29" t="s">
        <v>1109</v>
      </c>
      <c r="H157" s="28">
        <v>1684738</v>
      </c>
      <c r="I157" s="29" t="s">
        <v>1110</v>
      </c>
      <c r="J157" s="28" t="s">
        <v>429</v>
      </c>
      <c r="K157" s="7"/>
      <c r="L157" s="104" t="s">
        <v>745</v>
      </c>
      <c r="M157" s="29" t="s">
        <v>78</v>
      </c>
      <c r="N157" s="29" t="s">
        <v>3923</v>
      </c>
      <c r="O157" s="127">
        <v>150620</v>
      </c>
      <c r="P157" s="28" t="s">
        <v>362</v>
      </c>
      <c r="Q157" s="28" t="s">
        <v>362</v>
      </c>
      <c r="R157" s="28" t="s">
        <v>3769</v>
      </c>
      <c r="S157" s="28" t="s">
        <v>2245</v>
      </c>
      <c r="T157" s="28" t="s">
        <v>3769</v>
      </c>
      <c r="U157" s="28" t="s">
        <v>2245</v>
      </c>
      <c r="V157" s="28" t="s">
        <v>362</v>
      </c>
      <c r="W157" s="28" t="s">
        <v>362</v>
      </c>
      <c r="X157" s="28" t="s">
        <v>362</v>
      </c>
      <c r="Y157" s="28" t="s">
        <v>362</v>
      </c>
      <c r="Z157" s="28" t="s">
        <v>362</v>
      </c>
      <c r="AA157" s="28" t="s">
        <v>362</v>
      </c>
      <c r="AB157" s="104" t="s">
        <v>1949</v>
      </c>
      <c r="AC157" s="104" t="s">
        <v>1950</v>
      </c>
      <c r="AD157" s="9" t="s">
        <v>1269</v>
      </c>
      <c r="AE157" s="9"/>
      <c r="AF157" s="9"/>
      <c r="AG157" s="34"/>
      <c r="AH157" s="9"/>
      <c r="AI157" s="9"/>
      <c r="AJ157" s="9"/>
      <c r="AK157" s="45" t="s">
        <v>461</v>
      </c>
      <c r="AL157" s="45" t="s">
        <v>3059</v>
      </c>
      <c r="AM157" s="45"/>
      <c r="AN157" s="45"/>
      <c r="AO157" s="45"/>
      <c r="AP157" s="45"/>
      <c r="AQ157" s="45"/>
      <c r="AR157" s="45"/>
      <c r="AS157" s="45"/>
      <c r="AT157" s="45"/>
      <c r="AU157" s="45"/>
      <c r="AV157" s="45"/>
      <c r="AW157" s="9" t="s">
        <v>461</v>
      </c>
      <c r="AX157" s="9" t="s">
        <v>461</v>
      </c>
      <c r="AY157" s="9" t="s">
        <v>461</v>
      </c>
      <c r="AZ157" s="9" t="s">
        <v>461</v>
      </c>
      <c r="BA157" s="10" t="s">
        <v>51</v>
      </c>
      <c r="BB157" s="29" t="s">
        <v>2501</v>
      </c>
      <c r="BC157" s="29" t="s">
        <v>1611</v>
      </c>
      <c r="BD157" s="29" t="s">
        <v>1611</v>
      </c>
      <c r="BE157" s="29" t="s">
        <v>1611</v>
      </c>
      <c r="BF157" s="29" t="s">
        <v>1611</v>
      </c>
      <c r="BG157" s="29" t="s">
        <v>1611</v>
      </c>
      <c r="BH157" s="29" t="s">
        <v>1611</v>
      </c>
      <c r="BI157" s="29" t="s">
        <v>207</v>
      </c>
      <c r="BJ157" s="29" t="s">
        <v>2524</v>
      </c>
      <c r="BK157" s="29" t="s">
        <v>3101</v>
      </c>
      <c r="BL157" s="29" t="s">
        <v>3102</v>
      </c>
      <c r="BM157" s="29" t="s">
        <v>1611</v>
      </c>
      <c r="BN157" s="29" t="s">
        <v>1611</v>
      </c>
      <c r="BO157" s="29" t="s">
        <v>1611</v>
      </c>
      <c r="BP157" s="29" t="s">
        <v>1611</v>
      </c>
      <c r="BQ157" s="29" t="s">
        <v>1611</v>
      </c>
      <c r="BR157" s="29" t="s">
        <v>1611</v>
      </c>
      <c r="BS157" s="29" t="s">
        <v>1611</v>
      </c>
      <c r="BT157" s="29" t="s">
        <v>1611</v>
      </c>
      <c r="BU157" s="29" t="s">
        <v>3014</v>
      </c>
      <c r="BV157" t="s">
        <v>3015</v>
      </c>
      <c r="BW157" s="29" t="s">
        <v>1611</v>
      </c>
      <c r="BX157" s="29" t="s">
        <v>1611</v>
      </c>
      <c r="BY157" s="29" t="s">
        <v>1611</v>
      </c>
      <c r="BZ157" s="29" t="s">
        <v>1611</v>
      </c>
      <c r="CA157" s="29" t="s">
        <v>1611</v>
      </c>
      <c r="CB157" s="29" t="s">
        <v>1611</v>
      </c>
      <c r="CC157" s="29" t="s">
        <v>1611</v>
      </c>
      <c r="CD157" s="29" t="s">
        <v>1611</v>
      </c>
      <c r="CE157" s="29" t="s">
        <v>1611</v>
      </c>
      <c r="CF157" s="29" t="s">
        <v>1611</v>
      </c>
      <c r="CG157" s="29" t="s">
        <v>3013</v>
      </c>
      <c r="CH157" t="s">
        <v>3012</v>
      </c>
      <c r="CI157" s="29" t="s">
        <v>1611</v>
      </c>
      <c r="CJ157" s="29" t="s">
        <v>1611</v>
      </c>
      <c r="CK157" s="29" t="s">
        <v>3918</v>
      </c>
      <c r="CL157" s="29" t="s">
        <v>3916</v>
      </c>
      <c r="CM157" s="29" t="s">
        <v>1611</v>
      </c>
      <c r="CN157" s="29" t="s">
        <v>1611</v>
      </c>
      <c r="CO157" s="29" t="s">
        <v>1611</v>
      </c>
      <c r="CP157" s="29" t="s">
        <v>1611</v>
      </c>
      <c r="CQ157" s="29" t="s">
        <v>1611</v>
      </c>
      <c r="CR157" s="29" t="s">
        <v>1611</v>
      </c>
      <c r="CS157" s="29" t="s">
        <v>1611</v>
      </c>
      <c r="CT157" s="29" t="s">
        <v>1611</v>
      </c>
      <c r="CU157" s="29" t="s">
        <v>1611</v>
      </c>
      <c r="CV157" s="29" t="s">
        <v>1611</v>
      </c>
      <c r="CW157" s="29"/>
      <c r="CX157" s="29"/>
      <c r="CY157" s="151"/>
      <c r="CZ157" t="s">
        <v>3617</v>
      </c>
      <c r="DA157" t="s">
        <v>3634</v>
      </c>
      <c r="DD157" s="96" t="str">
        <f t="shared" si="2"/>
        <v/>
      </c>
      <c r="DF157" s="96" t="s">
        <v>3753</v>
      </c>
    </row>
    <row r="158" spans="1:113" ht="16.5" customHeight="1" x14ac:dyDescent="0.3">
      <c r="C158" s="105">
        <v>1684287</v>
      </c>
      <c r="D158" s="27">
        <v>152</v>
      </c>
      <c r="E158" s="28" t="s">
        <v>822</v>
      </c>
      <c r="F158" s="28">
        <v>1000869413</v>
      </c>
      <c r="G158" s="29" t="s">
        <v>1111</v>
      </c>
      <c r="H158" s="28">
        <v>1684287</v>
      </c>
      <c r="I158" s="29" t="s">
        <v>1112</v>
      </c>
      <c r="J158" s="28" t="s">
        <v>854</v>
      </c>
      <c r="K158" s="7"/>
      <c r="L158" s="104" t="s">
        <v>746</v>
      </c>
      <c r="M158" s="29" t="s">
        <v>2333</v>
      </c>
      <c r="N158" s="29" t="s">
        <v>2334</v>
      </c>
      <c r="O158" s="127">
        <v>386703</v>
      </c>
      <c r="P158" s="113" t="s">
        <v>2296</v>
      </c>
      <c r="Q158" s="28" t="s">
        <v>612</v>
      </c>
      <c r="R158" s="28" t="s">
        <v>1329</v>
      </c>
      <c r="S158" s="28" t="s">
        <v>612</v>
      </c>
      <c r="T158" s="28" t="s">
        <v>1329</v>
      </c>
      <c r="U158" s="28" t="s">
        <v>612</v>
      </c>
      <c r="V158" s="28" t="s">
        <v>1301</v>
      </c>
      <c r="W158" s="28" t="s">
        <v>1301</v>
      </c>
      <c r="X158" s="28" t="s">
        <v>1301</v>
      </c>
      <c r="Y158" s="28" t="s">
        <v>1301</v>
      </c>
      <c r="Z158" s="28" t="s">
        <v>1301</v>
      </c>
      <c r="AA158" s="28" t="s">
        <v>1301</v>
      </c>
      <c r="AB158" s="104" t="s">
        <v>663</v>
      </c>
      <c r="AC158" s="104" t="s">
        <v>2338</v>
      </c>
      <c r="AD158" s="9" t="s">
        <v>1269</v>
      </c>
      <c r="AE158" s="39"/>
      <c r="AF158" s="9"/>
      <c r="AG158" s="34"/>
      <c r="AH158" s="9"/>
      <c r="AI158" s="9" t="s">
        <v>46</v>
      </c>
      <c r="AJ158" s="9"/>
      <c r="AK158" s="45"/>
      <c r="AL158" s="45" t="s">
        <v>2278</v>
      </c>
      <c r="AM158" s="45" t="s">
        <v>2278</v>
      </c>
      <c r="AN158" s="45" t="s">
        <v>46</v>
      </c>
      <c r="AO158" s="45" t="s">
        <v>46</v>
      </c>
      <c r="AP158" s="45" t="s">
        <v>46</v>
      </c>
      <c r="AQ158" s="45" t="s">
        <v>46</v>
      </c>
      <c r="AR158" s="45" t="s">
        <v>46</v>
      </c>
      <c r="AS158" s="45" t="s">
        <v>46</v>
      </c>
      <c r="AT158" s="45"/>
      <c r="AU158" s="45"/>
      <c r="AV158" s="45"/>
      <c r="AW158" s="9"/>
      <c r="AX158" s="9"/>
      <c r="AY158" s="9"/>
      <c r="AZ158" s="9"/>
      <c r="BA158" s="10" t="s">
        <v>70</v>
      </c>
      <c r="BB158" s="29" t="s">
        <v>2616</v>
      </c>
      <c r="BC158" s="29" t="s">
        <v>1611</v>
      </c>
      <c r="BD158" s="29" t="s">
        <v>1611</v>
      </c>
      <c r="BE158" s="29" t="s">
        <v>1611</v>
      </c>
      <c r="BF158" s="29" t="s">
        <v>1611</v>
      </c>
      <c r="BG158" s="29" t="s">
        <v>1611</v>
      </c>
      <c r="BH158" s="29" t="s">
        <v>1611</v>
      </c>
      <c r="BI158" s="29" t="s">
        <v>191</v>
      </c>
      <c r="BJ158" s="29" t="s">
        <v>2685</v>
      </c>
      <c r="BK158" s="29" t="s">
        <v>305</v>
      </c>
      <c r="BL158" s="29" t="s">
        <v>2769</v>
      </c>
      <c r="BM158" s="29" t="s">
        <v>1611</v>
      </c>
      <c r="BN158" s="29" t="s">
        <v>1611</v>
      </c>
      <c r="BO158" s="29" t="s">
        <v>1611</v>
      </c>
      <c r="BP158" s="29" t="s">
        <v>1611</v>
      </c>
      <c r="BQ158" s="29" t="s">
        <v>1611</v>
      </c>
      <c r="BR158" s="29" t="s">
        <v>1611</v>
      </c>
      <c r="BS158" s="29" t="s">
        <v>1611</v>
      </c>
      <c r="BT158" s="29" t="s">
        <v>1611</v>
      </c>
      <c r="BU158" s="29" t="s">
        <v>3191</v>
      </c>
      <c r="BV158" s="29" t="s">
        <v>3192</v>
      </c>
      <c r="BW158" s="29" t="s">
        <v>1611</v>
      </c>
      <c r="BX158" s="29" t="s">
        <v>1611</v>
      </c>
      <c r="BY158" s="29" t="s">
        <v>1611</v>
      </c>
      <c r="BZ158" s="29" t="s">
        <v>1611</v>
      </c>
      <c r="CA158" s="29" t="s">
        <v>1611</v>
      </c>
      <c r="CB158" s="29" t="s">
        <v>1611</v>
      </c>
      <c r="CC158" s="29" t="s">
        <v>1611</v>
      </c>
      <c r="CD158" s="29" t="s">
        <v>1611</v>
      </c>
      <c r="CE158" s="29" t="s">
        <v>1611</v>
      </c>
      <c r="CF158" s="29" t="s">
        <v>1611</v>
      </c>
      <c r="CG158" s="29" t="s">
        <v>2924</v>
      </c>
      <c r="CH158" s="29" t="s">
        <v>2925</v>
      </c>
      <c r="CI158" s="29" t="s">
        <v>1611</v>
      </c>
      <c r="CJ158" s="29" t="s">
        <v>1611</v>
      </c>
      <c r="CK158" s="29" t="s">
        <v>2926</v>
      </c>
      <c r="CL158" s="29" t="s">
        <v>2927</v>
      </c>
      <c r="CM158" s="29" t="s">
        <v>2928</v>
      </c>
      <c r="CN158" s="29" t="s">
        <v>2929</v>
      </c>
      <c r="CO158" s="29" t="s">
        <v>1611</v>
      </c>
      <c r="CP158" s="29" t="s">
        <v>1611</v>
      </c>
      <c r="CQ158" s="29" t="s">
        <v>1611</v>
      </c>
      <c r="CR158" s="29" t="s">
        <v>1611</v>
      </c>
      <c r="CS158" s="29" t="s">
        <v>1611</v>
      </c>
      <c r="CT158" s="29" t="s">
        <v>1611</v>
      </c>
      <c r="CU158" s="29" t="s">
        <v>1611</v>
      </c>
      <c r="CV158" s="29" t="s">
        <v>1611</v>
      </c>
      <c r="CW158" s="29"/>
      <c r="CX158" s="29"/>
      <c r="CY158" s="151"/>
      <c r="CZ158" t="s">
        <v>3294</v>
      </c>
      <c r="DA158" t="s">
        <v>3634</v>
      </c>
      <c r="DD158" s="96" t="str">
        <f t="shared" si="2"/>
        <v/>
      </c>
      <c r="DF158" s="96" t="s">
        <v>3753</v>
      </c>
    </row>
    <row r="159" spans="1:113" ht="16.5" customHeight="1" x14ac:dyDescent="0.3">
      <c r="C159" s="105">
        <v>1688022</v>
      </c>
      <c r="D159" s="27">
        <v>153</v>
      </c>
      <c r="E159" s="28" t="s">
        <v>656</v>
      </c>
      <c r="F159" s="28">
        <v>1001324680</v>
      </c>
      <c r="G159" s="29" t="s">
        <v>1113</v>
      </c>
      <c r="H159" s="28">
        <v>1688022</v>
      </c>
      <c r="I159" s="29" t="s">
        <v>1114</v>
      </c>
      <c r="J159" s="28" t="s">
        <v>429</v>
      </c>
      <c r="K159" s="7"/>
      <c r="L159" s="104" t="s">
        <v>747</v>
      </c>
      <c r="M159" s="29"/>
      <c r="N159" s="29"/>
      <c r="O159" s="127">
        <v>179835</v>
      </c>
      <c r="P159" s="113" t="s">
        <v>2296</v>
      </c>
      <c r="Q159" s="28" t="s">
        <v>612</v>
      </c>
      <c r="R159" s="28" t="s">
        <v>1301</v>
      </c>
      <c r="S159" s="28" t="s">
        <v>1301</v>
      </c>
      <c r="T159" s="28" t="s">
        <v>1329</v>
      </c>
      <c r="U159" s="28" t="s">
        <v>612</v>
      </c>
      <c r="V159" s="28" t="s">
        <v>1301</v>
      </c>
      <c r="W159" s="28" t="s">
        <v>1301</v>
      </c>
      <c r="X159" s="28" t="s">
        <v>1301</v>
      </c>
      <c r="Y159" s="28" t="s">
        <v>1301</v>
      </c>
      <c r="Z159" s="28" t="s">
        <v>1301</v>
      </c>
      <c r="AA159" s="28" t="s">
        <v>1301</v>
      </c>
      <c r="AB159" s="104" t="s">
        <v>663</v>
      </c>
      <c r="AC159" s="104" t="s">
        <v>1340</v>
      </c>
      <c r="AD159" s="9" t="s">
        <v>1269</v>
      </c>
      <c r="AE159" s="9"/>
      <c r="AF159" s="9"/>
      <c r="AG159" s="34"/>
      <c r="AH159" s="9"/>
      <c r="AI159" s="9"/>
      <c r="AJ159" s="9"/>
      <c r="AK159" s="45"/>
      <c r="AL159" s="45" t="s">
        <v>2278</v>
      </c>
      <c r="AM159" s="45" t="s">
        <v>46</v>
      </c>
      <c r="AN159" s="45" t="s">
        <v>46</v>
      </c>
      <c r="AO159" s="45" t="s">
        <v>46</v>
      </c>
      <c r="AP159" s="45" t="s">
        <v>46</v>
      </c>
      <c r="AQ159" s="45" t="s">
        <v>46</v>
      </c>
      <c r="AR159" s="45" t="s">
        <v>46</v>
      </c>
      <c r="AS159" s="45" t="s">
        <v>46</v>
      </c>
      <c r="AT159" s="45"/>
      <c r="AU159" s="45"/>
      <c r="AV159" s="45"/>
      <c r="AW159" s="45" t="s">
        <v>46</v>
      </c>
      <c r="AX159" s="45" t="s">
        <v>46</v>
      </c>
      <c r="AY159" s="45" t="s">
        <v>46</v>
      </c>
      <c r="AZ159" s="45" t="s">
        <v>46</v>
      </c>
      <c r="BA159" s="10" t="s">
        <v>147</v>
      </c>
      <c r="BB159" s="29" t="s">
        <v>2695</v>
      </c>
      <c r="BC159" s="29" t="s">
        <v>1611</v>
      </c>
      <c r="BD159" s="29" t="s">
        <v>1611</v>
      </c>
      <c r="BE159" s="29" t="s">
        <v>1611</v>
      </c>
      <c r="BF159" s="29" t="s">
        <v>1611</v>
      </c>
      <c r="BG159" s="29" t="s">
        <v>2650</v>
      </c>
      <c r="BH159" s="29" t="s">
        <v>2651</v>
      </c>
      <c r="BI159" s="29" t="s">
        <v>252</v>
      </c>
      <c r="BJ159" s="29" t="s">
        <v>2930</v>
      </c>
      <c r="BK159" s="29" t="s">
        <v>185</v>
      </c>
      <c r="BL159" s="29" t="s">
        <v>2621</v>
      </c>
      <c r="BM159" s="29" t="s">
        <v>1611</v>
      </c>
      <c r="BN159" s="29" t="s">
        <v>1611</v>
      </c>
      <c r="BO159" s="29" t="s">
        <v>1611</v>
      </c>
      <c r="BP159" s="29" t="s">
        <v>1611</v>
      </c>
      <c r="BQ159" s="29" t="s">
        <v>1611</v>
      </c>
      <c r="BR159" s="29" t="s">
        <v>1611</v>
      </c>
      <c r="BS159" s="29" t="s">
        <v>1611</v>
      </c>
      <c r="BT159" s="29" t="s">
        <v>1611</v>
      </c>
      <c r="BU159" s="29" t="s">
        <v>2375</v>
      </c>
      <c r="BV159" s="29" t="s">
        <v>3069</v>
      </c>
      <c r="BW159" s="29" t="s">
        <v>1611</v>
      </c>
      <c r="BX159" s="29" t="s">
        <v>1611</v>
      </c>
      <c r="BY159" s="29" t="s">
        <v>1611</v>
      </c>
      <c r="BZ159" s="29" t="s">
        <v>1611</v>
      </c>
      <c r="CA159" s="29" t="s">
        <v>1611</v>
      </c>
      <c r="CB159" s="29" t="s">
        <v>1611</v>
      </c>
      <c r="CC159" s="29" t="s">
        <v>1611</v>
      </c>
      <c r="CD159" s="29" t="s">
        <v>1611</v>
      </c>
      <c r="CE159" s="29" t="s">
        <v>1611</v>
      </c>
      <c r="CF159" s="29" t="s">
        <v>1611</v>
      </c>
      <c r="CG159" s="29" t="s">
        <v>1768</v>
      </c>
      <c r="CH159" s="29" t="s">
        <v>1886</v>
      </c>
      <c r="CI159" s="29" t="s">
        <v>1611</v>
      </c>
      <c r="CJ159" s="29" t="s">
        <v>1611</v>
      </c>
      <c r="CK159" s="29" t="s">
        <v>3321</v>
      </c>
      <c r="CL159" s="29" t="s">
        <v>3324</v>
      </c>
      <c r="CM159" s="29" t="s">
        <v>3322</v>
      </c>
      <c r="CN159" s="29" t="s">
        <v>3323</v>
      </c>
      <c r="CO159" s="29" t="s">
        <v>1611</v>
      </c>
      <c r="CP159" s="29" t="s">
        <v>1611</v>
      </c>
      <c r="CQ159" s="29" t="s">
        <v>1611</v>
      </c>
      <c r="CR159" s="29" t="s">
        <v>1611</v>
      </c>
      <c r="CS159" s="29" t="s">
        <v>1611</v>
      </c>
      <c r="CT159" s="29" t="s">
        <v>1611</v>
      </c>
      <c r="CU159" s="29" t="s">
        <v>1611</v>
      </c>
      <c r="CV159" s="29" t="s">
        <v>1611</v>
      </c>
      <c r="CW159" s="29"/>
      <c r="CX159" s="29"/>
      <c r="CY159" s="151"/>
      <c r="CZ159" t="s">
        <v>3295</v>
      </c>
      <c r="DA159" t="s">
        <v>3634</v>
      </c>
      <c r="DD159" s="96" t="str">
        <f t="shared" si="2"/>
        <v/>
      </c>
      <c r="DF159" s="96" t="s">
        <v>3753</v>
      </c>
      <c r="DI159" s="215"/>
    </row>
    <row r="160" spans="1:113" ht="16.5" customHeight="1" x14ac:dyDescent="0.3">
      <c r="C160" s="105">
        <v>1698482</v>
      </c>
      <c r="D160" s="27">
        <v>154</v>
      </c>
      <c r="E160" s="28" t="s">
        <v>822</v>
      </c>
      <c r="F160" s="28">
        <v>1000870744</v>
      </c>
      <c r="G160" s="29" t="s">
        <v>1116</v>
      </c>
      <c r="H160" s="28">
        <v>1698482</v>
      </c>
      <c r="I160" s="29" t="s">
        <v>1117</v>
      </c>
      <c r="J160" s="28" t="s">
        <v>854</v>
      </c>
      <c r="K160" s="7"/>
      <c r="L160" s="104" t="s">
        <v>748</v>
      </c>
      <c r="M160" s="29"/>
      <c r="N160" s="29"/>
      <c r="O160" s="127"/>
      <c r="P160" s="28"/>
      <c r="Q160" s="28"/>
      <c r="R160" s="28"/>
      <c r="S160" s="28"/>
      <c r="T160" s="28"/>
      <c r="U160" s="28"/>
      <c r="V160" s="28"/>
      <c r="W160" s="28"/>
      <c r="X160" s="28"/>
      <c r="Y160" s="28"/>
      <c r="Z160" s="28"/>
      <c r="AA160" s="28"/>
      <c r="AB160" s="104"/>
      <c r="AC160" s="104"/>
      <c r="AD160" s="9" t="s">
        <v>1269</v>
      </c>
      <c r="AE160" s="39">
        <v>45995</v>
      </c>
      <c r="AF160" s="9" t="s">
        <v>1276</v>
      </c>
      <c r="AG160" s="108" t="s">
        <v>3654</v>
      </c>
      <c r="AH160" s="9"/>
      <c r="AI160" s="9"/>
      <c r="AJ160" s="9"/>
      <c r="AK160" s="9"/>
      <c r="AL160" s="45" t="s">
        <v>2315</v>
      </c>
      <c r="AM160" s="9"/>
      <c r="AN160" s="9"/>
      <c r="AO160" s="9"/>
      <c r="AP160" s="9"/>
      <c r="AQ160" s="9"/>
      <c r="AR160" s="9"/>
      <c r="AS160" s="9"/>
      <c r="AT160" s="45"/>
      <c r="AU160" s="45"/>
      <c r="AV160" s="45"/>
      <c r="AW160" s="9"/>
      <c r="AX160" s="9"/>
      <c r="AY160" s="9"/>
      <c r="AZ160" s="9"/>
      <c r="BA160" s="10" t="s">
        <v>92</v>
      </c>
      <c r="BB160" s="29" t="s">
        <v>2628</v>
      </c>
      <c r="BC160" s="29" t="s">
        <v>1611</v>
      </c>
      <c r="BD160" s="29" t="s">
        <v>1611</v>
      </c>
      <c r="BE160" s="29" t="s">
        <v>2502</v>
      </c>
      <c r="BF160" s="29" t="s">
        <v>2503</v>
      </c>
      <c r="BG160" s="29" t="s">
        <v>2569</v>
      </c>
      <c r="BH160" s="29" t="s">
        <v>2570</v>
      </c>
      <c r="BI160" s="29" t="s">
        <v>2785</v>
      </c>
      <c r="BJ160" s="29" t="s">
        <v>2786</v>
      </c>
      <c r="BK160" s="29" t="s">
        <v>275</v>
      </c>
      <c r="BL160" s="29" t="s">
        <v>2645</v>
      </c>
      <c r="BM160" s="29" t="s">
        <v>1611</v>
      </c>
      <c r="BN160" s="29" t="s">
        <v>1611</v>
      </c>
      <c r="BO160" s="29" t="s">
        <v>1611</v>
      </c>
      <c r="BP160" s="29" t="s">
        <v>1611</v>
      </c>
      <c r="BQ160" s="29" t="s">
        <v>1611</v>
      </c>
      <c r="BR160" s="29" t="s">
        <v>1611</v>
      </c>
      <c r="BS160" s="29" t="s">
        <v>1611</v>
      </c>
      <c r="BT160" s="29" t="s">
        <v>1611</v>
      </c>
      <c r="BU160" s="29" t="s">
        <v>2380</v>
      </c>
      <c r="BV160" s="29" t="s">
        <v>2424</v>
      </c>
      <c r="BW160" s="29" t="s">
        <v>1611</v>
      </c>
      <c r="BX160" s="29" t="s">
        <v>1611</v>
      </c>
      <c r="BY160" s="29" t="s">
        <v>1611</v>
      </c>
      <c r="BZ160" s="29" t="s">
        <v>1611</v>
      </c>
      <c r="CA160" s="29" t="s">
        <v>1611</v>
      </c>
      <c r="CB160" s="29" t="s">
        <v>1611</v>
      </c>
      <c r="CC160" s="29" t="s">
        <v>1611</v>
      </c>
      <c r="CD160" s="29" t="s">
        <v>1611</v>
      </c>
      <c r="CE160" s="29" t="s">
        <v>1611</v>
      </c>
      <c r="CF160" s="29" t="s">
        <v>1611</v>
      </c>
      <c r="CG160" s="29" t="s">
        <v>1736</v>
      </c>
      <c r="CH160" s="29" t="s">
        <v>1849</v>
      </c>
      <c r="CI160" s="29" t="s">
        <v>1611</v>
      </c>
      <c r="CJ160" s="29" t="s">
        <v>1611</v>
      </c>
      <c r="CK160" s="29" t="s">
        <v>1611</v>
      </c>
      <c r="CL160" s="29" t="s">
        <v>1611</v>
      </c>
      <c r="CM160" s="29" t="s">
        <v>1611</v>
      </c>
      <c r="CN160" s="29" t="s">
        <v>1611</v>
      </c>
      <c r="CO160" s="29" t="s">
        <v>1611</v>
      </c>
      <c r="CP160" s="29" t="s">
        <v>1611</v>
      </c>
      <c r="CQ160" s="29" t="s">
        <v>1611</v>
      </c>
      <c r="CR160" s="29" t="s">
        <v>1611</v>
      </c>
      <c r="CS160" s="29" t="s">
        <v>1611</v>
      </c>
      <c r="CT160" s="29" t="s">
        <v>1611</v>
      </c>
      <c r="CU160" s="29" t="s">
        <v>1611</v>
      </c>
      <c r="CV160" s="29" t="s">
        <v>1611</v>
      </c>
      <c r="CW160" s="29"/>
      <c r="CX160" s="29"/>
      <c r="CY160" s="151"/>
      <c r="CZ160" t="s">
        <v>3741</v>
      </c>
      <c r="DA160" t="s">
        <v>3724</v>
      </c>
      <c r="DD160" s="96" t="str">
        <f t="shared" si="2"/>
        <v>V</v>
      </c>
      <c r="DI160" s="215"/>
    </row>
    <row r="161" spans="1:113" ht="16.5" customHeight="1" x14ac:dyDescent="0.3">
      <c r="C161" s="105">
        <v>1685948</v>
      </c>
      <c r="D161" s="27">
        <v>155</v>
      </c>
      <c r="E161" s="28" t="s">
        <v>818</v>
      </c>
      <c r="F161" s="28">
        <v>1000317239</v>
      </c>
      <c r="G161" s="29" t="s">
        <v>1118</v>
      </c>
      <c r="H161" s="28">
        <v>1685948</v>
      </c>
      <c r="I161" s="29" t="s">
        <v>1119</v>
      </c>
      <c r="J161" s="28"/>
      <c r="K161" s="7"/>
      <c r="L161" s="104"/>
      <c r="M161" s="29"/>
      <c r="N161" s="29"/>
      <c r="O161" s="127"/>
      <c r="P161" s="28"/>
      <c r="Q161" s="28"/>
      <c r="R161" s="28"/>
      <c r="S161" s="28"/>
      <c r="T161" s="28"/>
      <c r="U161" s="28"/>
      <c r="V161" s="28"/>
      <c r="W161" s="28"/>
      <c r="X161" s="28"/>
      <c r="Y161" s="28"/>
      <c r="Z161" s="28"/>
      <c r="AA161" s="28"/>
      <c r="AB161" s="104"/>
      <c r="AC161" s="104"/>
      <c r="AD161" s="9" t="s">
        <v>1269</v>
      </c>
      <c r="AE161" s="39">
        <v>46059</v>
      </c>
      <c r="AF161" s="9" t="s">
        <v>1276</v>
      </c>
      <c r="AG161" s="34" t="s">
        <v>3759</v>
      </c>
      <c r="AH161" s="9"/>
      <c r="AI161" s="9"/>
      <c r="AJ161" s="9"/>
      <c r="AK161" s="45"/>
      <c r="AL161" s="45"/>
      <c r="AM161" s="45"/>
      <c r="AN161" s="45"/>
      <c r="AO161" s="45"/>
      <c r="AP161" s="45"/>
      <c r="AQ161" s="45"/>
      <c r="AR161" s="45"/>
      <c r="AS161" s="45"/>
      <c r="AT161" s="45"/>
      <c r="AU161" s="45"/>
      <c r="AV161" s="45"/>
      <c r="AW161" s="9"/>
      <c r="AX161" s="9"/>
      <c r="AY161" s="9"/>
      <c r="AZ161" s="9"/>
      <c r="BA161" s="10" t="s">
        <v>1611</v>
      </c>
      <c r="BB161" s="29" t="s">
        <v>1611</v>
      </c>
      <c r="BC161" s="29" t="s">
        <v>1611</v>
      </c>
      <c r="BD161" s="29" t="s">
        <v>1611</v>
      </c>
      <c r="BE161" s="29" t="s">
        <v>1611</v>
      </c>
      <c r="BF161" s="29" t="s">
        <v>1611</v>
      </c>
      <c r="BG161" s="29" t="s">
        <v>1611</v>
      </c>
      <c r="BH161" s="29" t="s">
        <v>1611</v>
      </c>
      <c r="BI161" s="29" t="s">
        <v>329</v>
      </c>
      <c r="BJ161" s="29" t="s">
        <v>2591</v>
      </c>
      <c r="BK161" s="29" t="s">
        <v>2748</v>
      </c>
      <c r="BL161" s="29" t="s">
        <v>2749</v>
      </c>
      <c r="BM161" s="29" t="s">
        <v>1611</v>
      </c>
      <c r="BN161" s="29" t="s">
        <v>1611</v>
      </c>
      <c r="BO161" s="29" t="s">
        <v>1611</v>
      </c>
      <c r="BP161" s="29" t="s">
        <v>1611</v>
      </c>
      <c r="BQ161" s="29" t="s">
        <v>1611</v>
      </c>
      <c r="BR161" s="29" t="s">
        <v>1611</v>
      </c>
      <c r="BS161" s="29" t="s">
        <v>1611</v>
      </c>
      <c r="BT161" s="29" t="s">
        <v>1611</v>
      </c>
      <c r="BU161" s="29" t="s">
        <v>2376</v>
      </c>
      <c r="BV161" s="29" t="s">
        <v>2420</v>
      </c>
      <c r="BW161" s="29" t="s">
        <v>1611</v>
      </c>
      <c r="BX161" s="29" t="s">
        <v>1611</v>
      </c>
      <c r="BY161" s="29" t="s">
        <v>1611</v>
      </c>
      <c r="BZ161" s="29" t="s">
        <v>1611</v>
      </c>
      <c r="CA161" s="29" t="s">
        <v>1611</v>
      </c>
      <c r="CB161" s="29" t="s">
        <v>1611</v>
      </c>
      <c r="CC161" s="29" t="s">
        <v>1611</v>
      </c>
      <c r="CD161" s="29" t="s">
        <v>1611</v>
      </c>
      <c r="CE161" s="29" t="s">
        <v>1611</v>
      </c>
      <c r="CF161" s="29" t="s">
        <v>1611</v>
      </c>
      <c r="CG161" s="29" t="s">
        <v>1769</v>
      </c>
      <c r="CH161" s="29" t="s">
        <v>1887</v>
      </c>
      <c r="CI161" s="29" t="s">
        <v>1611</v>
      </c>
      <c r="CJ161" s="29" t="s">
        <v>1611</v>
      </c>
      <c r="CK161" s="29" t="s">
        <v>1611</v>
      </c>
      <c r="CL161" s="29" t="s">
        <v>1611</v>
      </c>
      <c r="CM161" s="29" t="s">
        <v>1611</v>
      </c>
      <c r="CN161" s="29" t="s">
        <v>1611</v>
      </c>
      <c r="CO161" s="29" t="s">
        <v>1611</v>
      </c>
      <c r="CP161" s="29" t="s">
        <v>1611</v>
      </c>
      <c r="CQ161" s="29" t="s">
        <v>1611</v>
      </c>
      <c r="CR161" s="29" t="s">
        <v>1611</v>
      </c>
      <c r="CS161" s="29" t="s">
        <v>1611</v>
      </c>
      <c r="CT161" s="29" t="s">
        <v>1611</v>
      </c>
      <c r="CU161" s="29" t="s">
        <v>1611</v>
      </c>
      <c r="CV161" s="29" t="s">
        <v>1611</v>
      </c>
      <c r="CW161" s="29"/>
      <c r="CX161" s="29"/>
      <c r="CY161" s="151"/>
      <c r="CZ161" t="e">
        <v>#N/A</v>
      </c>
      <c r="DA161" t="e">
        <v>#N/A</v>
      </c>
      <c r="DC161" s="96" t="s">
        <v>3700</v>
      </c>
      <c r="DD161" s="96" t="str">
        <f t="shared" si="2"/>
        <v>V</v>
      </c>
      <c r="DI161" s="215"/>
    </row>
    <row r="162" spans="1:113" ht="16.5" customHeight="1" x14ac:dyDescent="0.3">
      <c r="C162" s="105">
        <v>1681656</v>
      </c>
      <c r="D162" s="27">
        <v>156</v>
      </c>
      <c r="E162" s="28" t="s">
        <v>786</v>
      </c>
      <c r="F162" s="28">
        <v>1001123145</v>
      </c>
      <c r="G162" s="29" t="s">
        <v>1120</v>
      </c>
      <c r="H162" s="28">
        <v>1681656</v>
      </c>
      <c r="I162" s="29" t="s">
        <v>1121</v>
      </c>
      <c r="J162" s="28" t="s">
        <v>854</v>
      </c>
      <c r="K162" s="7"/>
      <c r="L162" s="104" t="s">
        <v>749</v>
      </c>
      <c r="M162" s="29"/>
      <c r="N162" s="29"/>
      <c r="O162" s="127"/>
      <c r="P162" s="28"/>
      <c r="Q162" s="28"/>
      <c r="R162" s="28"/>
      <c r="S162" s="28"/>
      <c r="T162" s="28"/>
      <c r="U162" s="28"/>
      <c r="V162" s="28"/>
      <c r="W162" s="28"/>
      <c r="X162" s="28"/>
      <c r="Y162" s="28"/>
      <c r="Z162" s="28"/>
      <c r="AA162" s="28"/>
      <c r="AB162" s="104"/>
      <c r="AC162" s="104"/>
      <c r="AD162" s="9" t="s">
        <v>1269</v>
      </c>
      <c r="AE162" s="39">
        <v>45960</v>
      </c>
      <c r="AF162" s="9" t="s">
        <v>1276</v>
      </c>
      <c r="AG162" s="34" t="s">
        <v>2487</v>
      </c>
      <c r="AH162" s="9"/>
      <c r="AI162" s="9"/>
      <c r="AJ162" s="9"/>
      <c r="AK162" s="45"/>
      <c r="AL162" s="45" t="s">
        <v>1611</v>
      </c>
      <c r="AM162" s="45"/>
      <c r="AN162" s="45"/>
      <c r="AO162" s="45"/>
      <c r="AP162" s="45"/>
      <c r="AQ162" s="45"/>
      <c r="AR162" s="45"/>
      <c r="AS162" s="45"/>
      <c r="AT162" s="45"/>
      <c r="AU162" s="45"/>
      <c r="AV162" s="45"/>
      <c r="AW162" s="9"/>
      <c r="AX162" s="9"/>
      <c r="AY162" s="9"/>
      <c r="AZ162" s="9"/>
      <c r="BA162" s="10" t="s">
        <v>92</v>
      </c>
      <c r="BB162" s="29" t="s">
        <v>2628</v>
      </c>
      <c r="BC162" s="29" t="s">
        <v>1611</v>
      </c>
      <c r="BD162" s="29" t="s">
        <v>1611</v>
      </c>
      <c r="BE162" s="29" t="s">
        <v>2514</v>
      </c>
      <c r="BF162" s="29" t="s">
        <v>2515</v>
      </c>
      <c r="BG162" s="29" t="s">
        <v>2660</v>
      </c>
      <c r="BH162" s="29" t="s">
        <v>2661</v>
      </c>
      <c r="BI162" s="29" t="s">
        <v>2584</v>
      </c>
      <c r="BJ162" s="29" t="s">
        <v>2876</v>
      </c>
      <c r="BK162" s="29" t="s">
        <v>575</v>
      </c>
      <c r="BL162" s="29" t="s">
        <v>2676</v>
      </c>
      <c r="BM162" s="29" t="s">
        <v>1611</v>
      </c>
      <c r="BN162" s="29" t="s">
        <v>1611</v>
      </c>
      <c r="BO162" s="29" t="s">
        <v>1611</v>
      </c>
      <c r="BP162" s="29" t="s">
        <v>1611</v>
      </c>
      <c r="BQ162" s="29" t="s">
        <v>1611</v>
      </c>
      <c r="BR162" s="29" t="s">
        <v>1611</v>
      </c>
      <c r="BS162" s="29" t="s">
        <v>1611</v>
      </c>
      <c r="BT162" s="29" t="s">
        <v>1611</v>
      </c>
      <c r="BU162" s="29" t="s">
        <v>209</v>
      </c>
      <c r="BV162" s="29" t="s">
        <v>2426</v>
      </c>
      <c r="BW162" s="29" t="s">
        <v>1611</v>
      </c>
      <c r="BX162" s="29" t="s">
        <v>1611</v>
      </c>
      <c r="BY162" s="29" t="s">
        <v>1611</v>
      </c>
      <c r="BZ162" s="29" t="s">
        <v>1611</v>
      </c>
      <c r="CA162" s="29" t="s">
        <v>1611</v>
      </c>
      <c r="CB162" s="29" t="s">
        <v>1611</v>
      </c>
      <c r="CC162" s="29" t="s">
        <v>1611</v>
      </c>
      <c r="CD162" s="29" t="s">
        <v>1611</v>
      </c>
      <c r="CE162" s="29" t="s">
        <v>1611</v>
      </c>
      <c r="CF162" s="29" t="s">
        <v>1611</v>
      </c>
      <c r="CG162" s="29" t="s">
        <v>1760</v>
      </c>
      <c r="CH162" s="29" t="s">
        <v>1878</v>
      </c>
      <c r="CI162" s="29" t="s">
        <v>1611</v>
      </c>
      <c r="CJ162" s="29" t="s">
        <v>1611</v>
      </c>
      <c r="CK162" s="29" t="s">
        <v>1611</v>
      </c>
      <c r="CL162" s="29" t="s">
        <v>1611</v>
      </c>
      <c r="CM162" s="29" t="s">
        <v>1611</v>
      </c>
      <c r="CN162" s="29" t="s">
        <v>1611</v>
      </c>
      <c r="CO162" s="29" t="s">
        <v>1611</v>
      </c>
      <c r="CP162" s="29" t="s">
        <v>1611</v>
      </c>
      <c r="CQ162" s="29" t="s">
        <v>1611</v>
      </c>
      <c r="CR162" s="29" t="s">
        <v>1611</v>
      </c>
      <c r="CS162" s="29" t="s">
        <v>1611</v>
      </c>
      <c r="CT162" s="29" t="s">
        <v>1611</v>
      </c>
      <c r="CU162" s="29" t="s">
        <v>1611</v>
      </c>
      <c r="CV162" s="29" t="s">
        <v>1611</v>
      </c>
      <c r="CW162" s="29"/>
      <c r="CX162" s="29"/>
      <c r="CY162" s="151"/>
      <c r="CZ162" t="e">
        <v>#N/A</v>
      </c>
      <c r="DA162" t="e">
        <v>#N/A</v>
      </c>
      <c r="DD162" s="96" t="str">
        <f t="shared" si="2"/>
        <v>V</v>
      </c>
      <c r="DI162" s="215"/>
    </row>
    <row r="163" spans="1:113" ht="16.5" customHeight="1" x14ac:dyDescent="0.3">
      <c r="C163" s="105">
        <v>1683466</v>
      </c>
      <c r="D163" s="27">
        <v>157</v>
      </c>
      <c r="E163" s="28" t="s">
        <v>792</v>
      </c>
      <c r="F163" s="28">
        <v>1000315052</v>
      </c>
      <c r="G163" s="29" t="s">
        <v>1122</v>
      </c>
      <c r="H163" s="28">
        <v>1683466</v>
      </c>
      <c r="I163" s="29" t="s">
        <v>1123</v>
      </c>
      <c r="J163" s="28" t="s">
        <v>659</v>
      </c>
      <c r="K163" s="7"/>
      <c r="L163" s="104" t="s">
        <v>750</v>
      </c>
      <c r="M163" s="29"/>
      <c r="N163" s="29"/>
      <c r="O163" s="127"/>
      <c r="P163" s="28"/>
      <c r="Q163" s="28"/>
      <c r="R163" s="28"/>
      <c r="S163" s="28"/>
      <c r="T163" s="28"/>
      <c r="U163" s="28"/>
      <c r="V163" s="28"/>
      <c r="W163" s="28"/>
      <c r="X163" s="28"/>
      <c r="Y163" s="28"/>
      <c r="Z163" s="28"/>
      <c r="AA163" s="28"/>
      <c r="AB163" s="104"/>
      <c r="AC163" s="104"/>
      <c r="AD163" s="9" t="s">
        <v>1269</v>
      </c>
      <c r="AE163" s="39">
        <v>45901</v>
      </c>
      <c r="AF163" s="9" t="s">
        <v>2482</v>
      </c>
      <c r="AG163" s="34" t="s">
        <v>2483</v>
      </c>
      <c r="AH163" s="9"/>
      <c r="AI163" s="9"/>
      <c r="AJ163" s="9"/>
      <c r="AK163" s="45"/>
      <c r="AL163" s="45" t="s">
        <v>3100</v>
      </c>
      <c r="AM163" s="45"/>
      <c r="AN163" s="45"/>
      <c r="AO163" s="45"/>
      <c r="AP163" s="45"/>
      <c r="AQ163" s="45"/>
      <c r="AR163" s="45"/>
      <c r="AS163" s="45"/>
      <c r="AT163" s="45"/>
      <c r="AU163" s="45"/>
      <c r="AV163" s="45"/>
      <c r="AW163" s="9"/>
      <c r="AX163" s="9"/>
      <c r="AY163" s="9"/>
      <c r="AZ163" s="9"/>
      <c r="BA163" s="10" t="s">
        <v>1611</v>
      </c>
      <c r="BB163" s="29" t="s">
        <v>1611</v>
      </c>
      <c r="BC163" s="29" t="s">
        <v>1611</v>
      </c>
      <c r="BD163" s="29" t="s">
        <v>1611</v>
      </c>
      <c r="BE163" s="29" t="s">
        <v>1611</v>
      </c>
      <c r="BF163" s="29" t="s">
        <v>1611</v>
      </c>
      <c r="BG163" s="29" t="s">
        <v>1611</v>
      </c>
      <c r="BH163" s="29" t="s">
        <v>1611</v>
      </c>
      <c r="BI163" s="29" t="s">
        <v>2740</v>
      </c>
      <c r="BJ163" s="29" t="s">
        <v>2741</v>
      </c>
      <c r="BK163" s="29" t="s">
        <v>570</v>
      </c>
      <c r="BL163" s="29" t="s">
        <v>2696</v>
      </c>
      <c r="BM163" s="29" t="s">
        <v>1611</v>
      </c>
      <c r="BN163" s="29" t="s">
        <v>1611</v>
      </c>
      <c r="BO163" s="29" t="s">
        <v>1611</v>
      </c>
      <c r="BP163" s="29" t="s">
        <v>1611</v>
      </c>
      <c r="BQ163" s="29" t="s">
        <v>1611</v>
      </c>
      <c r="BR163" s="29" t="s">
        <v>1611</v>
      </c>
      <c r="BS163" s="29" t="s">
        <v>1611</v>
      </c>
      <c r="BT163" s="29" t="s">
        <v>1611</v>
      </c>
      <c r="BU163" s="29" t="s">
        <v>2382</v>
      </c>
      <c r="BV163" s="29" t="s">
        <v>2429</v>
      </c>
      <c r="BW163" s="29" t="s">
        <v>1611</v>
      </c>
      <c r="BX163" s="29" t="s">
        <v>1611</v>
      </c>
      <c r="BY163" s="29" t="s">
        <v>1611</v>
      </c>
      <c r="BZ163" s="29" t="s">
        <v>1611</v>
      </c>
      <c r="CA163" s="29" t="s">
        <v>1611</v>
      </c>
      <c r="CB163" s="29" t="s">
        <v>1611</v>
      </c>
      <c r="CC163" s="29" t="s">
        <v>1611</v>
      </c>
      <c r="CD163" s="29" t="s">
        <v>1611</v>
      </c>
      <c r="CE163" s="29" t="s">
        <v>1611</v>
      </c>
      <c r="CF163" s="29" t="s">
        <v>1611</v>
      </c>
      <c r="CG163" s="29" t="s">
        <v>1770</v>
      </c>
      <c r="CH163" s="29" t="s">
        <v>1888</v>
      </c>
      <c r="CI163" s="29" t="s">
        <v>1611</v>
      </c>
      <c r="CJ163" s="29" t="s">
        <v>1611</v>
      </c>
      <c r="CK163" s="29" t="s">
        <v>1611</v>
      </c>
      <c r="CL163" s="29" t="s">
        <v>1611</v>
      </c>
      <c r="CM163" s="29" t="s">
        <v>1611</v>
      </c>
      <c r="CN163" s="29" t="s">
        <v>1611</v>
      </c>
      <c r="CO163" s="29" t="s">
        <v>1611</v>
      </c>
      <c r="CP163" s="29" t="s">
        <v>1611</v>
      </c>
      <c r="CQ163" s="29" t="s">
        <v>1611</v>
      </c>
      <c r="CR163" s="29" t="s">
        <v>1611</v>
      </c>
      <c r="CS163" s="29" t="s">
        <v>1611</v>
      </c>
      <c r="CT163" s="29" t="s">
        <v>1611</v>
      </c>
      <c r="CU163" s="29" t="s">
        <v>1611</v>
      </c>
      <c r="CV163" s="29" t="s">
        <v>1611</v>
      </c>
      <c r="CW163" s="29"/>
      <c r="CX163" s="29"/>
      <c r="CY163" s="151"/>
      <c r="CZ163" t="s">
        <v>3734</v>
      </c>
      <c r="DA163" t="s">
        <v>3587</v>
      </c>
      <c r="DD163" s="96" t="str">
        <f t="shared" si="2"/>
        <v>V</v>
      </c>
      <c r="DI163" s="215"/>
    </row>
    <row r="164" spans="1:113" ht="16.5" customHeight="1" x14ac:dyDescent="0.3">
      <c r="C164" s="105">
        <v>1684245</v>
      </c>
      <c r="D164" s="27">
        <v>158</v>
      </c>
      <c r="E164" s="28" t="s">
        <v>656</v>
      </c>
      <c r="F164" s="28">
        <v>1000661436</v>
      </c>
      <c r="G164" s="29" t="s">
        <v>1126</v>
      </c>
      <c r="H164" s="28">
        <v>1684245</v>
      </c>
      <c r="I164" s="29" t="s">
        <v>1127</v>
      </c>
      <c r="J164" s="28" t="s">
        <v>659</v>
      </c>
      <c r="K164" s="7"/>
      <c r="L164" s="104" t="s">
        <v>665</v>
      </c>
      <c r="M164" s="29"/>
      <c r="N164" s="29"/>
      <c r="O164" s="127"/>
      <c r="P164" s="28"/>
      <c r="Q164" s="28"/>
      <c r="R164" s="28"/>
      <c r="S164" s="28"/>
      <c r="T164" s="28"/>
      <c r="U164" s="28"/>
      <c r="V164" s="28"/>
      <c r="W164" s="28"/>
      <c r="X164" s="28"/>
      <c r="Y164" s="28"/>
      <c r="Z164" s="28"/>
      <c r="AA164" s="28"/>
      <c r="AB164" s="104"/>
      <c r="AC164" s="104"/>
      <c r="AD164" s="9" t="s">
        <v>1269</v>
      </c>
      <c r="AE164" s="39">
        <v>45964</v>
      </c>
      <c r="AF164" s="9" t="s">
        <v>1276</v>
      </c>
      <c r="AG164" s="34" t="s">
        <v>1639</v>
      </c>
      <c r="AH164" s="9"/>
      <c r="AI164" s="9" t="s">
        <v>2491</v>
      </c>
      <c r="AJ164" s="9"/>
      <c r="AK164" s="45"/>
      <c r="AL164" s="9" t="s">
        <v>2491</v>
      </c>
      <c r="AM164" s="45"/>
      <c r="AN164" s="45"/>
      <c r="AO164" s="45"/>
      <c r="AP164" s="45"/>
      <c r="AQ164" s="45"/>
      <c r="AR164" s="45"/>
      <c r="AS164" s="45"/>
      <c r="AT164" s="45"/>
      <c r="AU164" s="45"/>
      <c r="AV164" s="45"/>
      <c r="AW164" s="9"/>
      <c r="AX164" s="9"/>
      <c r="AY164" s="9"/>
      <c r="AZ164" s="9"/>
      <c r="BA164" s="10" t="s">
        <v>1611</v>
      </c>
      <c r="BB164" s="29" t="s">
        <v>1611</v>
      </c>
      <c r="BC164" s="29" t="s">
        <v>1611</v>
      </c>
      <c r="BD164" s="29" t="s">
        <v>1611</v>
      </c>
      <c r="BE164" s="29" t="s">
        <v>1611</v>
      </c>
      <c r="BF164" s="29" t="s">
        <v>1611</v>
      </c>
      <c r="BG164" s="29" t="s">
        <v>1611</v>
      </c>
      <c r="BH164" s="29" t="s">
        <v>1611</v>
      </c>
      <c r="BI164" s="29" t="s">
        <v>2857</v>
      </c>
      <c r="BJ164" s="29" t="s">
        <v>2858</v>
      </c>
      <c r="BK164" s="29" t="s">
        <v>2870</v>
      </c>
      <c r="BL164" s="29" t="s">
        <v>2871</v>
      </c>
      <c r="BM164" s="29" t="s">
        <v>1611</v>
      </c>
      <c r="BN164" s="29" t="s">
        <v>1611</v>
      </c>
      <c r="BO164" s="29" t="s">
        <v>1611</v>
      </c>
      <c r="BP164" s="29" t="s">
        <v>1611</v>
      </c>
      <c r="BQ164" s="29" t="s">
        <v>1611</v>
      </c>
      <c r="BR164" s="29" t="s">
        <v>1611</v>
      </c>
      <c r="BS164" s="29" t="s">
        <v>1611</v>
      </c>
      <c r="BT164" s="29" t="s">
        <v>1611</v>
      </c>
      <c r="BU164" s="29" t="s">
        <v>2383</v>
      </c>
      <c r="BV164" s="29" t="s">
        <v>2430</v>
      </c>
      <c r="BW164" s="29" t="s">
        <v>1611</v>
      </c>
      <c r="BX164" s="29" t="s">
        <v>1611</v>
      </c>
      <c r="BY164" s="29" t="s">
        <v>1611</v>
      </c>
      <c r="BZ164" s="29" t="s">
        <v>1611</v>
      </c>
      <c r="CA164" s="29" t="s">
        <v>1611</v>
      </c>
      <c r="CB164" s="29" t="s">
        <v>1611</v>
      </c>
      <c r="CC164" s="29" t="s">
        <v>1611</v>
      </c>
      <c r="CD164" s="29" t="s">
        <v>1611</v>
      </c>
      <c r="CE164" s="29" t="s">
        <v>1611</v>
      </c>
      <c r="CF164" s="29" t="s">
        <v>1611</v>
      </c>
      <c r="CG164" s="29" t="s">
        <v>1771</v>
      </c>
      <c r="CH164" s="29" t="s">
        <v>1889</v>
      </c>
      <c r="CI164" s="29" t="s">
        <v>1611</v>
      </c>
      <c r="CJ164" s="29" t="s">
        <v>1611</v>
      </c>
      <c r="CK164" s="29" t="s">
        <v>1611</v>
      </c>
      <c r="CL164" s="29" t="s">
        <v>1611</v>
      </c>
      <c r="CM164" s="29" t="s">
        <v>1611</v>
      </c>
      <c r="CN164" s="29" t="s">
        <v>1611</v>
      </c>
      <c r="CO164" s="29" t="s">
        <v>1611</v>
      </c>
      <c r="CP164" s="29" t="s">
        <v>1611</v>
      </c>
      <c r="CQ164" s="29" t="s">
        <v>1611</v>
      </c>
      <c r="CR164" s="29" t="s">
        <v>1611</v>
      </c>
      <c r="CS164" s="29" t="s">
        <v>1611</v>
      </c>
      <c r="CT164" s="29" t="s">
        <v>1611</v>
      </c>
      <c r="CU164" s="29" t="s">
        <v>1611</v>
      </c>
      <c r="CV164" s="29" t="s">
        <v>1611</v>
      </c>
      <c r="CW164" s="29"/>
      <c r="CX164" s="29"/>
      <c r="CY164" s="151"/>
      <c r="CZ164" t="s">
        <v>3735</v>
      </c>
      <c r="DA164" t="s">
        <v>3587</v>
      </c>
      <c r="DD164" s="96" t="str">
        <f t="shared" si="2"/>
        <v>V</v>
      </c>
      <c r="DI164" s="215"/>
    </row>
    <row r="165" spans="1:113" ht="16.5" customHeight="1" x14ac:dyDescent="0.3">
      <c r="C165" s="105">
        <v>1684316</v>
      </c>
      <c r="D165" s="27">
        <v>159</v>
      </c>
      <c r="E165" s="28" t="s">
        <v>784</v>
      </c>
      <c r="F165" s="28">
        <v>1000683245</v>
      </c>
      <c r="G165" s="29" t="s">
        <v>2349</v>
      </c>
      <c r="H165" s="28">
        <v>1684316</v>
      </c>
      <c r="I165" s="29" t="s">
        <v>1129</v>
      </c>
      <c r="J165" s="28" t="s">
        <v>854</v>
      </c>
      <c r="K165" s="7"/>
      <c r="L165" s="104" t="s">
        <v>734</v>
      </c>
      <c r="M165" s="29" t="s">
        <v>3112</v>
      </c>
      <c r="N165" s="29" t="s">
        <v>3113</v>
      </c>
      <c r="O165" s="127">
        <v>2167069</v>
      </c>
      <c r="P165" s="113" t="s">
        <v>1317</v>
      </c>
      <c r="Q165" s="28" t="s">
        <v>612</v>
      </c>
      <c r="R165" s="28" t="s">
        <v>1301</v>
      </c>
      <c r="S165" s="28" t="s">
        <v>1301</v>
      </c>
      <c r="T165" s="28" t="s">
        <v>1301</v>
      </c>
      <c r="U165" s="28" t="s">
        <v>1301</v>
      </c>
      <c r="V165" s="28" t="s">
        <v>1301</v>
      </c>
      <c r="W165" s="28" t="s">
        <v>1301</v>
      </c>
      <c r="X165" s="28" t="s">
        <v>1301</v>
      </c>
      <c r="Y165" s="28" t="s">
        <v>1301</v>
      </c>
      <c r="Z165" s="28" t="s">
        <v>1301</v>
      </c>
      <c r="AA165" s="28" t="s">
        <v>1301</v>
      </c>
      <c r="AB165" s="104" t="s">
        <v>663</v>
      </c>
      <c r="AC165" s="104" t="s">
        <v>1340</v>
      </c>
      <c r="AD165" s="9" t="s">
        <v>1269</v>
      </c>
      <c r="AE165" s="9"/>
      <c r="AF165" s="9"/>
      <c r="AG165" s="34"/>
      <c r="AH165" s="9"/>
      <c r="AI165" s="45" t="s">
        <v>461</v>
      </c>
      <c r="AJ165" s="9"/>
      <c r="AK165" s="45"/>
      <c r="AL165" s="45" t="s">
        <v>461</v>
      </c>
      <c r="AM165" s="45" t="s">
        <v>461</v>
      </c>
      <c r="AN165" s="45" t="s">
        <v>461</v>
      </c>
      <c r="AO165" s="45" t="s">
        <v>461</v>
      </c>
      <c r="AP165" s="45" t="s">
        <v>461</v>
      </c>
      <c r="AQ165" s="45" t="s">
        <v>461</v>
      </c>
      <c r="AR165" s="45" t="s">
        <v>461</v>
      </c>
      <c r="AS165" s="45" t="s">
        <v>461</v>
      </c>
      <c r="AT165" s="45"/>
      <c r="AU165" s="45"/>
      <c r="AV165" s="45" t="s">
        <v>46</v>
      </c>
      <c r="AW165" s="9"/>
      <c r="AX165" s="9"/>
      <c r="AY165" s="9"/>
      <c r="AZ165" s="9"/>
      <c r="BA165" s="10" t="s">
        <v>268</v>
      </c>
      <c r="BB165" s="29" t="s">
        <v>2608</v>
      </c>
      <c r="BC165" s="29" t="s">
        <v>1611</v>
      </c>
      <c r="BD165" s="29" t="s">
        <v>1611</v>
      </c>
      <c r="BE165" s="29" t="s">
        <v>1611</v>
      </c>
      <c r="BF165" s="29" t="s">
        <v>1611</v>
      </c>
      <c r="BG165" s="29" t="s">
        <v>2660</v>
      </c>
      <c r="BH165" s="29" t="s">
        <v>2661</v>
      </c>
      <c r="BI165" s="29" t="s">
        <v>174</v>
      </c>
      <c r="BJ165" s="29" t="s">
        <v>2531</v>
      </c>
      <c r="BK165" s="29" t="s">
        <v>349</v>
      </c>
      <c r="BL165" s="29" t="s">
        <v>2731</v>
      </c>
      <c r="BM165" s="29" t="s">
        <v>1611</v>
      </c>
      <c r="BN165" s="29" t="s">
        <v>1611</v>
      </c>
      <c r="BO165" s="29"/>
      <c r="BP165" s="29" t="s">
        <v>1611</v>
      </c>
      <c r="BQ165" s="29" t="s">
        <v>1611</v>
      </c>
      <c r="BR165" s="29" t="s">
        <v>1611</v>
      </c>
      <c r="BS165" s="29" t="s">
        <v>1611</v>
      </c>
      <c r="BT165" s="29" t="s">
        <v>1611</v>
      </c>
      <c r="BU165" s="29" t="s">
        <v>176</v>
      </c>
      <c r="BV165" s="29" t="s">
        <v>3120</v>
      </c>
      <c r="BW165" s="29" t="s">
        <v>1611</v>
      </c>
      <c r="BX165" s="29" t="s">
        <v>1611</v>
      </c>
      <c r="BY165" s="29" t="s">
        <v>1611</v>
      </c>
      <c r="BZ165" s="29" t="s">
        <v>1611</v>
      </c>
      <c r="CA165" s="29" t="s">
        <v>1611</v>
      </c>
      <c r="CB165" s="29" t="s">
        <v>1611</v>
      </c>
      <c r="CC165" s="29" t="s">
        <v>1611</v>
      </c>
      <c r="CD165" s="29" t="s">
        <v>1611</v>
      </c>
      <c r="CE165" s="29" t="s">
        <v>1611</v>
      </c>
      <c r="CF165" s="29" t="s">
        <v>1611</v>
      </c>
      <c r="CG165" s="29" t="s">
        <v>2931</v>
      </c>
      <c r="CH165" s="29" t="s">
        <v>3031</v>
      </c>
      <c r="CI165" s="29" t="s">
        <v>1611</v>
      </c>
      <c r="CJ165" s="29" t="s">
        <v>1611</v>
      </c>
      <c r="CK165" s="29" t="s">
        <v>3114</v>
      </c>
      <c r="CL165" s="29" t="s">
        <v>3115</v>
      </c>
      <c r="CM165" s="29" t="s">
        <v>1611</v>
      </c>
      <c r="CN165" s="29" t="s">
        <v>1611</v>
      </c>
      <c r="CO165" s="29" t="s">
        <v>1611</v>
      </c>
      <c r="CP165" s="29" t="s">
        <v>1611</v>
      </c>
      <c r="CQ165" s="29" t="s">
        <v>1611</v>
      </c>
      <c r="CR165" s="29" t="s">
        <v>1611</v>
      </c>
      <c r="CS165" s="29" t="s">
        <v>1611</v>
      </c>
      <c r="CT165" s="29" t="s">
        <v>1611</v>
      </c>
      <c r="CU165" s="29" t="s">
        <v>1611</v>
      </c>
      <c r="CV165" s="29" t="s">
        <v>1611</v>
      </c>
      <c r="CW165" s="29"/>
      <c r="CX165" s="29"/>
      <c r="CY165" s="151"/>
      <c r="CZ165" t="s">
        <v>3296</v>
      </c>
      <c r="DA165" t="s">
        <v>3634</v>
      </c>
      <c r="DD165" s="96" t="str">
        <f t="shared" si="2"/>
        <v/>
      </c>
      <c r="DF165" s="96" t="s">
        <v>3753</v>
      </c>
      <c r="DI165" s="215"/>
    </row>
    <row r="166" spans="1:113" ht="16.5" customHeight="1" x14ac:dyDescent="0.3">
      <c r="C166" s="105">
        <v>1684358</v>
      </c>
      <c r="D166" s="27">
        <v>160</v>
      </c>
      <c r="E166" s="28" t="s">
        <v>784</v>
      </c>
      <c r="F166" s="28">
        <v>1000325382</v>
      </c>
      <c r="G166" s="29" t="s">
        <v>1130</v>
      </c>
      <c r="H166" s="28">
        <v>1684358</v>
      </c>
      <c r="I166" s="29" t="s">
        <v>1131</v>
      </c>
      <c r="J166" s="28" t="s">
        <v>659</v>
      </c>
      <c r="K166" s="7"/>
      <c r="L166" s="104" t="s">
        <v>3809</v>
      </c>
      <c r="M166" s="29" t="s">
        <v>2323</v>
      </c>
      <c r="N166" s="29" t="s">
        <v>2324</v>
      </c>
      <c r="O166" s="127">
        <v>3362362</v>
      </c>
      <c r="P166" s="113" t="s">
        <v>1627</v>
      </c>
      <c r="Q166" s="28" t="s">
        <v>612</v>
      </c>
      <c r="R166" s="28" t="s">
        <v>1301</v>
      </c>
      <c r="S166" s="28" t="s">
        <v>1301</v>
      </c>
      <c r="T166" s="28" t="s">
        <v>1301</v>
      </c>
      <c r="U166" s="28" t="s">
        <v>1301</v>
      </c>
      <c r="V166" s="28" t="s">
        <v>1301</v>
      </c>
      <c r="W166" s="28" t="s">
        <v>1301</v>
      </c>
      <c r="X166" s="28" t="s">
        <v>1301</v>
      </c>
      <c r="Y166" s="28" t="s">
        <v>1301</v>
      </c>
      <c r="Z166" s="28" t="s">
        <v>1301</v>
      </c>
      <c r="AA166" s="28" t="s">
        <v>1301</v>
      </c>
      <c r="AB166" s="104" t="s">
        <v>663</v>
      </c>
      <c r="AC166" s="104" t="s">
        <v>1340</v>
      </c>
      <c r="AD166" s="9" t="s">
        <v>1269</v>
      </c>
      <c r="AE166" s="9"/>
      <c r="AF166" s="9"/>
      <c r="AG166" s="34"/>
      <c r="AH166" s="9"/>
      <c r="AI166" s="45" t="s">
        <v>461</v>
      </c>
      <c r="AJ166" s="9"/>
      <c r="AK166" s="45"/>
      <c r="AL166" s="45" t="s">
        <v>2278</v>
      </c>
      <c r="AM166" s="45" t="s">
        <v>46</v>
      </c>
      <c r="AN166" s="45" t="s">
        <v>46</v>
      </c>
      <c r="AO166" s="45" t="s">
        <v>46</v>
      </c>
      <c r="AP166" s="45" t="s">
        <v>46</v>
      </c>
      <c r="AQ166" s="45" t="s">
        <v>46</v>
      </c>
      <c r="AR166" s="45" t="s">
        <v>46</v>
      </c>
      <c r="AS166" s="45" t="s">
        <v>46</v>
      </c>
      <c r="AT166" s="45"/>
      <c r="AU166" s="45"/>
      <c r="AV166" s="45"/>
      <c r="AW166" s="45" t="s">
        <v>46</v>
      </c>
      <c r="AX166" s="45" t="s">
        <v>46</v>
      </c>
      <c r="AY166" s="45" t="s">
        <v>46</v>
      </c>
      <c r="AZ166" s="9" t="s">
        <v>46</v>
      </c>
      <c r="BA166" s="10" t="s">
        <v>1611</v>
      </c>
      <c r="BB166" s="29" t="s">
        <v>1611</v>
      </c>
      <c r="BC166" s="29" t="s">
        <v>1611</v>
      </c>
      <c r="BD166" s="29" t="s">
        <v>1611</v>
      </c>
      <c r="BE166" s="29" t="s">
        <v>1611</v>
      </c>
      <c r="BF166" s="29" t="s">
        <v>1611</v>
      </c>
      <c r="BG166" s="29" t="s">
        <v>1611</v>
      </c>
      <c r="BH166" s="29" t="s">
        <v>1611</v>
      </c>
      <c r="BI166" s="29" t="s">
        <v>2732</v>
      </c>
      <c r="BJ166" s="29" t="s">
        <v>2733</v>
      </c>
      <c r="BK166" s="29" t="s">
        <v>2932</v>
      </c>
      <c r="BL166" s="29" t="s">
        <v>2933</v>
      </c>
      <c r="BM166" s="29" t="s">
        <v>1611</v>
      </c>
      <c r="BN166" s="29" t="s">
        <v>1611</v>
      </c>
      <c r="BO166" s="29" t="s">
        <v>1611</v>
      </c>
      <c r="BP166" s="29" t="s">
        <v>1611</v>
      </c>
      <c r="BQ166" s="29" t="s">
        <v>1611</v>
      </c>
      <c r="BR166" s="29" t="s">
        <v>1611</v>
      </c>
      <c r="BS166" s="29" t="s">
        <v>1611</v>
      </c>
      <c r="BT166" s="29" t="s">
        <v>1611</v>
      </c>
      <c r="BU166" s="29" t="s">
        <v>2589</v>
      </c>
      <c r="BV166" s="29" t="s">
        <v>2590</v>
      </c>
      <c r="BW166" s="29" t="s">
        <v>1611</v>
      </c>
      <c r="BX166" s="29" t="s">
        <v>1611</v>
      </c>
      <c r="BY166" s="29" t="s">
        <v>1611</v>
      </c>
      <c r="BZ166" s="29" t="s">
        <v>1611</v>
      </c>
      <c r="CA166" s="29" t="s">
        <v>1611</v>
      </c>
      <c r="CB166" s="29" t="s">
        <v>1611</v>
      </c>
      <c r="CC166" s="29" t="s">
        <v>1611</v>
      </c>
      <c r="CD166" s="29" t="s">
        <v>1611</v>
      </c>
      <c r="CE166" s="29" t="s">
        <v>1611</v>
      </c>
      <c r="CF166" s="29" t="s">
        <v>1611</v>
      </c>
      <c r="CG166" s="29" t="s">
        <v>2934</v>
      </c>
      <c r="CH166" s="29" t="s">
        <v>3490</v>
      </c>
      <c r="CI166" s="29" t="s">
        <v>1611</v>
      </c>
      <c r="CJ166" s="29"/>
      <c r="CK166" s="29" t="s">
        <v>2935</v>
      </c>
      <c r="CL166" s="29" t="s">
        <v>2936</v>
      </c>
      <c r="CM166" s="29" t="s">
        <v>1611</v>
      </c>
      <c r="CN166" s="29" t="s">
        <v>1611</v>
      </c>
      <c r="CO166" s="29" t="s">
        <v>1611</v>
      </c>
      <c r="CP166" s="29" t="s">
        <v>1611</v>
      </c>
      <c r="CQ166" s="29" t="s">
        <v>1611</v>
      </c>
      <c r="CR166" s="29" t="s">
        <v>1611</v>
      </c>
      <c r="CS166" s="29" t="s">
        <v>1611</v>
      </c>
      <c r="CT166" s="29" t="s">
        <v>1611</v>
      </c>
      <c r="CU166" s="29" t="s">
        <v>1611</v>
      </c>
      <c r="CV166" s="29" t="s">
        <v>1611</v>
      </c>
      <c r="CW166" s="29"/>
      <c r="CX166" s="29"/>
      <c r="CY166" s="151"/>
      <c r="CZ166" t="s">
        <v>3297</v>
      </c>
      <c r="DA166" t="s">
        <v>3634</v>
      </c>
      <c r="DD166" s="96" t="str">
        <f t="shared" si="2"/>
        <v/>
      </c>
      <c r="DF166" s="96" t="s">
        <v>3753</v>
      </c>
      <c r="DI166" s="215"/>
    </row>
    <row r="167" spans="1:113" ht="16.5" customHeight="1" x14ac:dyDescent="0.3">
      <c r="C167" s="105">
        <v>1684859</v>
      </c>
      <c r="D167" s="27">
        <v>161</v>
      </c>
      <c r="E167" s="28" t="s">
        <v>794</v>
      </c>
      <c r="F167" s="28">
        <v>1000317122</v>
      </c>
      <c r="G167" s="29" t="s">
        <v>1618</v>
      </c>
      <c r="H167" s="28">
        <v>1684859</v>
      </c>
      <c r="I167" s="29" t="s">
        <v>1133</v>
      </c>
      <c r="J167" s="28" t="s">
        <v>429</v>
      </c>
      <c r="K167" s="7"/>
      <c r="L167" s="104" t="s">
        <v>698</v>
      </c>
      <c r="M167" s="29"/>
      <c r="N167" s="29"/>
      <c r="O167" s="127">
        <v>1269966</v>
      </c>
      <c r="P167" s="113" t="s">
        <v>1627</v>
      </c>
      <c r="Q167" s="28" t="s">
        <v>612</v>
      </c>
      <c r="R167" s="28" t="s">
        <v>1301</v>
      </c>
      <c r="S167" s="28" t="s">
        <v>1301</v>
      </c>
      <c r="T167" s="28" t="s">
        <v>1329</v>
      </c>
      <c r="U167" s="28" t="s">
        <v>612</v>
      </c>
      <c r="V167" s="28" t="s">
        <v>1301</v>
      </c>
      <c r="W167" s="28" t="s">
        <v>1301</v>
      </c>
      <c r="X167" s="28" t="s">
        <v>1301</v>
      </c>
      <c r="Y167" s="28" t="s">
        <v>1301</v>
      </c>
      <c r="Z167" s="28" t="s">
        <v>612</v>
      </c>
      <c r="AA167" s="28" t="s">
        <v>1301</v>
      </c>
      <c r="AB167" s="104" t="s">
        <v>663</v>
      </c>
      <c r="AC167" s="104" t="s">
        <v>1340</v>
      </c>
      <c r="AD167" s="9" t="s">
        <v>1269</v>
      </c>
      <c r="AE167" s="9"/>
      <c r="AF167" s="9"/>
      <c r="AG167" s="34"/>
      <c r="AH167" s="45"/>
      <c r="AI167" s="45" t="s">
        <v>461</v>
      </c>
      <c r="AJ167" s="9"/>
      <c r="AK167" s="45"/>
      <c r="AL167" s="45" t="s">
        <v>461</v>
      </c>
      <c r="AM167" s="45" t="s">
        <v>461</v>
      </c>
      <c r="AN167" s="45" t="s">
        <v>461</v>
      </c>
      <c r="AO167" s="45" t="s">
        <v>461</v>
      </c>
      <c r="AP167" s="45" t="s">
        <v>461</v>
      </c>
      <c r="AQ167" s="45" t="s">
        <v>461</v>
      </c>
      <c r="AR167" s="45" t="s">
        <v>461</v>
      </c>
      <c r="AS167" s="45"/>
      <c r="AT167" s="45"/>
      <c r="AU167" s="45"/>
      <c r="AV167" s="45"/>
      <c r="AW167" s="9"/>
      <c r="AX167" s="9"/>
      <c r="AY167" s="9"/>
      <c r="AZ167" s="9"/>
      <c r="BA167" s="10" t="s">
        <v>92</v>
      </c>
      <c r="BB167" s="29" t="s">
        <v>2628</v>
      </c>
      <c r="BC167" s="29" t="s">
        <v>1611</v>
      </c>
      <c r="BD167" s="29" t="s">
        <v>1611</v>
      </c>
      <c r="BE167" s="29" t="s">
        <v>2514</v>
      </c>
      <c r="BF167" s="29" t="s">
        <v>2515</v>
      </c>
      <c r="BG167" s="29" t="s">
        <v>2599</v>
      </c>
      <c r="BH167" s="29" t="s">
        <v>2600</v>
      </c>
      <c r="BI167" s="29" t="s">
        <v>329</v>
      </c>
      <c r="BJ167" s="29" t="s">
        <v>2591</v>
      </c>
      <c r="BK167" s="29" t="s">
        <v>81</v>
      </c>
      <c r="BL167" s="29" t="s">
        <v>2799</v>
      </c>
      <c r="BM167" s="29" t="s">
        <v>1611</v>
      </c>
      <c r="BN167" s="29" t="s">
        <v>1611</v>
      </c>
      <c r="BO167" s="29" t="s">
        <v>1611</v>
      </c>
      <c r="BP167" s="29" t="s">
        <v>1611</v>
      </c>
      <c r="BQ167" s="29" t="s">
        <v>1611</v>
      </c>
      <c r="BR167" s="29" t="s">
        <v>1611</v>
      </c>
      <c r="BS167" s="29" t="s">
        <v>1611</v>
      </c>
      <c r="BT167" s="29" t="s">
        <v>1611</v>
      </c>
      <c r="BU167" s="29" t="s">
        <v>2391</v>
      </c>
      <c r="BV167" s="29" t="s">
        <v>2439</v>
      </c>
      <c r="BW167" s="29" t="s">
        <v>1611</v>
      </c>
      <c r="BX167" s="29" t="s">
        <v>1611</v>
      </c>
      <c r="BY167" s="29" t="s">
        <v>1611</v>
      </c>
      <c r="BZ167" s="29" t="s">
        <v>1611</v>
      </c>
      <c r="CA167" s="29" t="s">
        <v>1611</v>
      </c>
      <c r="CB167" s="29" t="s">
        <v>1611</v>
      </c>
      <c r="CC167" s="29" t="s">
        <v>1611</v>
      </c>
      <c r="CD167" s="29" t="s">
        <v>1611</v>
      </c>
      <c r="CE167" s="29" t="s">
        <v>1611</v>
      </c>
      <c r="CF167" s="29" t="s">
        <v>1611</v>
      </c>
      <c r="CG167" s="29" t="s">
        <v>2937</v>
      </c>
      <c r="CH167" s="29" t="s">
        <v>2938</v>
      </c>
      <c r="CI167" s="29" t="s">
        <v>1611</v>
      </c>
      <c r="CJ167" s="29" t="s">
        <v>1611</v>
      </c>
      <c r="CK167" s="29" t="s">
        <v>2939</v>
      </c>
      <c r="CL167" s="29" t="s">
        <v>2940</v>
      </c>
      <c r="CM167" s="29" t="s">
        <v>1611</v>
      </c>
      <c r="CN167" s="29" t="s">
        <v>1611</v>
      </c>
      <c r="CO167" s="29" t="s">
        <v>1611</v>
      </c>
      <c r="CP167" s="29" t="s">
        <v>1611</v>
      </c>
      <c r="CQ167" s="29" t="s">
        <v>1611</v>
      </c>
      <c r="CR167" s="29" t="s">
        <v>1611</v>
      </c>
      <c r="CS167" s="29" t="s">
        <v>1611</v>
      </c>
      <c r="CT167" s="29" t="s">
        <v>1611</v>
      </c>
      <c r="CU167" s="29" t="s">
        <v>1611</v>
      </c>
      <c r="CV167" s="29" t="s">
        <v>1611</v>
      </c>
      <c r="CW167" s="29"/>
      <c r="CX167" s="29"/>
      <c r="CY167" s="151"/>
      <c r="CZ167" t="s">
        <v>2254</v>
      </c>
      <c r="DA167" t="s">
        <v>3634</v>
      </c>
      <c r="DD167" s="96" t="str">
        <f t="shared" si="2"/>
        <v/>
      </c>
      <c r="DF167" s="96" t="s">
        <v>3753</v>
      </c>
      <c r="DI167" s="215"/>
    </row>
    <row r="168" spans="1:113" ht="16.5" customHeight="1" x14ac:dyDescent="0.3">
      <c r="C168" s="105">
        <v>1688023</v>
      </c>
      <c r="D168" s="27">
        <v>162</v>
      </c>
      <c r="E168" s="28" t="s">
        <v>656</v>
      </c>
      <c r="F168" s="28">
        <v>1001319180</v>
      </c>
      <c r="G168" s="29" t="s">
        <v>1135</v>
      </c>
      <c r="H168" s="28">
        <v>1688023</v>
      </c>
      <c r="I168" s="29" t="s">
        <v>1136</v>
      </c>
      <c r="J168" s="28" t="s">
        <v>659</v>
      </c>
      <c r="K168" s="7"/>
      <c r="L168" s="104" t="s">
        <v>34</v>
      </c>
      <c r="M168" s="29"/>
      <c r="N168" s="29"/>
      <c r="O168" s="127"/>
      <c r="P168" s="28"/>
      <c r="Q168" s="28"/>
      <c r="R168" s="28"/>
      <c r="S168" s="28"/>
      <c r="T168" s="28"/>
      <c r="U168" s="28"/>
      <c r="V168" s="28"/>
      <c r="W168" s="28"/>
      <c r="X168" s="28"/>
      <c r="Y168" s="28"/>
      <c r="Z168" s="28"/>
      <c r="AA168" s="28"/>
      <c r="AB168" s="104"/>
      <c r="AC168" s="104"/>
      <c r="AD168" s="9" t="s">
        <v>1269</v>
      </c>
      <c r="AE168" s="39">
        <v>45985</v>
      </c>
      <c r="AF168" s="9" t="s">
        <v>1276</v>
      </c>
      <c r="AG168" s="34" t="s">
        <v>3511</v>
      </c>
      <c r="AH168" s="9"/>
      <c r="AI168" s="9"/>
      <c r="AJ168" s="9"/>
      <c r="AK168" s="45"/>
      <c r="AL168" s="45" t="s">
        <v>1611</v>
      </c>
      <c r="AM168" s="45"/>
      <c r="AN168" s="45"/>
      <c r="AO168" s="45"/>
      <c r="AP168" s="45"/>
      <c r="AQ168" s="45"/>
      <c r="AR168" s="45"/>
      <c r="AS168" s="45"/>
      <c r="AT168" s="45"/>
      <c r="AU168" s="45"/>
      <c r="AV168" s="45"/>
      <c r="AW168" s="9"/>
      <c r="AX168" s="9"/>
      <c r="AY168" s="9"/>
      <c r="AZ168" s="9"/>
      <c r="BA168" s="10" t="s">
        <v>1611</v>
      </c>
      <c r="BB168" s="29" t="s">
        <v>1611</v>
      </c>
      <c r="BC168" s="29" t="s">
        <v>1611</v>
      </c>
      <c r="BD168" s="29" t="s">
        <v>1611</v>
      </c>
      <c r="BE168" s="29" t="s">
        <v>1611</v>
      </c>
      <c r="BF168" s="29" t="s">
        <v>1611</v>
      </c>
      <c r="BG168" s="29" t="s">
        <v>1611</v>
      </c>
      <c r="BH168" s="29" t="s">
        <v>1611</v>
      </c>
      <c r="BI168" s="29" t="s">
        <v>294</v>
      </c>
      <c r="BJ168" s="29" t="s">
        <v>2718</v>
      </c>
      <c r="BK168" s="29" t="s">
        <v>2870</v>
      </c>
      <c r="BL168" s="29" t="s">
        <v>2871</v>
      </c>
      <c r="BM168" s="29" t="s">
        <v>1611</v>
      </c>
      <c r="BN168" s="29" t="s">
        <v>1611</v>
      </c>
      <c r="BO168" s="29" t="s">
        <v>1611</v>
      </c>
      <c r="BP168" s="29" t="s">
        <v>1611</v>
      </c>
      <c r="BQ168" s="29" t="s">
        <v>1611</v>
      </c>
      <c r="BR168" s="29" t="s">
        <v>1611</v>
      </c>
      <c r="BS168" s="29" t="s">
        <v>1611</v>
      </c>
      <c r="BT168" s="29" t="s">
        <v>1611</v>
      </c>
      <c r="BU168" s="29" t="s">
        <v>2384</v>
      </c>
      <c r="BV168" s="29" t="s">
        <v>2431</v>
      </c>
      <c r="BW168" s="29" t="s">
        <v>1611</v>
      </c>
      <c r="BX168" s="29" t="s">
        <v>1611</v>
      </c>
      <c r="BY168" s="29" t="s">
        <v>1611</v>
      </c>
      <c r="BZ168" s="29" t="s">
        <v>1611</v>
      </c>
      <c r="CA168" s="29" t="s">
        <v>1611</v>
      </c>
      <c r="CB168" s="29" t="s">
        <v>1611</v>
      </c>
      <c r="CC168" s="29" t="s">
        <v>1611</v>
      </c>
      <c r="CD168" s="29" t="s">
        <v>1611</v>
      </c>
      <c r="CE168" s="29" t="s">
        <v>1611</v>
      </c>
      <c r="CF168" s="29" t="s">
        <v>1611</v>
      </c>
      <c r="CG168" s="29" t="s">
        <v>1773</v>
      </c>
      <c r="CH168" s="29" t="s">
        <v>1891</v>
      </c>
      <c r="CI168" s="29" t="s">
        <v>1611</v>
      </c>
      <c r="CJ168" s="29" t="s">
        <v>1611</v>
      </c>
      <c r="CK168" s="29" t="s">
        <v>1611</v>
      </c>
      <c r="CL168" s="29" t="s">
        <v>1611</v>
      </c>
      <c r="CM168" s="29" t="s">
        <v>1611</v>
      </c>
      <c r="CN168" s="29" t="s">
        <v>1611</v>
      </c>
      <c r="CO168" s="29" t="s">
        <v>1611</v>
      </c>
      <c r="CP168" s="29" t="s">
        <v>1611</v>
      </c>
      <c r="CQ168" s="29" t="s">
        <v>1611</v>
      </c>
      <c r="CR168" s="29" t="s">
        <v>1611</v>
      </c>
      <c r="CS168" s="29" t="s">
        <v>1611</v>
      </c>
      <c r="CT168" s="29" t="s">
        <v>1611</v>
      </c>
      <c r="CU168" s="29" t="s">
        <v>1611</v>
      </c>
      <c r="CV168" s="29" t="s">
        <v>1611</v>
      </c>
      <c r="CW168" s="29"/>
      <c r="CX168" s="29"/>
      <c r="CY168" s="151"/>
      <c r="CZ168" t="e">
        <v>#N/A</v>
      </c>
      <c r="DA168" t="e">
        <v>#N/A</v>
      </c>
      <c r="DD168" s="96" t="str">
        <f t="shared" si="2"/>
        <v>V</v>
      </c>
      <c r="DI168" s="215"/>
    </row>
    <row r="169" spans="1:113" ht="16.5" customHeight="1" x14ac:dyDescent="0.3">
      <c r="C169" s="105">
        <v>1661703</v>
      </c>
      <c r="D169" s="27">
        <v>163</v>
      </c>
      <c r="E169" s="28" t="s">
        <v>656</v>
      </c>
      <c r="F169" s="28">
        <v>1001113724</v>
      </c>
      <c r="G169" s="29" t="s">
        <v>1138</v>
      </c>
      <c r="H169" s="28">
        <v>1661703</v>
      </c>
      <c r="I169" s="29" t="s">
        <v>1139</v>
      </c>
      <c r="J169" s="28" t="s">
        <v>854</v>
      </c>
      <c r="K169" s="7"/>
      <c r="L169" s="104" t="s">
        <v>415</v>
      </c>
      <c r="M169" s="29"/>
      <c r="N169" s="29"/>
      <c r="O169" s="127"/>
      <c r="P169" s="28"/>
      <c r="Q169" s="28"/>
      <c r="R169" s="28"/>
      <c r="S169" s="28"/>
      <c r="T169" s="28"/>
      <c r="U169" s="28"/>
      <c r="V169" s="28"/>
      <c r="W169" s="28"/>
      <c r="X169" s="28"/>
      <c r="Y169" s="28"/>
      <c r="Z169" s="28"/>
      <c r="AA169" s="28"/>
      <c r="AB169" s="104"/>
      <c r="AC169" s="28"/>
      <c r="AD169" s="9" t="s">
        <v>1269</v>
      </c>
      <c r="AE169" s="39">
        <v>45873</v>
      </c>
      <c r="AF169" s="9" t="s">
        <v>1276</v>
      </c>
      <c r="AG169" s="34" t="s">
        <v>1315</v>
      </c>
      <c r="AH169" s="9"/>
      <c r="AI169" s="9"/>
      <c r="AJ169" s="9"/>
      <c r="AK169" s="45"/>
      <c r="AL169" s="45" t="s">
        <v>1611</v>
      </c>
      <c r="AM169" s="45"/>
      <c r="AN169" s="45"/>
      <c r="AO169" s="45"/>
      <c r="AP169" s="45"/>
      <c r="AQ169" s="45"/>
      <c r="AR169" s="45"/>
      <c r="AS169" s="45"/>
      <c r="AT169" s="45"/>
      <c r="AU169" s="45"/>
      <c r="AV169" s="45"/>
      <c r="AW169" s="9"/>
      <c r="AX169" s="9"/>
      <c r="AY169" s="9"/>
      <c r="AZ169" s="9"/>
      <c r="BA169" s="10" t="s">
        <v>268</v>
      </c>
      <c r="BB169" s="29" t="s">
        <v>2608</v>
      </c>
      <c r="BC169" s="29" t="s">
        <v>1611</v>
      </c>
      <c r="BD169" s="29" t="s">
        <v>1611</v>
      </c>
      <c r="BE169" s="29" t="s">
        <v>2502</v>
      </c>
      <c r="BF169" s="29" t="s">
        <v>2503</v>
      </c>
      <c r="BG169" s="29" t="s">
        <v>2539</v>
      </c>
      <c r="BH169" s="29" t="s">
        <v>2540</v>
      </c>
      <c r="BI169" s="29" t="s">
        <v>252</v>
      </c>
      <c r="BJ169" s="29" t="s">
        <v>2930</v>
      </c>
      <c r="BK169" s="29" t="s">
        <v>2653</v>
      </c>
      <c r="BL169" s="29" t="s">
        <v>2654</v>
      </c>
      <c r="BM169" s="29" t="s">
        <v>1611</v>
      </c>
      <c r="BN169" s="29" t="s">
        <v>1611</v>
      </c>
      <c r="BO169" s="29" t="s">
        <v>1611</v>
      </c>
      <c r="BP169" s="29" t="s">
        <v>1611</v>
      </c>
      <c r="BQ169" s="29" t="s">
        <v>1611</v>
      </c>
      <c r="BR169" s="29" t="s">
        <v>1611</v>
      </c>
      <c r="BS169" s="29" t="s">
        <v>1611</v>
      </c>
      <c r="BT169" s="29" t="s">
        <v>1611</v>
      </c>
      <c r="BU169" s="29" t="s">
        <v>2824</v>
      </c>
      <c r="BV169" s="29" t="s">
        <v>2825</v>
      </c>
      <c r="BW169" s="29" t="s">
        <v>1611</v>
      </c>
      <c r="BX169" s="29" t="s">
        <v>1611</v>
      </c>
      <c r="BY169" s="29" t="s">
        <v>1611</v>
      </c>
      <c r="BZ169" s="29" t="s">
        <v>1611</v>
      </c>
      <c r="CA169" s="29" t="s">
        <v>1611</v>
      </c>
      <c r="CB169" s="29" t="s">
        <v>1611</v>
      </c>
      <c r="CC169" s="29" t="s">
        <v>1611</v>
      </c>
      <c r="CD169" s="29" t="s">
        <v>1611</v>
      </c>
      <c r="CE169" s="29" t="s">
        <v>1611</v>
      </c>
      <c r="CF169" s="29" t="s">
        <v>1611</v>
      </c>
      <c r="CG169" s="29" t="s">
        <v>2553</v>
      </c>
      <c r="CH169" s="29" t="s">
        <v>2554</v>
      </c>
      <c r="CI169" s="29" t="s">
        <v>1611</v>
      </c>
      <c r="CJ169" s="29" t="s">
        <v>1611</v>
      </c>
      <c r="CK169" s="29" t="s">
        <v>1611</v>
      </c>
      <c r="CL169" s="29" t="s">
        <v>1611</v>
      </c>
      <c r="CM169" s="29" t="s">
        <v>1611</v>
      </c>
      <c r="CN169" s="29" t="s">
        <v>1611</v>
      </c>
      <c r="CO169" s="29" t="s">
        <v>1611</v>
      </c>
      <c r="CP169" s="29" t="s">
        <v>1611</v>
      </c>
      <c r="CQ169" s="29" t="s">
        <v>1611</v>
      </c>
      <c r="CR169" s="29" t="s">
        <v>1611</v>
      </c>
      <c r="CS169" s="29" t="s">
        <v>1611</v>
      </c>
      <c r="CT169" s="29" t="s">
        <v>1611</v>
      </c>
      <c r="CU169" s="29" t="s">
        <v>1611</v>
      </c>
      <c r="CV169" s="29" t="s">
        <v>1611</v>
      </c>
      <c r="CW169" s="29"/>
      <c r="CX169" s="29"/>
      <c r="CY169" s="151"/>
      <c r="CZ169" t="e">
        <v>#N/A</v>
      </c>
      <c r="DA169" t="e">
        <v>#N/A</v>
      </c>
      <c r="DD169" s="96" t="str">
        <f t="shared" si="2"/>
        <v>V</v>
      </c>
      <c r="DI169" s="215"/>
    </row>
    <row r="170" spans="1:113" ht="16.5" customHeight="1" x14ac:dyDescent="0.3">
      <c r="C170" s="105">
        <v>1685926</v>
      </c>
      <c r="D170" s="27">
        <v>164</v>
      </c>
      <c r="E170" s="28" t="s">
        <v>794</v>
      </c>
      <c r="F170" s="28">
        <v>1000316569</v>
      </c>
      <c r="G170" s="29" t="s">
        <v>1140</v>
      </c>
      <c r="H170" s="28">
        <v>1685926</v>
      </c>
      <c r="I170" s="29" t="s">
        <v>1141</v>
      </c>
      <c r="J170" s="28" t="s">
        <v>659</v>
      </c>
      <c r="K170" s="7"/>
      <c r="L170" s="104" t="s">
        <v>751</v>
      </c>
      <c r="M170" s="29"/>
      <c r="N170" s="29"/>
      <c r="O170" s="127"/>
      <c r="P170" s="28"/>
      <c r="Q170" s="28"/>
      <c r="R170" s="28"/>
      <c r="S170" s="28"/>
      <c r="T170" s="28"/>
      <c r="U170" s="28"/>
      <c r="V170" s="28"/>
      <c r="W170" s="28"/>
      <c r="X170" s="28"/>
      <c r="Y170" s="28"/>
      <c r="Z170" s="28"/>
      <c r="AA170" s="28"/>
      <c r="AB170" s="104"/>
      <c r="AC170" s="104"/>
      <c r="AD170" s="9" t="s">
        <v>1269</v>
      </c>
      <c r="AE170" s="39">
        <v>46058</v>
      </c>
      <c r="AF170" s="9" t="s">
        <v>1276</v>
      </c>
      <c r="AG170" s="34" t="s">
        <v>3759</v>
      </c>
      <c r="AH170" s="9"/>
      <c r="AI170" s="9"/>
      <c r="AJ170" s="9"/>
      <c r="AK170" s="45"/>
      <c r="AL170" s="45"/>
      <c r="AM170" s="45"/>
      <c r="AN170" s="45"/>
      <c r="AO170" s="45"/>
      <c r="AP170" s="45"/>
      <c r="AQ170" s="45"/>
      <c r="AR170" s="45"/>
      <c r="AS170" s="45"/>
      <c r="AT170" s="45"/>
      <c r="AU170" s="45"/>
      <c r="AV170" s="45"/>
      <c r="AW170" s="9"/>
      <c r="AX170" s="9"/>
      <c r="AY170" s="9"/>
      <c r="AZ170" s="9"/>
      <c r="BA170" s="10" t="s">
        <v>1611</v>
      </c>
      <c r="BB170" s="29" t="s">
        <v>1611</v>
      </c>
      <c r="BC170" s="29" t="s">
        <v>1611</v>
      </c>
      <c r="BD170" s="29" t="s">
        <v>1611</v>
      </c>
      <c r="BE170" s="29" t="s">
        <v>1611</v>
      </c>
      <c r="BF170" s="29" t="s">
        <v>1611</v>
      </c>
      <c r="BG170" s="29" t="s">
        <v>1611</v>
      </c>
      <c r="BH170" s="29" t="s">
        <v>1611</v>
      </c>
      <c r="BI170" s="29" t="s">
        <v>2664</v>
      </c>
      <c r="BJ170" s="29" t="s">
        <v>2665</v>
      </c>
      <c r="BK170" s="29" t="s">
        <v>2857</v>
      </c>
      <c r="BL170" s="29" t="s">
        <v>2858</v>
      </c>
      <c r="BM170" s="29" t="s">
        <v>1611</v>
      </c>
      <c r="BN170" s="29" t="s">
        <v>1611</v>
      </c>
      <c r="BO170" s="29" t="s">
        <v>1611</v>
      </c>
      <c r="BP170" s="29" t="s">
        <v>1611</v>
      </c>
      <c r="BQ170" s="29" t="s">
        <v>1611</v>
      </c>
      <c r="BR170" s="29" t="s">
        <v>1611</v>
      </c>
      <c r="BS170" s="29" t="s">
        <v>1611</v>
      </c>
      <c r="BT170" s="29" t="s">
        <v>1611</v>
      </c>
      <c r="BU170" s="29" t="s">
        <v>2385</v>
      </c>
      <c r="BV170" s="29" t="s">
        <v>2432</v>
      </c>
      <c r="BW170" s="29" t="s">
        <v>1611</v>
      </c>
      <c r="BX170" s="29" t="s">
        <v>1611</v>
      </c>
      <c r="BY170" s="29" t="s">
        <v>1611</v>
      </c>
      <c r="BZ170" s="29" t="s">
        <v>1611</v>
      </c>
      <c r="CA170" s="29" t="s">
        <v>1611</v>
      </c>
      <c r="CB170" s="29" t="s">
        <v>1611</v>
      </c>
      <c r="CC170" s="29" t="s">
        <v>1611</v>
      </c>
      <c r="CD170" s="29" t="s">
        <v>1611</v>
      </c>
      <c r="CE170" s="29" t="s">
        <v>1611</v>
      </c>
      <c r="CF170" s="29" t="s">
        <v>1611</v>
      </c>
      <c r="CG170" s="29" t="s">
        <v>1716</v>
      </c>
      <c r="CH170" s="29" t="s">
        <v>1822</v>
      </c>
      <c r="CI170" s="29" t="s">
        <v>1611</v>
      </c>
      <c r="CJ170" s="29" t="s">
        <v>1611</v>
      </c>
      <c r="CK170" s="29" t="s">
        <v>1611</v>
      </c>
      <c r="CL170" s="29" t="s">
        <v>1611</v>
      </c>
      <c r="CM170" s="29" t="s">
        <v>1611</v>
      </c>
      <c r="CN170" s="29" t="s">
        <v>1611</v>
      </c>
      <c r="CO170" s="29" t="s">
        <v>1611</v>
      </c>
      <c r="CP170" s="29" t="s">
        <v>1611</v>
      </c>
      <c r="CQ170" s="29" t="s">
        <v>1611</v>
      </c>
      <c r="CR170" s="29" t="s">
        <v>1611</v>
      </c>
      <c r="CS170" s="29" t="s">
        <v>1611</v>
      </c>
      <c r="CT170" s="29" t="s">
        <v>1611</v>
      </c>
      <c r="CU170" s="29" t="s">
        <v>1611</v>
      </c>
      <c r="CV170" s="29" t="s">
        <v>1611</v>
      </c>
      <c r="CW170" s="29"/>
      <c r="CX170" s="29"/>
      <c r="CY170" s="151"/>
      <c r="CZ170" t="e">
        <v>#N/A</v>
      </c>
      <c r="DA170" t="e">
        <v>#N/A</v>
      </c>
      <c r="DC170" s="96" t="s">
        <v>3700</v>
      </c>
      <c r="DD170" s="96" t="str">
        <f t="shared" si="2"/>
        <v>V</v>
      </c>
      <c r="DI170" s="215"/>
    </row>
    <row r="171" spans="1:113" ht="16.5" customHeight="1" x14ac:dyDescent="0.3">
      <c r="C171" s="105">
        <v>1684289</v>
      </c>
      <c r="D171" s="27">
        <v>165</v>
      </c>
      <c r="E171" s="28" t="s">
        <v>822</v>
      </c>
      <c r="F171" s="28">
        <v>1000702460</v>
      </c>
      <c r="G171" s="29" t="s">
        <v>1142</v>
      </c>
      <c r="H171" s="28">
        <v>1684289</v>
      </c>
      <c r="I171" s="29" t="s">
        <v>1143</v>
      </c>
      <c r="J171" s="28" t="s">
        <v>659</v>
      </c>
      <c r="K171" s="7"/>
      <c r="L171" s="104" t="s">
        <v>752</v>
      </c>
      <c r="M171" s="29"/>
      <c r="N171" s="29"/>
      <c r="O171" s="127"/>
      <c r="P171" s="28"/>
      <c r="Q171" s="28"/>
      <c r="R171" s="28"/>
      <c r="S171" s="28"/>
      <c r="T171" s="28"/>
      <c r="U171" s="28"/>
      <c r="V171" s="28"/>
      <c r="W171" s="28"/>
      <c r="X171" s="28"/>
      <c r="Y171" s="28"/>
      <c r="Z171" s="28"/>
      <c r="AA171" s="28"/>
      <c r="AB171" s="104"/>
      <c r="AC171" s="28"/>
      <c r="AD171" s="9" t="s">
        <v>1269</v>
      </c>
      <c r="AE171" s="39">
        <v>45863</v>
      </c>
      <c r="AF171" s="9" t="s">
        <v>1276</v>
      </c>
      <c r="AG171" s="108" t="s">
        <v>1939</v>
      </c>
      <c r="AH171" s="9"/>
      <c r="AI171" s="9"/>
      <c r="AJ171" s="9"/>
      <c r="AK171" s="45"/>
      <c r="AL171" s="45" t="s">
        <v>2278</v>
      </c>
      <c r="AM171" s="45"/>
      <c r="AN171" s="45"/>
      <c r="AO171" s="45"/>
      <c r="AP171" s="45"/>
      <c r="AQ171" s="45"/>
      <c r="AR171" s="45"/>
      <c r="AS171" s="45"/>
      <c r="AT171" s="45"/>
      <c r="AU171" s="45"/>
      <c r="AV171" s="45"/>
      <c r="AW171" s="9"/>
      <c r="AX171" s="9"/>
      <c r="AY171" s="9"/>
      <c r="AZ171" s="9"/>
      <c r="BA171" s="10" t="s">
        <v>1611</v>
      </c>
      <c r="BB171" s="29" t="s">
        <v>1611</v>
      </c>
      <c r="BC171" s="29" t="s">
        <v>1611</v>
      </c>
      <c r="BD171" s="29" t="s">
        <v>1611</v>
      </c>
      <c r="BE171" s="29" t="s">
        <v>1611</v>
      </c>
      <c r="BF171" s="29" t="s">
        <v>1611</v>
      </c>
      <c r="BG171" s="29" t="s">
        <v>1611</v>
      </c>
      <c r="BH171" s="29" t="s">
        <v>1611</v>
      </c>
      <c r="BI171" s="29" t="s">
        <v>276</v>
      </c>
      <c r="BJ171" s="29" t="s">
        <v>2771</v>
      </c>
      <c r="BK171" s="29" t="s">
        <v>2754</v>
      </c>
      <c r="BL171" s="29" t="s">
        <v>2755</v>
      </c>
      <c r="BM171" s="29" t="s">
        <v>1611</v>
      </c>
      <c r="BN171" s="29" t="s">
        <v>1611</v>
      </c>
      <c r="BO171" s="29" t="s">
        <v>1611</v>
      </c>
      <c r="BP171" s="29" t="s">
        <v>1611</v>
      </c>
      <c r="BQ171" s="29" t="s">
        <v>1611</v>
      </c>
      <c r="BR171" s="29" t="s">
        <v>1611</v>
      </c>
      <c r="BS171" s="29" t="s">
        <v>1611</v>
      </c>
      <c r="BT171" s="29" t="s">
        <v>1611</v>
      </c>
      <c r="BU171" s="29" t="s">
        <v>2865</v>
      </c>
      <c r="BV171" s="29" t="s">
        <v>2866</v>
      </c>
      <c r="BW171" s="29" t="s">
        <v>1611</v>
      </c>
      <c r="BX171" s="29" t="s">
        <v>1611</v>
      </c>
      <c r="BY171" s="29" t="s">
        <v>1611</v>
      </c>
      <c r="BZ171" s="29" t="s">
        <v>1611</v>
      </c>
      <c r="CA171" s="29" t="s">
        <v>1611</v>
      </c>
      <c r="CB171" s="29" t="s">
        <v>1611</v>
      </c>
      <c r="CC171" s="29" t="s">
        <v>1611</v>
      </c>
      <c r="CD171" s="29" t="s">
        <v>1611</v>
      </c>
      <c r="CE171" s="29" t="s">
        <v>1611</v>
      </c>
      <c r="CF171" s="29" t="s">
        <v>1611</v>
      </c>
      <c r="CG171" s="29" t="s">
        <v>1750</v>
      </c>
      <c r="CH171" s="29" t="s">
        <v>1863</v>
      </c>
      <c r="CI171" s="29" t="s">
        <v>1611</v>
      </c>
      <c r="CJ171" s="29" t="s">
        <v>1611</v>
      </c>
      <c r="CK171" s="29" t="s">
        <v>1611</v>
      </c>
      <c r="CL171" s="29" t="s">
        <v>1611</v>
      </c>
      <c r="CM171" s="29" t="s">
        <v>1611</v>
      </c>
      <c r="CN171" s="29" t="s">
        <v>1611</v>
      </c>
      <c r="CO171" s="29" t="s">
        <v>1611</v>
      </c>
      <c r="CP171" s="29" t="s">
        <v>1611</v>
      </c>
      <c r="CQ171" s="29" t="s">
        <v>1611</v>
      </c>
      <c r="CR171" s="29" t="s">
        <v>1611</v>
      </c>
      <c r="CS171" s="29" t="s">
        <v>1611</v>
      </c>
      <c r="CT171" s="29" t="s">
        <v>1611</v>
      </c>
      <c r="CU171" s="29" t="s">
        <v>1611</v>
      </c>
      <c r="CV171" s="29" t="s">
        <v>1611</v>
      </c>
      <c r="CW171" s="29"/>
      <c r="CX171" s="29"/>
      <c r="CY171" s="151"/>
      <c r="CZ171" t="s">
        <v>3736</v>
      </c>
      <c r="DA171" t="s">
        <v>3724</v>
      </c>
      <c r="DD171" s="96" t="str">
        <f t="shared" si="2"/>
        <v>V</v>
      </c>
      <c r="DI171" s="215"/>
    </row>
    <row r="172" spans="1:113" ht="16.5" customHeight="1" x14ac:dyDescent="0.3">
      <c r="C172" s="105">
        <v>1660988</v>
      </c>
      <c r="D172" s="27">
        <v>166</v>
      </c>
      <c r="E172" s="28" t="s">
        <v>818</v>
      </c>
      <c r="F172" s="28">
        <v>1000810883</v>
      </c>
      <c r="G172" s="29" t="s">
        <v>1144</v>
      </c>
      <c r="H172" s="28">
        <v>1660988</v>
      </c>
      <c r="I172" s="29" t="s">
        <v>1145</v>
      </c>
      <c r="J172" s="28" t="s">
        <v>429</v>
      </c>
      <c r="K172" s="7"/>
      <c r="L172" s="104" t="s">
        <v>753</v>
      </c>
      <c r="M172" s="29"/>
      <c r="N172" s="29"/>
      <c r="O172" s="127"/>
      <c r="P172" s="28"/>
      <c r="Q172" s="28"/>
      <c r="R172" s="28"/>
      <c r="S172" s="28"/>
      <c r="T172" s="28"/>
      <c r="U172" s="28"/>
      <c r="V172" s="28"/>
      <c r="W172" s="28"/>
      <c r="X172" s="28"/>
      <c r="Y172" s="28"/>
      <c r="Z172" s="28"/>
      <c r="AA172" s="28"/>
      <c r="AB172" s="104"/>
      <c r="AC172" s="28"/>
      <c r="AD172" s="9" t="s">
        <v>1269</v>
      </c>
      <c r="AE172" s="39">
        <v>45861</v>
      </c>
      <c r="AF172" s="9" t="s">
        <v>1276</v>
      </c>
      <c r="AG172" s="34" t="s">
        <v>1278</v>
      </c>
      <c r="AH172" s="9"/>
      <c r="AI172" s="9"/>
      <c r="AJ172" s="9"/>
      <c r="AK172" s="45"/>
      <c r="AL172" s="45" t="s">
        <v>1611</v>
      </c>
      <c r="AM172" s="45"/>
      <c r="AN172" s="45"/>
      <c r="AO172" s="45"/>
      <c r="AP172" s="45"/>
      <c r="AQ172" s="45"/>
      <c r="AR172" s="45"/>
      <c r="AS172" s="45"/>
      <c r="AT172" s="45"/>
      <c r="AU172" s="45"/>
      <c r="AV172" s="45"/>
      <c r="AW172" s="9"/>
      <c r="AX172" s="9"/>
      <c r="AY172" s="9"/>
      <c r="AZ172" s="9"/>
      <c r="BA172" s="10" t="s">
        <v>268</v>
      </c>
      <c r="BB172" s="29" t="s">
        <v>2608</v>
      </c>
      <c r="BC172" s="29" t="s">
        <v>1611</v>
      </c>
      <c r="BD172" s="29" t="s">
        <v>1611</v>
      </c>
      <c r="BE172" s="29" t="s">
        <v>2502</v>
      </c>
      <c r="BF172" s="29" t="s">
        <v>2503</v>
      </c>
      <c r="BG172" s="29" t="s">
        <v>2650</v>
      </c>
      <c r="BH172" s="29" t="s">
        <v>2651</v>
      </c>
      <c r="BI172" s="29" t="s">
        <v>342</v>
      </c>
      <c r="BJ172" s="29" t="s">
        <v>2613</v>
      </c>
      <c r="BK172" s="29" t="s">
        <v>598</v>
      </c>
      <c r="BL172" s="29" t="s">
        <v>2752</v>
      </c>
      <c r="BM172" s="29" t="s">
        <v>1611</v>
      </c>
      <c r="BN172" s="29" t="s">
        <v>1611</v>
      </c>
      <c r="BO172" s="29" t="s">
        <v>1611</v>
      </c>
      <c r="BP172" s="29" t="s">
        <v>1611</v>
      </c>
      <c r="BQ172" s="29" t="s">
        <v>1611</v>
      </c>
      <c r="BR172" s="29" t="s">
        <v>1611</v>
      </c>
      <c r="BS172" s="29" t="s">
        <v>1611</v>
      </c>
      <c r="BT172" s="29" t="s">
        <v>1611</v>
      </c>
      <c r="BU172" s="29" t="s">
        <v>277</v>
      </c>
      <c r="BV172" s="29" t="s">
        <v>2525</v>
      </c>
      <c r="BW172" s="29" t="s">
        <v>1611</v>
      </c>
      <c r="BX172" s="29" t="s">
        <v>1611</v>
      </c>
      <c r="BY172" s="29" t="s">
        <v>1611</v>
      </c>
      <c r="BZ172" s="29" t="s">
        <v>1611</v>
      </c>
      <c r="CA172" s="29" t="s">
        <v>1611</v>
      </c>
      <c r="CB172" s="29" t="s">
        <v>1611</v>
      </c>
      <c r="CC172" s="29" t="s">
        <v>1611</v>
      </c>
      <c r="CD172" s="29" t="s">
        <v>1611</v>
      </c>
      <c r="CE172" s="29" t="s">
        <v>1611</v>
      </c>
      <c r="CF172" s="29" t="s">
        <v>1611</v>
      </c>
      <c r="CG172" s="29" t="s">
        <v>1769</v>
      </c>
      <c r="CH172" s="29" t="s">
        <v>1887</v>
      </c>
      <c r="CI172" s="29" t="s">
        <v>1611</v>
      </c>
      <c r="CJ172" s="29" t="s">
        <v>1611</v>
      </c>
      <c r="CK172" s="29" t="s">
        <v>1611</v>
      </c>
      <c r="CL172" s="29" t="s">
        <v>1611</v>
      </c>
      <c r="CM172" s="29" t="s">
        <v>1611</v>
      </c>
      <c r="CN172" s="29" t="s">
        <v>1611</v>
      </c>
      <c r="CO172" s="29" t="s">
        <v>1611</v>
      </c>
      <c r="CP172" s="29" t="s">
        <v>1611</v>
      </c>
      <c r="CQ172" s="29" t="s">
        <v>1611</v>
      </c>
      <c r="CR172" s="29" t="s">
        <v>1611</v>
      </c>
      <c r="CS172" s="29" t="s">
        <v>1611</v>
      </c>
      <c r="CT172" s="29" t="s">
        <v>1611</v>
      </c>
      <c r="CU172" s="29" t="s">
        <v>1611</v>
      </c>
      <c r="CV172" s="29" t="s">
        <v>1611</v>
      </c>
      <c r="CW172" s="29"/>
      <c r="CX172" s="29"/>
      <c r="CY172" s="151"/>
      <c r="CZ172" t="e">
        <v>#N/A</v>
      </c>
      <c r="DA172" t="e">
        <v>#N/A</v>
      </c>
      <c r="DD172" s="96" t="str">
        <f t="shared" si="2"/>
        <v>V</v>
      </c>
      <c r="DI172" s="215"/>
    </row>
    <row r="173" spans="1:113" ht="16.5" customHeight="1" x14ac:dyDescent="0.3">
      <c r="A173" t="s">
        <v>3798</v>
      </c>
      <c r="B173" t="s">
        <v>3778</v>
      </c>
      <c r="C173" s="105">
        <v>1684010</v>
      </c>
      <c r="D173" s="27">
        <v>167</v>
      </c>
      <c r="E173" s="28" t="s">
        <v>829</v>
      </c>
      <c r="F173" s="28">
        <v>1000661455</v>
      </c>
      <c r="G173" s="29" t="s">
        <v>1147</v>
      </c>
      <c r="H173" s="28">
        <v>1684010</v>
      </c>
      <c r="I173" s="29" t="s">
        <v>1148</v>
      </c>
      <c r="J173" s="28" t="s">
        <v>429</v>
      </c>
      <c r="K173" s="7"/>
      <c r="L173" s="104" t="s">
        <v>754</v>
      </c>
      <c r="M173" s="29" t="s">
        <v>3214</v>
      </c>
      <c r="N173" s="29" t="s">
        <v>3215</v>
      </c>
      <c r="O173" s="127">
        <v>128377</v>
      </c>
      <c r="P173" s="28" t="s">
        <v>1301</v>
      </c>
      <c r="Q173" s="28" t="s">
        <v>1301</v>
      </c>
      <c r="R173" s="28" t="s">
        <v>1329</v>
      </c>
      <c r="S173" s="28" t="s">
        <v>612</v>
      </c>
      <c r="T173" s="28" t="s">
        <v>1301</v>
      </c>
      <c r="U173" s="28" t="s">
        <v>1301</v>
      </c>
      <c r="V173" s="28" t="s">
        <v>1301</v>
      </c>
      <c r="W173" s="28" t="s">
        <v>1301</v>
      </c>
      <c r="X173" s="28" t="s">
        <v>1301</v>
      </c>
      <c r="Y173" s="28" t="s">
        <v>1301</v>
      </c>
      <c r="Z173" s="28" t="s">
        <v>1301</v>
      </c>
      <c r="AA173" s="28" t="s">
        <v>1301</v>
      </c>
      <c r="AB173" s="104" t="s">
        <v>663</v>
      </c>
      <c r="AC173" s="104" t="s">
        <v>1340</v>
      </c>
      <c r="AD173" s="9" t="s">
        <v>1269</v>
      </c>
      <c r="AE173" s="9"/>
      <c r="AF173" s="9"/>
      <c r="AG173" s="34"/>
      <c r="AH173" s="9"/>
      <c r="AI173" s="45" t="s">
        <v>46</v>
      </c>
      <c r="AJ173" s="9"/>
      <c r="AK173" s="45"/>
      <c r="AL173" s="45" t="s">
        <v>3100</v>
      </c>
      <c r="AM173" s="45" t="s">
        <v>46</v>
      </c>
      <c r="AN173" s="45" t="s">
        <v>46</v>
      </c>
      <c r="AO173" s="45" t="s">
        <v>46</v>
      </c>
      <c r="AP173" s="45" t="s">
        <v>46</v>
      </c>
      <c r="AQ173" s="45" t="s">
        <v>46</v>
      </c>
      <c r="AR173" s="45" t="s">
        <v>46</v>
      </c>
      <c r="AS173" s="45"/>
      <c r="AT173" s="45"/>
      <c r="AU173" s="45"/>
      <c r="AV173" s="45"/>
      <c r="AW173" s="45" t="s">
        <v>46</v>
      </c>
      <c r="AX173" s="45" t="s">
        <v>46</v>
      </c>
      <c r="AY173" s="45" t="s">
        <v>46</v>
      </c>
      <c r="AZ173" s="45" t="s">
        <v>46</v>
      </c>
      <c r="BA173" s="10" t="s">
        <v>268</v>
      </c>
      <c r="BB173" s="29" t="s">
        <v>2608</v>
      </c>
      <c r="BC173" s="29" t="s">
        <v>1611</v>
      </c>
      <c r="BD173" s="29" t="s">
        <v>1611</v>
      </c>
      <c r="BE173" s="29" t="s">
        <v>1611</v>
      </c>
      <c r="BF173" s="29" t="s">
        <v>1611</v>
      </c>
      <c r="BG173" s="29" t="s">
        <v>40</v>
      </c>
      <c r="BH173" s="29" t="s">
        <v>2572</v>
      </c>
      <c r="BI173" s="29" t="s">
        <v>575</v>
      </c>
      <c r="BJ173" s="29" t="s">
        <v>2676</v>
      </c>
      <c r="BK173" s="29" t="s">
        <v>2800</v>
      </c>
      <c r="BL173" s="29" t="s">
        <v>2801</v>
      </c>
      <c r="BM173" s="29" t="s">
        <v>1611</v>
      </c>
      <c r="BN173" s="29" t="s">
        <v>1611</v>
      </c>
      <c r="BO173" s="29" t="s">
        <v>1611</v>
      </c>
      <c r="BP173" s="29" t="s">
        <v>1611</v>
      </c>
      <c r="BQ173" s="29" t="s">
        <v>1611</v>
      </c>
      <c r="BR173" s="29" t="s">
        <v>1611</v>
      </c>
      <c r="BS173" s="29" t="s">
        <v>1611</v>
      </c>
      <c r="BT173" s="29" t="s">
        <v>1611</v>
      </c>
      <c r="BU173" s="29" t="s">
        <v>2941</v>
      </c>
      <c r="BV173" s="29" t="s">
        <v>2942</v>
      </c>
      <c r="BW173" s="29" t="s">
        <v>1611</v>
      </c>
      <c r="BX173" s="29" t="s">
        <v>1611</v>
      </c>
      <c r="BY173" s="29" t="s">
        <v>1611</v>
      </c>
      <c r="BZ173" s="29" t="s">
        <v>1611</v>
      </c>
      <c r="CA173" s="29" t="s">
        <v>1611</v>
      </c>
      <c r="CB173" s="29" t="s">
        <v>1611</v>
      </c>
      <c r="CC173" s="29" t="s">
        <v>1611</v>
      </c>
      <c r="CD173" s="29" t="s">
        <v>1611</v>
      </c>
      <c r="CE173" s="29" t="s">
        <v>1611</v>
      </c>
      <c r="CF173" s="29" t="s">
        <v>1611</v>
      </c>
      <c r="CG173" s="29" t="s">
        <v>1774</v>
      </c>
      <c r="CH173" s="29" t="s">
        <v>1892</v>
      </c>
      <c r="CI173" s="29" t="s">
        <v>1611</v>
      </c>
      <c r="CJ173" s="29" t="s">
        <v>1611</v>
      </c>
      <c r="CK173" s="29" t="s">
        <v>3216</v>
      </c>
      <c r="CL173" s="29" t="s">
        <v>3217</v>
      </c>
      <c r="CM173" s="29" t="s">
        <v>1611</v>
      </c>
      <c r="CN173" s="29" t="s">
        <v>1611</v>
      </c>
      <c r="CO173" s="29" t="s">
        <v>1611</v>
      </c>
      <c r="CP173" s="29" t="s">
        <v>1611</v>
      </c>
      <c r="CQ173" s="29" t="s">
        <v>1611</v>
      </c>
      <c r="CR173" s="29" t="s">
        <v>1611</v>
      </c>
      <c r="CS173" s="29" t="s">
        <v>1611</v>
      </c>
      <c r="CT173" s="29" t="s">
        <v>1611</v>
      </c>
      <c r="CU173" s="29" t="s">
        <v>1611</v>
      </c>
      <c r="CV173" s="29" t="s">
        <v>1611</v>
      </c>
      <c r="CW173" s="29"/>
      <c r="CX173" s="29"/>
      <c r="CY173" s="151"/>
      <c r="CZ173" t="s">
        <v>3298</v>
      </c>
      <c r="DA173" t="s">
        <v>3634</v>
      </c>
      <c r="DD173" s="96" t="str">
        <f t="shared" si="2"/>
        <v/>
      </c>
      <c r="DF173" s="96" t="s">
        <v>3753</v>
      </c>
      <c r="DI173" s="215"/>
    </row>
    <row r="174" spans="1:113" ht="16.5" customHeight="1" x14ac:dyDescent="0.3">
      <c r="C174" s="105">
        <v>1684254</v>
      </c>
      <c r="D174" s="27">
        <v>168</v>
      </c>
      <c r="E174" s="28" t="s">
        <v>656</v>
      </c>
      <c r="F174" s="28">
        <v>1000325879</v>
      </c>
      <c r="G174" s="29" t="s">
        <v>1149</v>
      </c>
      <c r="H174" s="28">
        <v>1684254</v>
      </c>
      <c r="I174" s="29" t="s">
        <v>1150</v>
      </c>
      <c r="J174" s="28" t="s">
        <v>429</v>
      </c>
      <c r="K174" s="7"/>
      <c r="L174" s="104" t="s">
        <v>755</v>
      </c>
      <c r="M174" s="29"/>
      <c r="N174" s="29"/>
      <c r="O174" s="127">
        <v>268599</v>
      </c>
      <c r="P174" s="113" t="s">
        <v>1960</v>
      </c>
      <c r="Q174" s="28" t="s">
        <v>612</v>
      </c>
      <c r="R174" s="28" t="s">
        <v>1329</v>
      </c>
      <c r="S174" s="28" t="s">
        <v>612</v>
      </c>
      <c r="T174" s="28" t="s">
        <v>1301</v>
      </c>
      <c r="U174" s="28" t="s">
        <v>1301</v>
      </c>
      <c r="V174" s="28" t="s">
        <v>1301</v>
      </c>
      <c r="W174" s="28" t="s">
        <v>1301</v>
      </c>
      <c r="X174" s="28" t="s">
        <v>1301</v>
      </c>
      <c r="Y174" s="28" t="s">
        <v>1301</v>
      </c>
      <c r="Z174" s="28" t="s">
        <v>1301</v>
      </c>
      <c r="AA174" s="28" t="s">
        <v>1301</v>
      </c>
      <c r="AB174" s="104" t="s">
        <v>663</v>
      </c>
      <c r="AC174" s="104" t="s">
        <v>1340</v>
      </c>
      <c r="AD174" s="9" t="s">
        <v>1269</v>
      </c>
      <c r="AE174" s="9"/>
      <c r="AF174" s="9"/>
      <c r="AG174" s="34"/>
      <c r="AH174" s="9"/>
      <c r="AI174" s="9" t="s">
        <v>461</v>
      </c>
      <c r="AJ174" s="9"/>
      <c r="AK174" s="45"/>
      <c r="AL174" s="45" t="s">
        <v>1928</v>
      </c>
      <c r="AM174" s="45" t="s">
        <v>46</v>
      </c>
      <c r="AN174" s="45" t="s">
        <v>46</v>
      </c>
      <c r="AO174" s="45" t="s">
        <v>46</v>
      </c>
      <c r="AP174" s="45" t="s">
        <v>46</v>
      </c>
      <c r="AQ174" s="45" t="s">
        <v>46</v>
      </c>
      <c r="AR174" s="45" t="s">
        <v>46</v>
      </c>
      <c r="AS174" s="45" t="s">
        <v>46</v>
      </c>
      <c r="AT174" s="45"/>
      <c r="AU174" s="45"/>
      <c r="AV174" s="45"/>
      <c r="AW174" s="45" t="s">
        <v>46</v>
      </c>
      <c r="AX174" s="45" t="s">
        <v>46</v>
      </c>
      <c r="AY174" s="45" t="s">
        <v>46</v>
      </c>
      <c r="AZ174" s="45" t="s">
        <v>46</v>
      </c>
      <c r="BA174" s="10" t="s">
        <v>70</v>
      </c>
      <c r="BB174" s="29" t="s">
        <v>2616</v>
      </c>
      <c r="BC174" s="29" t="s">
        <v>1611</v>
      </c>
      <c r="BD174" s="29" t="s">
        <v>1611</v>
      </c>
      <c r="BE174" s="29" t="s">
        <v>1611</v>
      </c>
      <c r="BF174" s="29" t="s">
        <v>1611</v>
      </c>
      <c r="BG174" s="29" t="s">
        <v>40</v>
      </c>
      <c r="BH174" s="29" t="s">
        <v>2572</v>
      </c>
      <c r="BI174" s="29" t="s">
        <v>336</v>
      </c>
      <c r="BJ174" s="29" t="s">
        <v>2662</v>
      </c>
      <c r="BK174" s="29" t="s">
        <v>230</v>
      </c>
      <c r="BL174" s="29" t="s">
        <v>2681</v>
      </c>
      <c r="BM174" s="29" t="s">
        <v>1611</v>
      </c>
      <c r="BN174" s="29" t="s">
        <v>1611</v>
      </c>
      <c r="BO174" s="29" t="s">
        <v>1611</v>
      </c>
      <c r="BP174" s="29" t="s">
        <v>1611</v>
      </c>
      <c r="BQ174" s="29" t="s">
        <v>1611</v>
      </c>
      <c r="BR174" s="29" t="s">
        <v>1611</v>
      </c>
      <c r="BS174" s="29" t="s">
        <v>1611</v>
      </c>
      <c r="BT174" s="29" t="s">
        <v>1611</v>
      </c>
      <c r="BU174" s="29" t="s">
        <v>2657</v>
      </c>
      <c r="BV174" s="29" t="s">
        <v>2658</v>
      </c>
      <c r="BW174" s="29" t="s">
        <v>1611</v>
      </c>
      <c r="BX174" s="29" t="s">
        <v>1611</v>
      </c>
      <c r="BY174" s="29" t="s">
        <v>1611</v>
      </c>
      <c r="BZ174" s="29" t="s">
        <v>1611</v>
      </c>
      <c r="CA174" s="29" t="s">
        <v>1611</v>
      </c>
      <c r="CB174" s="29" t="s">
        <v>1611</v>
      </c>
      <c r="CC174" s="29" t="s">
        <v>1611</v>
      </c>
      <c r="CD174" s="29" t="s">
        <v>1611</v>
      </c>
      <c r="CE174" s="29" t="s">
        <v>1611</v>
      </c>
      <c r="CF174" s="29" t="s">
        <v>1611</v>
      </c>
      <c r="CG174" s="29" t="s">
        <v>1775</v>
      </c>
      <c r="CH174" s="29" t="s">
        <v>1893</v>
      </c>
      <c r="CI174" s="29" t="s">
        <v>1611</v>
      </c>
      <c r="CJ174" s="29" t="s">
        <v>1611</v>
      </c>
      <c r="CK174" s="29" t="s">
        <v>2943</v>
      </c>
      <c r="CL174" s="29" t="s">
        <v>2944</v>
      </c>
      <c r="CM174" s="29" t="s">
        <v>2945</v>
      </c>
      <c r="CN174" s="29" t="s">
        <v>2946</v>
      </c>
      <c r="CO174" s="29" t="s">
        <v>3751</v>
      </c>
      <c r="CP174" s="29" t="s">
        <v>3750</v>
      </c>
      <c r="CQ174" s="29" t="s">
        <v>1611</v>
      </c>
      <c r="CR174" s="29" t="s">
        <v>1611</v>
      </c>
      <c r="CS174" s="29" t="s">
        <v>1611</v>
      </c>
      <c r="CT174" s="29" t="s">
        <v>1611</v>
      </c>
      <c r="CU174" s="29" t="s">
        <v>1611</v>
      </c>
      <c r="CV174" s="29" t="s">
        <v>1611</v>
      </c>
      <c r="CW174" s="29"/>
      <c r="CX174" s="29" t="s">
        <v>2614</v>
      </c>
      <c r="CY174" s="151"/>
      <c r="CZ174" t="s">
        <v>2260</v>
      </c>
      <c r="DA174" t="s">
        <v>3634</v>
      </c>
      <c r="DD174" s="96" t="str">
        <f t="shared" si="2"/>
        <v/>
      </c>
      <c r="DF174" s="96" t="s">
        <v>3753</v>
      </c>
      <c r="DI174" s="215"/>
    </row>
    <row r="175" spans="1:113" ht="16.5" customHeight="1" x14ac:dyDescent="0.3">
      <c r="A175" t="s">
        <v>3798</v>
      </c>
      <c r="B175" t="s">
        <v>3864</v>
      </c>
      <c r="C175" s="105">
        <v>1684617</v>
      </c>
      <c r="D175" s="27">
        <v>169</v>
      </c>
      <c r="E175" s="28" t="s">
        <v>792</v>
      </c>
      <c r="F175" s="28">
        <v>1001215105</v>
      </c>
      <c r="G175" s="29" t="s">
        <v>1152</v>
      </c>
      <c r="H175" s="28">
        <v>1684617</v>
      </c>
      <c r="I175" s="29" t="s">
        <v>1153</v>
      </c>
      <c r="J175" s="28" t="s">
        <v>854</v>
      </c>
      <c r="K175" s="7"/>
      <c r="L175" s="104" t="s">
        <v>756</v>
      </c>
      <c r="M175" s="29" t="s">
        <v>2306</v>
      </c>
      <c r="N175" s="29" t="s">
        <v>2307</v>
      </c>
      <c r="O175" s="127">
        <v>535425</v>
      </c>
      <c r="P175" s="113" t="s">
        <v>1346</v>
      </c>
      <c r="Q175" s="28" t="s">
        <v>612</v>
      </c>
      <c r="R175" s="28" t="s">
        <v>1301</v>
      </c>
      <c r="S175" s="28" t="s">
        <v>1301</v>
      </c>
      <c r="T175" s="28" t="s">
        <v>1329</v>
      </c>
      <c r="U175" s="28" t="s">
        <v>612</v>
      </c>
      <c r="V175" s="28" t="s">
        <v>1301</v>
      </c>
      <c r="W175" s="28" t="s">
        <v>1301</v>
      </c>
      <c r="X175" s="28" t="s">
        <v>1301</v>
      </c>
      <c r="Y175" s="28" t="s">
        <v>1301</v>
      </c>
      <c r="Z175" s="28" t="s">
        <v>1301</v>
      </c>
      <c r="AA175" s="28" t="s">
        <v>1301</v>
      </c>
      <c r="AB175" s="104" t="s">
        <v>663</v>
      </c>
      <c r="AC175" s="104" t="s">
        <v>1340</v>
      </c>
      <c r="AD175" s="9" t="s">
        <v>1269</v>
      </c>
      <c r="AE175" s="9"/>
      <c r="AF175" s="9"/>
      <c r="AG175" s="34"/>
      <c r="AH175" s="9"/>
      <c r="AI175" s="45" t="s">
        <v>461</v>
      </c>
      <c r="AJ175" s="9"/>
      <c r="AK175" s="45"/>
      <c r="AL175" s="45" t="s">
        <v>461</v>
      </c>
      <c r="AM175" s="45" t="s">
        <v>461</v>
      </c>
      <c r="AN175" s="45" t="s">
        <v>461</v>
      </c>
      <c r="AO175" s="45" t="s">
        <v>461</v>
      </c>
      <c r="AP175" s="45" t="s">
        <v>461</v>
      </c>
      <c r="AQ175" s="45" t="s">
        <v>461</v>
      </c>
      <c r="AR175" s="45" t="s">
        <v>461</v>
      </c>
      <c r="AS175" s="45" t="s">
        <v>461</v>
      </c>
      <c r="AT175" s="45"/>
      <c r="AU175" s="45"/>
      <c r="AV175" s="45"/>
      <c r="AW175" s="9" t="s">
        <v>461</v>
      </c>
      <c r="AX175" s="9" t="s">
        <v>461</v>
      </c>
      <c r="AY175" s="9" t="s">
        <v>461</v>
      </c>
      <c r="AZ175" s="9" t="s">
        <v>461</v>
      </c>
      <c r="BA175" s="10" t="s">
        <v>79</v>
      </c>
      <c r="BB175" s="29" t="s">
        <v>2612</v>
      </c>
      <c r="BC175" s="29" t="s">
        <v>1611</v>
      </c>
      <c r="BD175" s="29" t="s">
        <v>1611</v>
      </c>
      <c r="BE175" s="29" t="s">
        <v>1611</v>
      </c>
      <c r="BF175" s="29" t="s">
        <v>1611</v>
      </c>
      <c r="BG175" s="29" t="s">
        <v>2569</v>
      </c>
      <c r="BH175" s="29" t="s">
        <v>2570</v>
      </c>
      <c r="BI175" s="29" t="s">
        <v>329</v>
      </c>
      <c r="BJ175" s="29" t="s">
        <v>2591</v>
      </c>
      <c r="BK175" s="29" t="s">
        <v>191</v>
      </c>
      <c r="BL175" s="29" t="s">
        <v>2685</v>
      </c>
      <c r="BM175" s="29" t="s">
        <v>1611</v>
      </c>
      <c r="BN175" s="29" t="s">
        <v>1611</v>
      </c>
      <c r="BO175" s="29" t="s">
        <v>1611</v>
      </c>
      <c r="BP175" s="29" t="s">
        <v>1611</v>
      </c>
      <c r="BQ175" s="29" t="s">
        <v>1611</v>
      </c>
      <c r="BR175" s="29" t="s">
        <v>1611</v>
      </c>
      <c r="BS175" s="29" t="s">
        <v>1611</v>
      </c>
      <c r="BT175" s="29" t="s">
        <v>1611</v>
      </c>
      <c r="BU175" s="29" t="s">
        <v>2697</v>
      </c>
      <c r="BV175" s="29" t="s">
        <v>2698</v>
      </c>
      <c r="BW175" s="29" t="s">
        <v>1611</v>
      </c>
      <c r="BX175" s="29" t="s">
        <v>1611</v>
      </c>
      <c r="BY175" s="29" t="s">
        <v>1611</v>
      </c>
      <c r="BZ175" s="29" t="s">
        <v>1611</v>
      </c>
      <c r="CA175" s="29" t="s">
        <v>1611</v>
      </c>
      <c r="CB175" s="29" t="s">
        <v>1611</v>
      </c>
      <c r="CC175" s="29" t="s">
        <v>1611</v>
      </c>
      <c r="CD175" s="29" t="s">
        <v>1611</v>
      </c>
      <c r="CE175" s="29" t="s">
        <v>1611</v>
      </c>
      <c r="CF175" s="29" t="s">
        <v>1611</v>
      </c>
      <c r="CG175" s="29" t="s">
        <v>2947</v>
      </c>
      <c r="CH175" s="29" t="s">
        <v>2948</v>
      </c>
      <c r="CI175" s="29" t="s">
        <v>1611</v>
      </c>
      <c r="CJ175" s="29" t="s">
        <v>1611</v>
      </c>
      <c r="CK175" s="29" t="s">
        <v>2699</v>
      </c>
      <c r="CL175" s="29" t="s">
        <v>2700</v>
      </c>
      <c r="CM175" s="29" t="s">
        <v>2949</v>
      </c>
      <c r="CN175" s="29" t="s">
        <v>2950</v>
      </c>
      <c r="CO175" s="29" t="s">
        <v>1611</v>
      </c>
      <c r="CP175" s="29" t="s">
        <v>1611</v>
      </c>
      <c r="CQ175" s="29" t="s">
        <v>1611</v>
      </c>
      <c r="CR175" s="29" t="s">
        <v>1611</v>
      </c>
      <c r="CS175" s="29" t="s">
        <v>1611</v>
      </c>
      <c r="CT175" s="29" t="s">
        <v>1611</v>
      </c>
      <c r="CU175" s="29" t="s">
        <v>1611</v>
      </c>
      <c r="CV175" s="29" t="s">
        <v>1611</v>
      </c>
      <c r="CW175" s="29"/>
      <c r="CX175" s="29"/>
      <c r="CY175" s="151"/>
      <c r="CZ175" t="s">
        <v>3299</v>
      </c>
      <c r="DA175" t="s">
        <v>3634</v>
      </c>
      <c r="DD175" s="96" t="str">
        <f t="shared" si="2"/>
        <v/>
      </c>
      <c r="DF175" s="96" t="s">
        <v>3753</v>
      </c>
      <c r="DI175" s="215"/>
    </row>
    <row r="176" spans="1:113" ht="16.5" customHeight="1" x14ac:dyDescent="0.3">
      <c r="C176" s="105">
        <v>1662002</v>
      </c>
      <c r="D176" s="27">
        <v>170</v>
      </c>
      <c r="E176" s="28" t="s">
        <v>656</v>
      </c>
      <c r="F176" s="28">
        <v>1000316830</v>
      </c>
      <c r="G176" s="29" t="s">
        <v>1154</v>
      </c>
      <c r="H176" s="28">
        <v>1662002</v>
      </c>
      <c r="I176" s="29" t="s">
        <v>1155</v>
      </c>
      <c r="J176" s="28" t="s">
        <v>429</v>
      </c>
      <c r="K176" s="7"/>
      <c r="L176" s="104" t="s">
        <v>290</v>
      </c>
      <c r="M176" s="29"/>
      <c r="N176" s="29"/>
      <c r="O176" s="127"/>
      <c r="P176" s="28"/>
      <c r="Q176" s="28"/>
      <c r="R176" s="28"/>
      <c r="S176" s="28"/>
      <c r="T176" s="28"/>
      <c r="U176" s="28"/>
      <c r="V176" s="28"/>
      <c r="W176" s="28"/>
      <c r="X176" s="28"/>
      <c r="Y176" s="28"/>
      <c r="Z176" s="28"/>
      <c r="AA176" s="28"/>
      <c r="AB176" s="104"/>
      <c r="AC176" s="104"/>
      <c r="AD176" s="9" t="s">
        <v>1269</v>
      </c>
      <c r="AE176" s="39">
        <v>45916</v>
      </c>
      <c r="AF176" s="9" t="s">
        <v>1276</v>
      </c>
      <c r="AG176" s="108" t="s">
        <v>2279</v>
      </c>
      <c r="AH176" s="9"/>
      <c r="AI176" s="9"/>
      <c r="AJ176" s="9"/>
      <c r="AK176" s="45"/>
      <c r="AL176" s="45" t="s">
        <v>1611</v>
      </c>
      <c r="AM176" s="45"/>
      <c r="AN176" s="45"/>
      <c r="AO176" s="45"/>
      <c r="AP176" s="45"/>
      <c r="AQ176" s="45"/>
      <c r="AR176" s="45"/>
      <c r="AS176" s="45"/>
      <c r="AT176" s="45"/>
      <c r="AU176" s="45"/>
      <c r="AV176" s="45"/>
      <c r="AW176" s="9"/>
      <c r="AX176" s="9"/>
      <c r="AY176" s="9"/>
      <c r="AZ176" s="9"/>
      <c r="BA176" s="10" t="s">
        <v>92</v>
      </c>
      <c r="BB176" s="29" t="s">
        <v>2628</v>
      </c>
      <c r="BC176" s="29" t="s">
        <v>1611</v>
      </c>
      <c r="BD176" s="29" t="s">
        <v>1611</v>
      </c>
      <c r="BE176" s="29" t="s">
        <v>1611</v>
      </c>
      <c r="BF176" s="29" t="s">
        <v>1611</v>
      </c>
      <c r="BG176" s="29" t="s">
        <v>40</v>
      </c>
      <c r="BH176" s="29" t="s">
        <v>2572</v>
      </c>
      <c r="BI176" s="29" t="s">
        <v>311</v>
      </c>
      <c r="BJ176" s="29" t="s">
        <v>2725</v>
      </c>
      <c r="BK176" s="29" t="s">
        <v>2870</v>
      </c>
      <c r="BL176" s="29" t="s">
        <v>2871</v>
      </c>
      <c r="BM176" s="29" t="s">
        <v>1611</v>
      </c>
      <c r="BN176" s="29" t="s">
        <v>1611</v>
      </c>
      <c r="BO176" s="29" t="s">
        <v>1611</v>
      </c>
      <c r="BP176" s="29" t="s">
        <v>1611</v>
      </c>
      <c r="BQ176" s="29" t="s">
        <v>1611</v>
      </c>
      <c r="BR176" s="29" t="s">
        <v>1611</v>
      </c>
      <c r="BS176" s="29" t="s">
        <v>1611</v>
      </c>
      <c r="BT176" s="29" t="s">
        <v>1611</v>
      </c>
      <c r="BU176" s="29" t="s">
        <v>100</v>
      </c>
      <c r="BV176" s="29" t="s">
        <v>2622</v>
      </c>
      <c r="BW176" s="29" t="s">
        <v>1611</v>
      </c>
      <c r="BX176" s="29" t="s">
        <v>1611</v>
      </c>
      <c r="BY176" s="29" t="s">
        <v>1611</v>
      </c>
      <c r="BZ176" s="29" t="s">
        <v>1611</v>
      </c>
      <c r="CA176" s="29" t="s">
        <v>1611</v>
      </c>
      <c r="CB176" s="29" t="s">
        <v>1611</v>
      </c>
      <c r="CC176" s="29" t="s">
        <v>1611</v>
      </c>
      <c r="CD176" s="29" t="s">
        <v>1611</v>
      </c>
      <c r="CE176" s="29" t="s">
        <v>1611</v>
      </c>
      <c r="CF176" s="29" t="s">
        <v>1611</v>
      </c>
      <c r="CG176" s="29" t="s">
        <v>1735</v>
      </c>
      <c r="CH176" s="29" t="s">
        <v>1847</v>
      </c>
      <c r="CI176" s="29" t="s">
        <v>1611</v>
      </c>
      <c r="CJ176" s="29" t="s">
        <v>1611</v>
      </c>
      <c r="CK176" s="29" t="s">
        <v>1611</v>
      </c>
      <c r="CL176" s="29" t="s">
        <v>1611</v>
      </c>
      <c r="CM176" s="29" t="s">
        <v>1611</v>
      </c>
      <c r="CN176" s="29" t="s">
        <v>1611</v>
      </c>
      <c r="CO176" s="29" t="s">
        <v>1611</v>
      </c>
      <c r="CP176" s="29" t="s">
        <v>1611</v>
      </c>
      <c r="CQ176" s="29" t="s">
        <v>1611</v>
      </c>
      <c r="CR176" s="29" t="s">
        <v>1611</v>
      </c>
      <c r="CS176" s="29" t="s">
        <v>1611</v>
      </c>
      <c r="CT176" s="29" t="s">
        <v>1611</v>
      </c>
      <c r="CU176" s="29" t="s">
        <v>1611</v>
      </c>
      <c r="CV176" s="29" t="s">
        <v>1611</v>
      </c>
      <c r="CW176" s="29"/>
      <c r="CX176" s="29"/>
      <c r="CY176" s="151"/>
      <c r="CZ176" t="e">
        <v>#N/A</v>
      </c>
      <c r="DA176" t="e">
        <v>#N/A</v>
      </c>
      <c r="DD176" s="96" t="str">
        <f t="shared" si="2"/>
        <v>V</v>
      </c>
      <c r="DI176" s="215"/>
    </row>
    <row r="177" spans="1:113" ht="16.5" customHeight="1" x14ac:dyDescent="0.3">
      <c r="A177" t="s">
        <v>3798</v>
      </c>
      <c r="B177" t="s">
        <v>3778</v>
      </c>
      <c r="C177" s="105">
        <v>1688003</v>
      </c>
      <c r="D177" s="27">
        <v>171</v>
      </c>
      <c r="E177" s="28" t="s">
        <v>784</v>
      </c>
      <c r="F177" s="28">
        <v>1001071556</v>
      </c>
      <c r="G177" s="29" t="s">
        <v>1156</v>
      </c>
      <c r="H177" s="28">
        <v>1688003</v>
      </c>
      <c r="I177" s="29" t="s">
        <v>1157</v>
      </c>
      <c r="J177" s="28" t="s">
        <v>854</v>
      </c>
      <c r="K177" s="7"/>
      <c r="L177" s="104" t="s">
        <v>751</v>
      </c>
      <c r="M177" s="29" t="s">
        <v>36</v>
      </c>
      <c r="N177" s="29" t="s">
        <v>3845</v>
      </c>
      <c r="O177" s="127">
        <v>2116379</v>
      </c>
      <c r="P177" s="113" t="s">
        <v>1317</v>
      </c>
      <c r="Q177" s="28" t="s">
        <v>612</v>
      </c>
      <c r="R177" s="28" t="s">
        <v>1301</v>
      </c>
      <c r="S177" s="28" t="s">
        <v>1301</v>
      </c>
      <c r="T177" s="28" t="s">
        <v>1301</v>
      </c>
      <c r="U177" s="28" t="s">
        <v>1301</v>
      </c>
      <c r="V177" s="28" t="s">
        <v>1301</v>
      </c>
      <c r="W177" s="28" t="s">
        <v>1301</v>
      </c>
      <c r="X177" s="28" t="s">
        <v>1301</v>
      </c>
      <c r="Y177" s="28" t="s">
        <v>1301</v>
      </c>
      <c r="Z177" s="28" t="s">
        <v>1301</v>
      </c>
      <c r="AA177" s="28" t="s">
        <v>1301</v>
      </c>
      <c r="AB177" s="104" t="s">
        <v>663</v>
      </c>
      <c r="AC177" s="104" t="s">
        <v>1340</v>
      </c>
      <c r="AD177" s="9" t="s">
        <v>1269</v>
      </c>
      <c r="AE177" s="9"/>
      <c r="AF177" s="9"/>
      <c r="AG177" s="34"/>
      <c r="AH177" s="9"/>
      <c r="AI177" s="9"/>
      <c r="AJ177" s="9" t="s">
        <v>46</v>
      </c>
      <c r="AK177" s="45"/>
      <c r="AL177" s="9" t="s">
        <v>2491</v>
      </c>
      <c r="AM177" s="9" t="s">
        <v>46</v>
      </c>
      <c r="AN177" s="45"/>
      <c r="AO177" s="45"/>
      <c r="AP177" s="45"/>
      <c r="AQ177" s="45"/>
      <c r="AR177" s="45"/>
      <c r="AS177" s="45"/>
      <c r="AT177" s="45"/>
      <c r="AU177" s="45"/>
      <c r="AV177" s="45"/>
      <c r="AW177" s="9" t="s">
        <v>46</v>
      </c>
      <c r="AX177" s="9" t="s">
        <v>46</v>
      </c>
      <c r="AY177" s="9" t="s">
        <v>46</v>
      </c>
      <c r="AZ177" s="9" t="s">
        <v>461</v>
      </c>
      <c r="BA177" s="10" t="s">
        <v>184</v>
      </c>
      <c r="BB177" s="29" t="s">
        <v>2568</v>
      </c>
      <c r="BC177" s="29" t="s">
        <v>1611</v>
      </c>
      <c r="BD177" s="29" t="s">
        <v>1611</v>
      </c>
      <c r="BE177" s="29" t="s">
        <v>2502</v>
      </c>
      <c r="BF177" s="29" t="s">
        <v>2503</v>
      </c>
      <c r="BG177" s="29" t="s">
        <v>2599</v>
      </c>
      <c r="BH177" s="29" t="s">
        <v>2600</v>
      </c>
      <c r="BI177" s="29" t="s">
        <v>370</v>
      </c>
      <c r="BJ177" s="29" t="s">
        <v>2893</v>
      </c>
      <c r="BK177" s="29" t="s">
        <v>2602</v>
      </c>
      <c r="BL177" s="29" t="s">
        <v>2603</v>
      </c>
      <c r="BM177" s="29" t="s">
        <v>1611</v>
      </c>
      <c r="BN177" s="29" t="s">
        <v>1611</v>
      </c>
      <c r="BO177" s="29" t="s">
        <v>1611</v>
      </c>
      <c r="BP177" s="29" t="s">
        <v>1611</v>
      </c>
      <c r="BQ177" s="29" t="s">
        <v>1611</v>
      </c>
      <c r="BR177" s="29" t="s">
        <v>1611</v>
      </c>
      <c r="BS177" s="29" t="s">
        <v>1611</v>
      </c>
      <c r="BT177" s="29" t="s">
        <v>1611</v>
      </c>
      <c r="BU177" s="29" t="s">
        <v>2386</v>
      </c>
      <c r="BV177" s="29" t="s">
        <v>2433</v>
      </c>
      <c r="BW177" s="29" t="s">
        <v>1611</v>
      </c>
      <c r="BX177" s="29" t="s">
        <v>1611</v>
      </c>
      <c r="BY177" s="29" t="s">
        <v>1611</v>
      </c>
      <c r="BZ177" s="29" t="s">
        <v>1611</v>
      </c>
      <c r="CA177" s="29" t="s">
        <v>1611</v>
      </c>
      <c r="CB177" s="29" t="s">
        <v>1611</v>
      </c>
      <c r="CC177" s="29" t="s">
        <v>1611</v>
      </c>
      <c r="CD177" s="29" t="s">
        <v>1611</v>
      </c>
      <c r="CE177" s="29" t="s">
        <v>1611</v>
      </c>
      <c r="CF177" s="29" t="s">
        <v>1611</v>
      </c>
      <c r="CG177" s="29" t="s">
        <v>1776</v>
      </c>
      <c r="CH177" s="29" t="s">
        <v>1894</v>
      </c>
      <c r="CI177" s="29" t="s">
        <v>1611</v>
      </c>
      <c r="CJ177" s="29" t="s">
        <v>1611</v>
      </c>
      <c r="CK177" s="29" t="s">
        <v>3869</v>
      </c>
      <c r="CL177" s="29" t="s">
        <v>3870</v>
      </c>
      <c r="CM177" s="29" t="s">
        <v>1611</v>
      </c>
      <c r="CN177" s="29" t="s">
        <v>1611</v>
      </c>
      <c r="CO177" s="29" t="s">
        <v>1611</v>
      </c>
      <c r="CP177" s="29" t="s">
        <v>1611</v>
      </c>
      <c r="CQ177" s="29" t="s">
        <v>1611</v>
      </c>
      <c r="CR177" s="29" t="s">
        <v>1611</v>
      </c>
      <c r="CS177" s="29" t="s">
        <v>1611</v>
      </c>
      <c r="CT177" s="29" t="s">
        <v>1611</v>
      </c>
      <c r="CU177" s="29" t="s">
        <v>1611</v>
      </c>
      <c r="CV177" s="29" t="s">
        <v>1611</v>
      </c>
      <c r="CW177" s="29"/>
      <c r="CX177" s="29"/>
      <c r="CY177" s="151"/>
      <c r="CZ177" t="s">
        <v>3619</v>
      </c>
      <c r="DA177" t="s">
        <v>3634</v>
      </c>
      <c r="DD177" s="96" t="str">
        <f t="shared" si="2"/>
        <v/>
      </c>
      <c r="DF177" s="96" t="s">
        <v>3753</v>
      </c>
      <c r="DI177" s="215"/>
    </row>
    <row r="178" spans="1:113" ht="16.5" customHeight="1" x14ac:dyDescent="0.3">
      <c r="C178" s="105">
        <v>1688863</v>
      </c>
      <c r="D178" s="27">
        <v>172</v>
      </c>
      <c r="E178" s="28" t="s">
        <v>656</v>
      </c>
      <c r="F178" s="28">
        <v>1001061842</v>
      </c>
      <c r="G178" s="29" t="s">
        <v>1159</v>
      </c>
      <c r="H178" s="28">
        <v>1688863</v>
      </c>
      <c r="I178" s="29" t="s">
        <v>1160</v>
      </c>
      <c r="J178" s="28" t="s">
        <v>659</v>
      </c>
      <c r="K178" s="7"/>
      <c r="L178" s="104" t="s">
        <v>34</v>
      </c>
      <c r="M178" s="29"/>
      <c r="N178" s="29"/>
      <c r="O178" s="127"/>
      <c r="P178" s="28"/>
      <c r="Q178" s="28"/>
      <c r="R178" s="28"/>
      <c r="S178" s="28"/>
      <c r="T178" s="28"/>
      <c r="U178" s="28"/>
      <c r="V178" s="28"/>
      <c r="W178" s="28"/>
      <c r="X178" s="28"/>
      <c r="Y178" s="28"/>
      <c r="Z178" s="28"/>
      <c r="AA178" s="28"/>
      <c r="AB178" s="104"/>
      <c r="AC178" s="104"/>
      <c r="AD178" s="9" t="s">
        <v>1269</v>
      </c>
      <c r="AE178" s="39">
        <v>45875</v>
      </c>
      <c r="AF178" s="9" t="s">
        <v>1276</v>
      </c>
      <c r="AG178" s="108" t="s">
        <v>1604</v>
      </c>
      <c r="AH178" s="9"/>
      <c r="AI178" s="9"/>
      <c r="AJ178" s="9"/>
      <c r="AK178" s="45"/>
      <c r="AL178" s="45" t="s">
        <v>1611</v>
      </c>
      <c r="AM178" s="45"/>
      <c r="AN178" s="45"/>
      <c r="AO178" s="45"/>
      <c r="AP178" s="45"/>
      <c r="AQ178" s="45"/>
      <c r="AR178" s="45"/>
      <c r="AS178" s="45"/>
      <c r="AT178" s="45"/>
      <c r="AU178" s="45"/>
      <c r="AV178" s="45"/>
      <c r="AW178" s="9"/>
      <c r="AX178" s="9"/>
      <c r="AY178" s="9"/>
      <c r="AZ178" s="9"/>
      <c r="BA178" s="10" t="s">
        <v>1611</v>
      </c>
      <c r="BB178" s="29" t="s">
        <v>1611</v>
      </c>
      <c r="BC178" s="29" t="s">
        <v>1611</v>
      </c>
      <c r="BD178" s="29" t="s">
        <v>1611</v>
      </c>
      <c r="BE178" s="29" t="s">
        <v>1611</v>
      </c>
      <c r="BF178" s="29" t="s">
        <v>1611</v>
      </c>
      <c r="BG178" s="29" t="s">
        <v>1611</v>
      </c>
      <c r="BH178" s="29" t="s">
        <v>1611</v>
      </c>
      <c r="BI178" s="29" t="s">
        <v>336</v>
      </c>
      <c r="BJ178" s="29" t="s">
        <v>2662</v>
      </c>
      <c r="BK178" s="29" t="s">
        <v>2664</v>
      </c>
      <c r="BL178" s="29" t="s">
        <v>2665</v>
      </c>
      <c r="BM178" s="29" t="s">
        <v>1611</v>
      </c>
      <c r="BN178" s="29" t="s">
        <v>1611</v>
      </c>
      <c r="BO178" s="29" t="s">
        <v>1611</v>
      </c>
      <c r="BP178" s="29" t="s">
        <v>1611</v>
      </c>
      <c r="BQ178" s="29" t="s">
        <v>1611</v>
      </c>
      <c r="BR178" s="29" t="s">
        <v>1611</v>
      </c>
      <c r="BS178" s="29" t="s">
        <v>1611</v>
      </c>
      <c r="BT178" s="29" t="s">
        <v>1611</v>
      </c>
      <c r="BU178" s="29" t="s">
        <v>2384</v>
      </c>
      <c r="BV178" s="29" t="s">
        <v>2431</v>
      </c>
      <c r="BW178" s="29" t="s">
        <v>1611</v>
      </c>
      <c r="BX178" s="29" t="s">
        <v>1611</v>
      </c>
      <c r="BY178" s="29" t="s">
        <v>1611</v>
      </c>
      <c r="BZ178" s="29" t="s">
        <v>1611</v>
      </c>
      <c r="CA178" s="29" t="s">
        <v>1611</v>
      </c>
      <c r="CB178" s="29" t="s">
        <v>1611</v>
      </c>
      <c r="CC178" s="29" t="s">
        <v>1611</v>
      </c>
      <c r="CD178" s="29" t="s">
        <v>1611</v>
      </c>
      <c r="CE178" s="29" t="s">
        <v>1611</v>
      </c>
      <c r="CF178" s="29" t="s">
        <v>1611</v>
      </c>
      <c r="CG178" s="29" t="s">
        <v>2951</v>
      </c>
      <c r="CH178" s="29" t="s">
        <v>2952</v>
      </c>
      <c r="CI178" s="29" t="s">
        <v>1611</v>
      </c>
      <c r="CJ178" s="29" t="s">
        <v>1611</v>
      </c>
      <c r="CK178" s="29" t="s">
        <v>1611</v>
      </c>
      <c r="CL178" s="29" t="s">
        <v>1611</v>
      </c>
      <c r="CM178" s="29" t="s">
        <v>1611</v>
      </c>
      <c r="CN178" s="29" t="s">
        <v>1611</v>
      </c>
      <c r="CO178" s="29" t="s">
        <v>1611</v>
      </c>
      <c r="CP178" s="29" t="s">
        <v>1611</v>
      </c>
      <c r="CQ178" s="29" t="s">
        <v>1611</v>
      </c>
      <c r="CR178" s="29" t="s">
        <v>1611</v>
      </c>
      <c r="CS178" s="29" t="s">
        <v>1611</v>
      </c>
      <c r="CT178" s="29" t="s">
        <v>1611</v>
      </c>
      <c r="CU178" s="29" t="s">
        <v>1611</v>
      </c>
      <c r="CV178" s="29" t="s">
        <v>1611</v>
      </c>
      <c r="CW178" s="29"/>
      <c r="CX178" s="29"/>
      <c r="CY178" s="151"/>
      <c r="CZ178" t="e">
        <v>#N/A</v>
      </c>
      <c r="DA178" t="e">
        <v>#N/A</v>
      </c>
      <c r="DD178" s="96" t="str">
        <f t="shared" si="2"/>
        <v>V</v>
      </c>
      <c r="DI178" s="215"/>
    </row>
    <row r="179" spans="1:113" ht="16.5" customHeight="1" x14ac:dyDescent="0.3">
      <c r="C179" s="105">
        <v>1661709</v>
      </c>
      <c r="D179" s="27">
        <v>173</v>
      </c>
      <c r="E179" s="28" t="s">
        <v>794</v>
      </c>
      <c r="F179" s="28">
        <v>1000326209</v>
      </c>
      <c r="G179" s="29" t="s">
        <v>1161</v>
      </c>
      <c r="H179" s="28">
        <v>1661709</v>
      </c>
      <c r="I179" s="29" t="s">
        <v>1162</v>
      </c>
      <c r="J179" s="28" t="s">
        <v>429</v>
      </c>
      <c r="K179" s="7"/>
      <c r="L179" s="104" t="s">
        <v>757</v>
      </c>
      <c r="M179" s="29"/>
      <c r="N179" s="29"/>
      <c r="O179" s="127"/>
      <c r="P179" s="28"/>
      <c r="Q179" s="28"/>
      <c r="R179" s="28"/>
      <c r="S179" s="28"/>
      <c r="T179" s="28"/>
      <c r="U179" s="28"/>
      <c r="V179" s="28"/>
      <c r="W179" s="28"/>
      <c r="X179" s="28"/>
      <c r="Y179" s="28"/>
      <c r="Z179" s="28"/>
      <c r="AA179" s="28"/>
      <c r="AB179" s="104"/>
      <c r="AC179" s="28"/>
      <c r="AD179" s="9" t="s">
        <v>1269</v>
      </c>
      <c r="AE179" s="39">
        <v>45867</v>
      </c>
      <c r="AF179" s="9" t="s">
        <v>1276</v>
      </c>
      <c r="AG179" s="109" t="s">
        <v>1298</v>
      </c>
      <c r="AH179" s="9"/>
      <c r="AI179" s="9"/>
      <c r="AJ179" s="9"/>
      <c r="AK179" s="45"/>
      <c r="AL179" s="45" t="s">
        <v>1611</v>
      </c>
      <c r="AM179" s="45"/>
      <c r="AN179" s="45"/>
      <c r="AO179" s="45"/>
      <c r="AP179" s="45"/>
      <c r="AQ179" s="45"/>
      <c r="AR179" s="45"/>
      <c r="AS179" s="45"/>
      <c r="AT179" s="45"/>
      <c r="AU179" s="45"/>
      <c r="AV179" s="45"/>
      <c r="AW179" s="9"/>
      <c r="AX179" s="9"/>
      <c r="AY179" s="9"/>
      <c r="AZ179" s="9"/>
      <c r="BA179" s="10" t="s">
        <v>92</v>
      </c>
      <c r="BB179" s="29" t="s">
        <v>2628</v>
      </c>
      <c r="BC179" s="29" t="s">
        <v>1611</v>
      </c>
      <c r="BD179" s="29" t="s">
        <v>1611</v>
      </c>
      <c r="BE179" s="29" t="s">
        <v>1611</v>
      </c>
      <c r="BF179" s="29" t="s">
        <v>1611</v>
      </c>
      <c r="BG179" s="29" t="s">
        <v>40</v>
      </c>
      <c r="BH179" s="29" t="s">
        <v>2572</v>
      </c>
      <c r="BI179" s="29" t="s">
        <v>2584</v>
      </c>
      <c r="BJ179" s="29" t="s">
        <v>2876</v>
      </c>
      <c r="BK179" s="29" t="s">
        <v>355</v>
      </c>
      <c r="BL179" s="29" t="s">
        <v>2551</v>
      </c>
      <c r="BM179" s="29" t="s">
        <v>1611</v>
      </c>
      <c r="BN179" s="29" t="s">
        <v>1611</v>
      </c>
      <c r="BO179" s="29" t="s">
        <v>1611</v>
      </c>
      <c r="BP179" s="29" t="s">
        <v>1611</v>
      </c>
      <c r="BQ179" s="29" t="s">
        <v>1611</v>
      </c>
      <c r="BR179" s="29" t="s">
        <v>1611</v>
      </c>
      <c r="BS179" s="29" t="s">
        <v>1611</v>
      </c>
      <c r="BT179" s="29" t="s">
        <v>1611</v>
      </c>
      <c r="BU179" s="29" t="s">
        <v>2846</v>
      </c>
      <c r="BV179" s="29" t="s">
        <v>2847</v>
      </c>
      <c r="BW179" s="29" t="s">
        <v>1611</v>
      </c>
      <c r="BX179" s="29" t="s">
        <v>1611</v>
      </c>
      <c r="BY179" s="29" t="s">
        <v>1611</v>
      </c>
      <c r="BZ179" s="29" t="s">
        <v>1611</v>
      </c>
      <c r="CA179" s="29" t="s">
        <v>1611</v>
      </c>
      <c r="CB179" s="29" t="s">
        <v>1611</v>
      </c>
      <c r="CC179" s="29" t="s">
        <v>1611</v>
      </c>
      <c r="CD179" s="29" t="s">
        <v>1611</v>
      </c>
      <c r="CE179" s="29" t="s">
        <v>1611</v>
      </c>
      <c r="CF179" s="29" t="s">
        <v>1611</v>
      </c>
      <c r="CG179" s="29" t="s">
        <v>2953</v>
      </c>
      <c r="CH179" s="29" t="s">
        <v>2954</v>
      </c>
      <c r="CI179" s="29" t="s">
        <v>1611</v>
      </c>
      <c r="CJ179" s="29" t="s">
        <v>1611</v>
      </c>
      <c r="CK179" s="29" t="s">
        <v>1611</v>
      </c>
      <c r="CL179" s="29" t="s">
        <v>1611</v>
      </c>
      <c r="CM179" s="29" t="s">
        <v>1611</v>
      </c>
      <c r="CN179" s="29" t="s">
        <v>1611</v>
      </c>
      <c r="CO179" s="29" t="s">
        <v>1611</v>
      </c>
      <c r="CP179" s="29" t="s">
        <v>1611</v>
      </c>
      <c r="CQ179" s="29" t="s">
        <v>1611</v>
      </c>
      <c r="CR179" s="29" t="s">
        <v>1611</v>
      </c>
      <c r="CS179" s="29" t="s">
        <v>1611</v>
      </c>
      <c r="CT179" s="29" t="s">
        <v>1611</v>
      </c>
      <c r="CU179" s="29" t="s">
        <v>1611</v>
      </c>
      <c r="CV179" s="29" t="s">
        <v>1611</v>
      </c>
      <c r="CW179" s="29"/>
      <c r="CX179" s="29"/>
      <c r="CY179" s="151"/>
      <c r="CZ179" t="e">
        <v>#N/A</v>
      </c>
      <c r="DA179" t="e">
        <v>#N/A</v>
      </c>
      <c r="DD179" s="96" t="str">
        <f t="shared" si="2"/>
        <v>V</v>
      </c>
      <c r="DI179" s="215"/>
    </row>
    <row r="180" spans="1:113" ht="16.5" customHeight="1" x14ac:dyDescent="0.3">
      <c r="C180" s="105">
        <v>1684061</v>
      </c>
      <c r="D180" s="27">
        <v>174</v>
      </c>
      <c r="E180" s="28" t="s">
        <v>784</v>
      </c>
      <c r="F180" s="28">
        <v>1000990106</v>
      </c>
      <c r="G180" s="29" t="s">
        <v>1163</v>
      </c>
      <c r="H180" s="28">
        <v>1684061</v>
      </c>
      <c r="I180" s="29" t="s">
        <v>1164</v>
      </c>
      <c r="J180" s="28" t="s">
        <v>854</v>
      </c>
      <c r="K180" s="7"/>
      <c r="L180" s="104" t="s">
        <v>683</v>
      </c>
      <c r="M180" s="29"/>
      <c r="N180" s="29"/>
      <c r="O180" s="127"/>
      <c r="P180" s="28"/>
      <c r="Q180" s="28"/>
      <c r="R180" s="28"/>
      <c r="S180" s="28"/>
      <c r="T180" s="28"/>
      <c r="U180" s="28"/>
      <c r="V180" s="28"/>
      <c r="W180" s="28"/>
      <c r="X180" s="28"/>
      <c r="Y180" s="28"/>
      <c r="Z180" s="28"/>
      <c r="AA180" s="28"/>
      <c r="AB180" s="104"/>
      <c r="AC180" s="104"/>
      <c r="AD180" s="9" t="s">
        <v>1269</v>
      </c>
      <c r="AE180" s="39">
        <v>45891</v>
      </c>
      <c r="AF180" s="9" t="s">
        <v>1276</v>
      </c>
      <c r="AG180" s="34" t="s">
        <v>1634</v>
      </c>
      <c r="AH180" s="9"/>
      <c r="AI180" s="9"/>
      <c r="AJ180" s="9"/>
      <c r="AK180" s="45"/>
      <c r="AL180" s="45" t="s">
        <v>1611</v>
      </c>
      <c r="AM180" s="45"/>
      <c r="AN180" s="45"/>
      <c r="AO180" s="45"/>
      <c r="AP180" s="45"/>
      <c r="AQ180" s="45"/>
      <c r="AR180" s="45"/>
      <c r="AS180" s="45"/>
      <c r="AT180" s="45"/>
      <c r="AU180" s="45"/>
      <c r="AV180" s="45"/>
      <c r="AW180" s="9"/>
      <c r="AX180" s="9"/>
      <c r="AY180" s="9"/>
      <c r="AZ180" s="9"/>
      <c r="BA180" s="10" t="s">
        <v>291</v>
      </c>
      <c r="BB180" s="29" t="s">
        <v>2704</v>
      </c>
      <c r="BC180" s="29" t="s">
        <v>1611</v>
      </c>
      <c r="BD180" s="29" t="s">
        <v>1611</v>
      </c>
      <c r="BE180" s="29" t="s">
        <v>1611</v>
      </c>
      <c r="BF180" s="29" t="s">
        <v>1611</v>
      </c>
      <c r="BG180" s="29" t="s">
        <v>2660</v>
      </c>
      <c r="BH180" s="29" t="s">
        <v>2661</v>
      </c>
      <c r="BI180" s="29" t="s">
        <v>2575</v>
      </c>
      <c r="BJ180" s="29" t="s">
        <v>2576</v>
      </c>
      <c r="BK180" s="29" t="s">
        <v>409</v>
      </c>
      <c r="BL180" s="29" t="s">
        <v>2640</v>
      </c>
      <c r="BM180" s="29" t="s">
        <v>1611</v>
      </c>
      <c r="BN180" s="29" t="s">
        <v>1611</v>
      </c>
      <c r="BO180" s="29" t="s">
        <v>1611</v>
      </c>
      <c r="BP180" s="29" t="s">
        <v>1611</v>
      </c>
      <c r="BQ180" s="29" t="s">
        <v>1611</v>
      </c>
      <c r="BR180" s="29" t="s">
        <v>1611</v>
      </c>
      <c r="BS180" s="29" t="s">
        <v>1611</v>
      </c>
      <c r="BT180" s="29" t="s">
        <v>1611</v>
      </c>
      <c r="BU180" s="29" t="s">
        <v>410</v>
      </c>
      <c r="BV180" s="29" t="s">
        <v>2427</v>
      </c>
      <c r="BW180" s="29" t="s">
        <v>1611</v>
      </c>
      <c r="BX180" s="29" t="s">
        <v>1611</v>
      </c>
      <c r="BY180" s="29" t="s">
        <v>1611</v>
      </c>
      <c r="BZ180" s="29" t="s">
        <v>1611</v>
      </c>
      <c r="CA180" s="29" t="s">
        <v>1611</v>
      </c>
      <c r="CB180" s="29" t="s">
        <v>1611</v>
      </c>
      <c r="CC180" s="29" t="s">
        <v>1611</v>
      </c>
      <c r="CD180" s="29" t="s">
        <v>1611</v>
      </c>
      <c r="CE180" s="29" t="s">
        <v>1611</v>
      </c>
      <c r="CF180" s="29" t="s">
        <v>1611</v>
      </c>
      <c r="CG180" s="29" t="s">
        <v>1719</v>
      </c>
      <c r="CH180" s="29" t="s">
        <v>1825</v>
      </c>
      <c r="CI180" s="29" t="s">
        <v>1611</v>
      </c>
      <c r="CJ180" s="29" t="s">
        <v>1611</v>
      </c>
      <c r="CK180" s="29" t="s">
        <v>1611</v>
      </c>
      <c r="CL180" s="29" t="s">
        <v>1611</v>
      </c>
      <c r="CM180" s="29" t="s">
        <v>1611</v>
      </c>
      <c r="CN180" s="29" t="s">
        <v>1611</v>
      </c>
      <c r="CO180" s="29" t="s">
        <v>1611</v>
      </c>
      <c r="CP180" s="29" t="s">
        <v>1611</v>
      </c>
      <c r="CQ180" s="29" t="s">
        <v>1611</v>
      </c>
      <c r="CR180" s="29" t="s">
        <v>1611</v>
      </c>
      <c r="CS180" s="29" t="s">
        <v>1611</v>
      </c>
      <c r="CT180" s="29" t="s">
        <v>1611</v>
      </c>
      <c r="CU180" s="29" t="s">
        <v>1611</v>
      </c>
      <c r="CV180" s="29" t="s">
        <v>1611</v>
      </c>
      <c r="CW180" s="29"/>
      <c r="CX180" s="29"/>
      <c r="CY180" s="151"/>
      <c r="CZ180" t="e">
        <v>#N/A</v>
      </c>
      <c r="DA180" t="e">
        <v>#N/A</v>
      </c>
      <c r="DD180" s="96" t="str">
        <f t="shared" si="2"/>
        <v>V</v>
      </c>
      <c r="DI180" s="215"/>
    </row>
    <row r="181" spans="1:113" ht="16.5" customHeight="1" x14ac:dyDescent="0.3">
      <c r="C181" s="105">
        <v>1684272</v>
      </c>
      <c r="D181" s="27">
        <v>175</v>
      </c>
      <c r="E181" s="28" t="s">
        <v>792</v>
      </c>
      <c r="F181" s="28">
        <v>1000589276</v>
      </c>
      <c r="G181" s="29" t="s">
        <v>1165</v>
      </c>
      <c r="H181" s="28">
        <v>1684272</v>
      </c>
      <c r="I181" s="29" t="s">
        <v>1166</v>
      </c>
      <c r="J181" s="28" t="s">
        <v>429</v>
      </c>
      <c r="K181" s="7"/>
      <c r="L181" s="104" t="s">
        <v>758</v>
      </c>
      <c r="M181" s="29"/>
      <c r="N181" s="29"/>
      <c r="O181" s="127"/>
      <c r="P181" s="28"/>
      <c r="Q181" s="28"/>
      <c r="R181" s="28"/>
      <c r="S181" s="28"/>
      <c r="T181" s="28"/>
      <c r="U181" s="28"/>
      <c r="V181" s="28"/>
      <c r="W181" s="28"/>
      <c r="X181" s="28"/>
      <c r="Y181" s="28"/>
      <c r="Z181" s="28"/>
      <c r="AA181" s="28"/>
      <c r="AB181" s="104"/>
      <c r="AC181" s="104"/>
      <c r="AD181" s="9" t="s">
        <v>1269</v>
      </c>
      <c r="AE181" s="39">
        <v>45960</v>
      </c>
      <c r="AF181" s="9" t="s">
        <v>1276</v>
      </c>
      <c r="AG181" s="108" t="s">
        <v>2488</v>
      </c>
      <c r="AH181" s="9"/>
      <c r="AI181" s="9"/>
      <c r="AJ181" s="9"/>
      <c r="AK181" s="45"/>
      <c r="AL181" s="45" t="s">
        <v>1611</v>
      </c>
      <c r="AM181" s="45"/>
      <c r="AN181" s="45"/>
      <c r="AO181" s="45"/>
      <c r="AP181" s="45"/>
      <c r="AQ181" s="45"/>
      <c r="AR181" s="45"/>
      <c r="AS181" s="45"/>
      <c r="AT181" s="45"/>
      <c r="AU181" s="45"/>
      <c r="AV181" s="45"/>
      <c r="AW181" s="9"/>
      <c r="AX181" s="9"/>
      <c r="AY181" s="9"/>
      <c r="AZ181" s="9"/>
      <c r="BA181" s="10" t="s">
        <v>2496</v>
      </c>
      <c r="BB181" s="29" t="s">
        <v>2550</v>
      </c>
      <c r="BC181" s="29" t="s">
        <v>1611</v>
      </c>
      <c r="BD181" s="29" t="s">
        <v>1611</v>
      </c>
      <c r="BE181" s="29" t="s">
        <v>1611</v>
      </c>
      <c r="BF181" s="29" t="s">
        <v>1611</v>
      </c>
      <c r="BG181" s="29" t="s">
        <v>2721</v>
      </c>
      <c r="BH181" s="29" t="s">
        <v>2722</v>
      </c>
      <c r="BI181" s="29" t="s">
        <v>102</v>
      </c>
      <c r="BJ181" s="29" t="s">
        <v>2780</v>
      </c>
      <c r="BK181" s="29" t="s">
        <v>2575</v>
      </c>
      <c r="BL181" s="29" t="s">
        <v>2576</v>
      </c>
      <c r="BM181" s="29" t="s">
        <v>1611</v>
      </c>
      <c r="BN181" s="29" t="s">
        <v>1611</v>
      </c>
      <c r="BO181" s="29" t="s">
        <v>1611</v>
      </c>
      <c r="BP181" s="29" t="s">
        <v>1611</v>
      </c>
      <c r="BQ181" s="29" t="s">
        <v>1611</v>
      </c>
      <c r="BR181" s="29" t="s">
        <v>1611</v>
      </c>
      <c r="BS181" s="29" t="s">
        <v>1611</v>
      </c>
      <c r="BT181" s="29" t="s">
        <v>1611</v>
      </c>
      <c r="BU181" s="29" t="s">
        <v>2387</v>
      </c>
      <c r="BV181" s="29" t="s">
        <v>2434</v>
      </c>
      <c r="BW181" s="29" t="s">
        <v>1611</v>
      </c>
      <c r="BX181" s="29" t="s">
        <v>1611</v>
      </c>
      <c r="BY181" s="29" t="s">
        <v>1611</v>
      </c>
      <c r="BZ181" s="29" t="s">
        <v>1611</v>
      </c>
      <c r="CA181" s="29" t="s">
        <v>1611</v>
      </c>
      <c r="CB181" s="29" t="s">
        <v>1611</v>
      </c>
      <c r="CC181" s="29" t="s">
        <v>1611</v>
      </c>
      <c r="CD181" s="29" t="s">
        <v>1611</v>
      </c>
      <c r="CE181" s="29" t="s">
        <v>1611</v>
      </c>
      <c r="CF181" s="29" t="s">
        <v>1611</v>
      </c>
      <c r="CG181" s="29" t="s">
        <v>1770</v>
      </c>
      <c r="CH181" s="29" t="s">
        <v>1888</v>
      </c>
      <c r="CI181" s="29" t="s">
        <v>1611</v>
      </c>
      <c r="CJ181" s="29" t="s">
        <v>1611</v>
      </c>
      <c r="CK181" s="29" t="s">
        <v>1611</v>
      </c>
      <c r="CL181" s="29" t="s">
        <v>1611</v>
      </c>
      <c r="CM181" s="29" t="s">
        <v>1611</v>
      </c>
      <c r="CN181" s="29" t="s">
        <v>1611</v>
      </c>
      <c r="CO181" s="29" t="s">
        <v>1611</v>
      </c>
      <c r="CP181" s="29" t="s">
        <v>1611</v>
      </c>
      <c r="CQ181" s="29" t="s">
        <v>1611</v>
      </c>
      <c r="CR181" s="29" t="s">
        <v>1611</v>
      </c>
      <c r="CS181" s="29" t="s">
        <v>1611</v>
      </c>
      <c r="CT181" s="29" t="s">
        <v>1611</v>
      </c>
      <c r="CU181" s="29" t="s">
        <v>1611</v>
      </c>
      <c r="CV181" s="29" t="s">
        <v>1611</v>
      </c>
      <c r="CW181" s="29"/>
      <c r="CX181" s="29"/>
      <c r="CY181" s="151"/>
      <c r="CZ181" t="e">
        <v>#N/A</v>
      </c>
      <c r="DA181" t="e">
        <v>#N/A</v>
      </c>
      <c r="DD181" s="96" t="str">
        <f t="shared" si="2"/>
        <v>V</v>
      </c>
      <c r="DI181" s="215"/>
    </row>
    <row r="182" spans="1:113" ht="16.5" customHeight="1" x14ac:dyDescent="0.3">
      <c r="C182" s="105">
        <v>1664317</v>
      </c>
      <c r="D182" s="27">
        <v>176</v>
      </c>
      <c r="E182" s="28" t="s">
        <v>656</v>
      </c>
      <c r="F182" s="28">
        <v>1000893766</v>
      </c>
      <c r="G182" s="29" t="s">
        <v>2293</v>
      </c>
      <c r="H182" s="28">
        <v>1664317</v>
      </c>
      <c r="I182" s="29" t="s">
        <v>1167</v>
      </c>
      <c r="J182" s="28" t="s">
        <v>854</v>
      </c>
      <c r="K182" s="7"/>
      <c r="L182" s="104" t="s">
        <v>34</v>
      </c>
      <c r="M182" s="29" t="s">
        <v>2319</v>
      </c>
      <c r="N182" s="29" t="s">
        <v>2320</v>
      </c>
      <c r="O182" s="127">
        <v>26191</v>
      </c>
      <c r="P182" s="113" t="s">
        <v>1317</v>
      </c>
      <c r="Q182" s="28" t="s">
        <v>612</v>
      </c>
      <c r="R182" s="28" t="s">
        <v>1301</v>
      </c>
      <c r="S182" s="28" t="s">
        <v>1301</v>
      </c>
      <c r="T182" s="28" t="s">
        <v>1301</v>
      </c>
      <c r="U182" s="28" t="s">
        <v>1301</v>
      </c>
      <c r="V182" s="28" t="s">
        <v>1301</v>
      </c>
      <c r="W182" s="28" t="s">
        <v>1301</v>
      </c>
      <c r="X182" s="28" t="s">
        <v>1301</v>
      </c>
      <c r="Y182" s="28" t="s">
        <v>1301</v>
      </c>
      <c r="Z182" s="28" t="s">
        <v>1301</v>
      </c>
      <c r="AA182" s="28" t="s">
        <v>1301</v>
      </c>
      <c r="AB182" s="104" t="s">
        <v>663</v>
      </c>
      <c r="AC182" s="104" t="s">
        <v>1340</v>
      </c>
      <c r="AD182" s="9" t="s">
        <v>1269</v>
      </c>
      <c r="AE182" s="9"/>
      <c r="AF182" s="9"/>
      <c r="AG182" s="34"/>
      <c r="AH182" s="9"/>
      <c r="AI182" s="45" t="s">
        <v>46</v>
      </c>
      <c r="AJ182" s="9"/>
      <c r="AK182" s="45"/>
      <c r="AL182" s="45" t="s">
        <v>2278</v>
      </c>
      <c r="AM182" s="45" t="s">
        <v>46</v>
      </c>
      <c r="AN182" s="45" t="s">
        <v>46</v>
      </c>
      <c r="AO182" s="45" t="s">
        <v>46</v>
      </c>
      <c r="AP182" s="45" t="s">
        <v>46</v>
      </c>
      <c r="AQ182" s="45" t="s">
        <v>46</v>
      </c>
      <c r="AR182" s="45" t="s">
        <v>46</v>
      </c>
      <c r="AS182" s="45" t="s">
        <v>46</v>
      </c>
      <c r="AT182" s="45"/>
      <c r="AU182" s="45"/>
      <c r="AV182" s="45"/>
      <c r="AW182" s="9"/>
      <c r="AX182" s="9"/>
      <c r="AY182" s="9"/>
      <c r="AZ182" s="9"/>
      <c r="BA182" s="10" t="s">
        <v>147</v>
      </c>
      <c r="BB182" s="29" t="s">
        <v>2695</v>
      </c>
      <c r="BC182" s="29" t="s">
        <v>1611</v>
      </c>
      <c r="BD182" s="29" t="s">
        <v>1611</v>
      </c>
      <c r="BE182" s="29" t="s">
        <v>2514</v>
      </c>
      <c r="BF182" s="29" t="s">
        <v>2515</v>
      </c>
      <c r="BG182" s="29" t="s">
        <v>2599</v>
      </c>
      <c r="BH182" s="29" t="s">
        <v>2600</v>
      </c>
      <c r="BI182" s="29" t="s">
        <v>53</v>
      </c>
      <c r="BJ182" s="29" t="s">
        <v>2506</v>
      </c>
      <c r="BK182" s="29" t="s">
        <v>2584</v>
      </c>
      <c r="BL182" s="29" t="s">
        <v>2876</v>
      </c>
      <c r="BM182" s="29" t="s">
        <v>1611</v>
      </c>
      <c r="BN182" s="29" t="s">
        <v>1611</v>
      </c>
      <c r="BO182" s="29" t="s">
        <v>1611</v>
      </c>
      <c r="BP182" s="29" t="s">
        <v>1611</v>
      </c>
      <c r="BQ182" s="29" t="s">
        <v>1611</v>
      </c>
      <c r="BR182" s="29" t="s">
        <v>1611</v>
      </c>
      <c r="BS182" s="29" t="s">
        <v>1611</v>
      </c>
      <c r="BT182" s="29" t="s">
        <v>1611</v>
      </c>
      <c r="BU182" s="29" t="s">
        <v>2384</v>
      </c>
      <c r="BV182" s="29" t="s">
        <v>2431</v>
      </c>
      <c r="BW182" s="29" t="s">
        <v>1611</v>
      </c>
      <c r="BX182" s="29" t="s">
        <v>1611</v>
      </c>
      <c r="BY182" s="29" t="s">
        <v>1611</v>
      </c>
      <c r="BZ182" s="29" t="s">
        <v>1611</v>
      </c>
      <c r="CA182" s="29" t="s">
        <v>1611</v>
      </c>
      <c r="CB182" s="29" t="s">
        <v>1611</v>
      </c>
      <c r="CC182" s="29" t="s">
        <v>1611</v>
      </c>
      <c r="CD182" s="29" t="s">
        <v>1611</v>
      </c>
      <c r="CE182" s="29" t="s">
        <v>1611</v>
      </c>
      <c r="CF182" s="29" t="s">
        <v>1611</v>
      </c>
      <c r="CG182" s="29" t="s">
        <v>1777</v>
      </c>
      <c r="CH182" s="29" t="s">
        <v>1895</v>
      </c>
      <c r="CI182" s="29" t="s">
        <v>1611</v>
      </c>
      <c r="CJ182" s="29" t="s">
        <v>1611</v>
      </c>
      <c r="CK182" s="29" t="s">
        <v>2955</v>
      </c>
      <c r="CL182" s="29" t="s">
        <v>2956</v>
      </c>
      <c r="CM182" s="29" t="s">
        <v>2957</v>
      </c>
      <c r="CN182" s="29" t="s">
        <v>2958</v>
      </c>
      <c r="CO182" s="29" t="s">
        <v>1611</v>
      </c>
      <c r="CP182" s="29" t="s">
        <v>1611</v>
      </c>
      <c r="CQ182" s="29" t="s">
        <v>1611</v>
      </c>
      <c r="CR182" s="29" t="s">
        <v>1611</v>
      </c>
      <c r="CS182" s="29" t="s">
        <v>1611</v>
      </c>
      <c r="CT182" s="29" t="s">
        <v>1611</v>
      </c>
      <c r="CU182" s="29" t="s">
        <v>1611</v>
      </c>
      <c r="CV182" s="29" t="s">
        <v>1611</v>
      </c>
      <c r="CW182" s="29"/>
      <c r="CX182" s="29"/>
      <c r="CY182" s="151"/>
      <c r="CZ182" t="s">
        <v>3300</v>
      </c>
      <c r="DA182" t="s">
        <v>3634</v>
      </c>
      <c r="DD182" s="96" t="str">
        <f t="shared" si="2"/>
        <v/>
      </c>
      <c r="DF182" s="96" t="s">
        <v>3753</v>
      </c>
      <c r="DI182" s="215"/>
    </row>
    <row r="183" spans="1:113" ht="16.5" customHeight="1" x14ac:dyDescent="0.3">
      <c r="C183" s="105">
        <v>1660510</v>
      </c>
      <c r="D183" s="27">
        <v>177</v>
      </c>
      <c r="E183" s="28" t="s">
        <v>818</v>
      </c>
      <c r="F183" s="28">
        <v>1000802197</v>
      </c>
      <c r="G183" s="29" t="s">
        <v>1168</v>
      </c>
      <c r="H183" s="28">
        <v>1660510</v>
      </c>
      <c r="I183" s="29" t="s">
        <v>1169</v>
      </c>
      <c r="J183" s="28" t="s">
        <v>854</v>
      </c>
      <c r="K183" s="7"/>
      <c r="L183" s="104" t="s">
        <v>759</v>
      </c>
      <c r="M183" s="29"/>
      <c r="N183" s="29"/>
      <c r="O183" s="127"/>
      <c r="P183" s="28"/>
      <c r="Q183" s="28"/>
      <c r="R183" s="28"/>
      <c r="S183" s="28"/>
      <c r="T183" s="28"/>
      <c r="U183" s="28"/>
      <c r="V183" s="28"/>
      <c r="W183" s="28"/>
      <c r="X183" s="28"/>
      <c r="Y183" s="28"/>
      <c r="Z183" s="28"/>
      <c r="AA183" s="28"/>
      <c r="AB183" s="104"/>
      <c r="AC183" s="104"/>
      <c r="AD183" s="9" t="s">
        <v>1269</v>
      </c>
      <c r="AE183" s="39">
        <v>45903</v>
      </c>
      <c r="AF183" s="9" t="s">
        <v>1933</v>
      </c>
      <c r="AG183" s="108" t="s">
        <v>1937</v>
      </c>
      <c r="AH183" s="9"/>
      <c r="AI183" s="9"/>
      <c r="AJ183" s="9"/>
      <c r="AK183" s="45"/>
      <c r="AL183" s="45" t="s">
        <v>1611</v>
      </c>
      <c r="AM183" s="45"/>
      <c r="AN183" s="45"/>
      <c r="AO183" s="45"/>
      <c r="AP183" s="45"/>
      <c r="AQ183" s="45"/>
      <c r="AR183" s="45"/>
      <c r="AS183" s="45"/>
      <c r="AT183" s="45"/>
      <c r="AU183" s="45"/>
      <c r="AV183" s="45"/>
      <c r="AW183" s="9"/>
      <c r="AX183" s="9"/>
      <c r="AY183" s="9"/>
      <c r="AZ183" s="9"/>
      <c r="BA183" s="10" t="s">
        <v>79</v>
      </c>
      <c r="BB183" s="29" t="s">
        <v>2612</v>
      </c>
      <c r="BC183" s="29" t="s">
        <v>1611</v>
      </c>
      <c r="BD183" s="29" t="s">
        <v>1611</v>
      </c>
      <c r="BE183" s="29" t="s">
        <v>2502</v>
      </c>
      <c r="BF183" s="29" t="s">
        <v>2503</v>
      </c>
      <c r="BG183" s="29" t="s">
        <v>2650</v>
      </c>
      <c r="BH183" s="29" t="s">
        <v>2651</v>
      </c>
      <c r="BI183" s="29" t="s">
        <v>208</v>
      </c>
      <c r="BJ183" s="29" t="s">
        <v>2609</v>
      </c>
      <c r="BK183" s="29" t="s">
        <v>598</v>
      </c>
      <c r="BL183" s="29" t="s">
        <v>2752</v>
      </c>
      <c r="BM183" s="29" t="s">
        <v>1611</v>
      </c>
      <c r="BN183" s="29" t="s">
        <v>1611</v>
      </c>
      <c r="BO183" s="29" t="s">
        <v>1611</v>
      </c>
      <c r="BP183" s="29" t="s">
        <v>1611</v>
      </c>
      <c r="BQ183" s="29" t="s">
        <v>1611</v>
      </c>
      <c r="BR183" s="29" t="s">
        <v>1611</v>
      </c>
      <c r="BS183" s="29" t="s">
        <v>1611</v>
      </c>
      <c r="BT183" s="29" t="s">
        <v>1611</v>
      </c>
      <c r="BU183" s="29" t="s">
        <v>238</v>
      </c>
      <c r="BV183" s="29" t="s">
        <v>2959</v>
      </c>
      <c r="BW183" s="29" t="s">
        <v>1611</v>
      </c>
      <c r="BX183" s="29" t="s">
        <v>1611</v>
      </c>
      <c r="BY183" s="29" t="s">
        <v>1611</v>
      </c>
      <c r="BZ183" s="29" t="s">
        <v>1611</v>
      </c>
      <c r="CA183" s="29" t="s">
        <v>1611</v>
      </c>
      <c r="CB183" s="29" t="s">
        <v>1611</v>
      </c>
      <c r="CC183" s="29" t="s">
        <v>1611</v>
      </c>
      <c r="CD183" s="29" t="s">
        <v>1611</v>
      </c>
      <c r="CE183" s="29" t="s">
        <v>1611</v>
      </c>
      <c r="CF183" s="29" t="s">
        <v>1611</v>
      </c>
      <c r="CG183" s="29" t="s">
        <v>1723</v>
      </c>
      <c r="CH183" s="29" t="s">
        <v>1830</v>
      </c>
      <c r="CI183" s="29" t="s">
        <v>1611</v>
      </c>
      <c r="CJ183" s="29" t="s">
        <v>1611</v>
      </c>
      <c r="CK183" s="29" t="s">
        <v>1611</v>
      </c>
      <c r="CL183" s="29" t="s">
        <v>1611</v>
      </c>
      <c r="CM183" s="29" t="s">
        <v>1611</v>
      </c>
      <c r="CN183" s="29" t="s">
        <v>1611</v>
      </c>
      <c r="CO183" s="29" t="s">
        <v>1611</v>
      </c>
      <c r="CP183" s="29" t="s">
        <v>1611</v>
      </c>
      <c r="CQ183" s="29" t="s">
        <v>1611</v>
      </c>
      <c r="CR183" s="29" t="s">
        <v>1611</v>
      </c>
      <c r="CS183" s="29" t="s">
        <v>1611</v>
      </c>
      <c r="CT183" s="29" t="s">
        <v>1611</v>
      </c>
      <c r="CU183" s="29" t="s">
        <v>1611</v>
      </c>
      <c r="CV183" s="29" t="s">
        <v>1611</v>
      </c>
      <c r="CW183" s="29"/>
      <c r="CX183" s="29"/>
      <c r="CY183" s="151"/>
      <c r="CZ183" t="e">
        <v>#N/A</v>
      </c>
      <c r="DA183" t="e">
        <v>#N/A</v>
      </c>
      <c r="DD183" s="96" t="str">
        <f t="shared" si="2"/>
        <v>V</v>
      </c>
      <c r="DI183" s="215"/>
    </row>
    <row r="184" spans="1:113" ht="16.5" customHeight="1" x14ac:dyDescent="0.3">
      <c r="C184" s="105">
        <v>1662001</v>
      </c>
      <c r="D184" s="27">
        <v>178</v>
      </c>
      <c r="E184" s="28" t="s">
        <v>656</v>
      </c>
      <c r="F184" s="28">
        <v>1000667051</v>
      </c>
      <c r="G184" s="29" t="s">
        <v>1170</v>
      </c>
      <c r="H184" s="28">
        <v>1662001</v>
      </c>
      <c r="I184" s="29" t="s">
        <v>1171</v>
      </c>
      <c r="J184" s="28" t="s">
        <v>429</v>
      </c>
      <c r="K184" s="7"/>
      <c r="L184" s="104" t="s">
        <v>760</v>
      </c>
      <c r="M184" s="29"/>
      <c r="N184" s="29"/>
      <c r="O184" s="127"/>
      <c r="P184" s="28"/>
      <c r="Q184" s="28"/>
      <c r="R184" s="28"/>
      <c r="S184" s="28"/>
      <c r="T184" s="28"/>
      <c r="U184" s="28"/>
      <c r="V184" s="28"/>
      <c r="W184" s="28"/>
      <c r="X184" s="28"/>
      <c r="Y184" s="28"/>
      <c r="Z184" s="28"/>
      <c r="AA184" s="28"/>
      <c r="AB184" s="104"/>
      <c r="AC184" s="104"/>
      <c r="AD184" s="9" t="s">
        <v>1269</v>
      </c>
      <c r="AE184" s="39">
        <v>45918</v>
      </c>
      <c r="AF184" s="9" t="s">
        <v>2290</v>
      </c>
      <c r="AG184" s="108" t="s">
        <v>2291</v>
      </c>
      <c r="AH184" s="9"/>
      <c r="AI184" s="9"/>
      <c r="AJ184" s="9"/>
      <c r="AK184" s="45"/>
      <c r="AL184" s="45" t="s">
        <v>46</v>
      </c>
      <c r="AM184" s="45" t="s">
        <v>46</v>
      </c>
      <c r="AN184" s="45"/>
      <c r="AO184" s="45"/>
      <c r="AP184" s="45"/>
      <c r="AQ184" s="45"/>
      <c r="AR184" s="45"/>
      <c r="AS184" s="45"/>
      <c r="AT184" s="45"/>
      <c r="AU184" s="45"/>
      <c r="AV184" s="45"/>
      <c r="AW184" s="9"/>
      <c r="AX184" s="9"/>
      <c r="AY184" s="9"/>
      <c r="AZ184" s="9"/>
      <c r="BA184" s="10" t="s">
        <v>268</v>
      </c>
      <c r="BB184" s="29" t="s">
        <v>2608</v>
      </c>
      <c r="BC184" s="29" t="s">
        <v>1611</v>
      </c>
      <c r="BD184" s="29" t="s">
        <v>1611</v>
      </c>
      <c r="BE184" s="29" t="s">
        <v>2502</v>
      </c>
      <c r="BF184" s="29" t="s">
        <v>2503</v>
      </c>
      <c r="BG184" s="29" t="s">
        <v>2650</v>
      </c>
      <c r="BH184" s="29" t="s">
        <v>2651</v>
      </c>
      <c r="BI184" s="29" t="s">
        <v>244</v>
      </c>
      <c r="BJ184" s="29" t="s">
        <v>2712</v>
      </c>
      <c r="BK184" s="29" t="s">
        <v>2584</v>
      </c>
      <c r="BL184" s="29" t="s">
        <v>2876</v>
      </c>
      <c r="BM184" s="29" t="s">
        <v>1611</v>
      </c>
      <c r="BN184" s="29" t="s">
        <v>1611</v>
      </c>
      <c r="BO184" s="29" t="s">
        <v>1611</v>
      </c>
      <c r="BP184" s="29" t="s">
        <v>1611</v>
      </c>
      <c r="BQ184" s="29" t="s">
        <v>1611</v>
      </c>
      <c r="BR184" s="29" t="s">
        <v>1611</v>
      </c>
      <c r="BS184" s="29" t="s">
        <v>1611</v>
      </c>
      <c r="BT184" s="29" t="s">
        <v>1611</v>
      </c>
      <c r="BU184" s="29" t="s">
        <v>100</v>
      </c>
      <c r="BV184" s="29" t="s">
        <v>2622</v>
      </c>
      <c r="BW184" s="29" t="s">
        <v>1611</v>
      </c>
      <c r="BX184" s="29" t="s">
        <v>1611</v>
      </c>
      <c r="BY184" s="29" t="s">
        <v>1611</v>
      </c>
      <c r="BZ184" s="29" t="s">
        <v>1611</v>
      </c>
      <c r="CA184" s="29" t="s">
        <v>1611</v>
      </c>
      <c r="CB184" s="29" t="s">
        <v>1611</v>
      </c>
      <c r="CC184" s="29" t="s">
        <v>1611</v>
      </c>
      <c r="CD184" s="29" t="s">
        <v>1611</v>
      </c>
      <c r="CE184" s="29" t="s">
        <v>1611</v>
      </c>
      <c r="CF184" s="29" t="s">
        <v>1611</v>
      </c>
      <c r="CG184" s="29" t="s">
        <v>1778</v>
      </c>
      <c r="CH184" s="29" t="s">
        <v>1896</v>
      </c>
      <c r="CI184" s="29" t="s">
        <v>1611</v>
      </c>
      <c r="CJ184" s="29" t="s">
        <v>1611</v>
      </c>
      <c r="CK184" s="29" t="s">
        <v>1611</v>
      </c>
      <c r="CL184" s="29" t="s">
        <v>1611</v>
      </c>
      <c r="CM184" s="29" t="s">
        <v>1611</v>
      </c>
      <c r="CN184" s="29" t="s">
        <v>1611</v>
      </c>
      <c r="CO184" s="29" t="s">
        <v>1611</v>
      </c>
      <c r="CP184" s="29" t="s">
        <v>1611</v>
      </c>
      <c r="CQ184" s="29" t="s">
        <v>1611</v>
      </c>
      <c r="CR184" s="29" t="s">
        <v>1611</v>
      </c>
      <c r="CS184" s="29" t="s">
        <v>1611</v>
      </c>
      <c r="CT184" s="29" t="s">
        <v>1611</v>
      </c>
      <c r="CU184" s="29" t="s">
        <v>1611</v>
      </c>
      <c r="CV184" s="29" t="s">
        <v>1611</v>
      </c>
      <c r="CW184" s="29"/>
      <c r="CX184" s="29"/>
      <c r="CY184" s="151"/>
      <c r="CZ184" t="s">
        <v>3738</v>
      </c>
      <c r="DA184" t="s">
        <v>3724</v>
      </c>
      <c r="DD184" s="96" t="str">
        <f t="shared" si="2"/>
        <v>V</v>
      </c>
      <c r="DI184" s="215"/>
    </row>
    <row r="185" spans="1:113" ht="16.5" customHeight="1" x14ac:dyDescent="0.3">
      <c r="C185" s="105">
        <v>1662133</v>
      </c>
      <c r="D185" s="27">
        <v>179</v>
      </c>
      <c r="E185" s="28" t="s">
        <v>786</v>
      </c>
      <c r="F185" s="28">
        <v>1001453066</v>
      </c>
      <c r="G185" s="29" t="s">
        <v>2331</v>
      </c>
      <c r="H185" s="28">
        <v>1662133</v>
      </c>
      <c r="I185" s="29" t="s">
        <v>1172</v>
      </c>
      <c r="J185" s="28" t="s">
        <v>854</v>
      </c>
      <c r="K185" s="7"/>
      <c r="L185" s="104" t="s">
        <v>2332</v>
      </c>
      <c r="M185" s="29" t="s">
        <v>206</v>
      </c>
      <c r="N185" s="29" t="s">
        <v>2354</v>
      </c>
      <c r="O185" s="127">
        <v>19207</v>
      </c>
      <c r="P185" s="113" t="s">
        <v>1960</v>
      </c>
      <c r="Q185" s="28" t="s">
        <v>612</v>
      </c>
      <c r="R185" s="28" t="s">
        <v>1301</v>
      </c>
      <c r="S185" s="28" t="s">
        <v>1301</v>
      </c>
      <c r="T185" s="28" t="s">
        <v>1329</v>
      </c>
      <c r="U185" s="28" t="s">
        <v>612</v>
      </c>
      <c r="V185" s="28" t="s">
        <v>1301</v>
      </c>
      <c r="W185" s="28" t="s">
        <v>1301</v>
      </c>
      <c r="X185" s="28" t="s">
        <v>1301</v>
      </c>
      <c r="Y185" s="28" t="s">
        <v>1301</v>
      </c>
      <c r="Z185" s="28" t="s">
        <v>1301</v>
      </c>
      <c r="AA185" s="28" t="s">
        <v>1301</v>
      </c>
      <c r="AB185" s="104" t="s">
        <v>2353</v>
      </c>
      <c r="AC185" s="104" t="s">
        <v>1340</v>
      </c>
      <c r="AD185" s="9" t="s">
        <v>1269</v>
      </c>
      <c r="AE185" s="9"/>
      <c r="AF185" s="9"/>
      <c r="AG185" s="34"/>
      <c r="AH185" s="9"/>
      <c r="AI185" s="9"/>
      <c r="AJ185" s="9"/>
      <c r="AK185" s="45"/>
      <c r="AL185" s="45" t="s">
        <v>2278</v>
      </c>
      <c r="AM185" s="45" t="s">
        <v>46</v>
      </c>
      <c r="AN185" s="45" t="s">
        <v>46</v>
      </c>
      <c r="AO185" s="45" t="s">
        <v>46</v>
      </c>
      <c r="AP185" s="45" t="s">
        <v>46</v>
      </c>
      <c r="AQ185" s="45" t="s">
        <v>46</v>
      </c>
      <c r="AR185" s="45" t="s">
        <v>46</v>
      </c>
      <c r="AS185" s="45"/>
      <c r="AT185" s="45"/>
      <c r="AU185" s="45"/>
      <c r="AV185" s="45"/>
      <c r="AW185" s="9"/>
      <c r="AX185" s="9"/>
      <c r="AY185" s="9"/>
      <c r="AZ185" s="9"/>
      <c r="BA185" s="10" t="s">
        <v>79</v>
      </c>
      <c r="BB185" s="29" t="s">
        <v>2612</v>
      </c>
      <c r="BC185" s="29" t="s">
        <v>1611</v>
      </c>
      <c r="BD185" s="29" t="s">
        <v>1611</v>
      </c>
      <c r="BE185" s="29" t="s">
        <v>2514</v>
      </c>
      <c r="BF185" s="29" t="s">
        <v>2515</v>
      </c>
      <c r="BG185" s="29" t="s">
        <v>2650</v>
      </c>
      <c r="BH185" s="29" t="s">
        <v>2651</v>
      </c>
      <c r="BI185" s="29" t="s">
        <v>2883</v>
      </c>
      <c r="BJ185" s="29" t="s">
        <v>2884</v>
      </c>
      <c r="BK185" s="29" t="s">
        <v>39</v>
      </c>
      <c r="BL185" s="29" t="s">
        <v>2571</v>
      </c>
      <c r="BM185" s="29" t="s">
        <v>1611</v>
      </c>
      <c r="BN185" s="29" t="s">
        <v>1611</v>
      </c>
      <c r="BO185" s="29" t="s">
        <v>1611</v>
      </c>
      <c r="BP185" s="29" t="s">
        <v>1611</v>
      </c>
      <c r="BQ185" s="29" t="s">
        <v>1611</v>
      </c>
      <c r="BR185" s="29" t="s">
        <v>1611</v>
      </c>
      <c r="BS185" s="29" t="s">
        <v>1611</v>
      </c>
      <c r="BT185" s="29" t="s">
        <v>1611</v>
      </c>
      <c r="BU185" s="29" t="s">
        <v>343</v>
      </c>
      <c r="BV185" s="29" t="s">
        <v>2407</v>
      </c>
      <c r="BW185" s="29" t="s">
        <v>1611</v>
      </c>
      <c r="BX185" s="29" t="s">
        <v>1611</v>
      </c>
      <c r="BY185" s="29" t="s">
        <v>1611</v>
      </c>
      <c r="BZ185" s="29" t="s">
        <v>1611</v>
      </c>
      <c r="CA185" s="29" t="s">
        <v>1611</v>
      </c>
      <c r="CB185" s="29" t="s">
        <v>1611</v>
      </c>
      <c r="CC185" s="29" t="s">
        <v>1611</v>
      </c>
      <c r="CD185" s="29" t="s">
        <v>1611</v>
      </c>
      <c r="CE185" s="29" t="s">
        <v>1611</v>
      </c>
      <c r="CF185" s="29" t="s">
        <v>1611</v>
      </c>
      <c r="CG185" s="29" t="s">
        <v>1749</v>
      </c>
      <c r="CH185" s="29" t="s">
        <v>1862</v>
      </c>
      <c r="CI185" s="29" t="s">
        <v>1611</v>
      </c>
      <c r="CJ185" s="29" t="s">
        <v>1611</v>
      </c>
      <c r="CK185" s="29" t="s">
        <v>2960</v>
      </c>
      <c r="CL185" s="29" t="s">
        <v>2961</v>
      </c>
      <c r="CM185" s="29" t="s">
        <v>2962</v>
      </c>
      <c r="CN185" s="29" t="s">
        <v>2963</v>
      </c>
      <c r="CO185" s="29" t="s">
        <v>1611</v>
      </c>
      <c r="CP185" s="29" t="s">
        <v>1611</v>
      </c>
      <c r="CQ185" s="29" t="s">
        <v>1611</v>
      </c>
      <c r="CR185" s="29" t="s">
        <v>1611</v>
      </c>
      <c r="CS185" s="29" t="s">
        <v>1611</v>
      </c>
      <c r="CT185" s="29" t="s">
        <v>1611</v>
      </c>
      <c r="CU185" s="29" t="s">
        <v>1611</v>
      </c>
      <c r="CV185" s="29" t="s">
        <v>1611</v>
      </c>
      <c r="CW185" s="29"/>
      <c r="CX185" s="29"/>
      <c r="CY185" s="151"/>
      <c r="CZ185" t="s">
        <v>3301</v>
      </c>
      <c r="DA185" t="s">
        <v>3634</v>
      </c>
      <c r="DD185" s="96" t="str">
        <f t="shared" si="2"/>
        <v/>
      </c>
      <c r="DF185" s="96" t="s">
        <v>3753</v>
      </c>
      <c r="DI185" s="215"/>
    </row>
    <row r="186" spans="1:113" ht="16.5" customHeight="1" x14ac:dyDescent="0.3">
      <c r="C186" s="105">
        <v>1663370</v>
      </c>
      <c r="D186" s="27">
        <v>180</v>
      </c>
      <c r="E186" s="28" t="s">
        <v>786</v>
      </c>
      <c r="F186" s="28">
        <v>1001313105</v>
      </c>
      <c r="G186" s="29" t="s">
        <v>2326</v>
      </c>
      <c r="H186" s="28">
        <v>1663370</v>
      </c>
      <c r="I186" s="29" t="s">
        <v>1173</v>
      </c>
      <c r="J186" s="28" t="s">
        <v>854</v>
      </c>
      <c r="K186" s="7"/>
      <c r="L186" s="104" t="s">
        <v>35</v>
      </c>
      <c r="M186" s="29" t="s">
        <v>3032</v>
      </c>
      <c r="N186" s="29" t="s">
        <v>3033</v>
      </c>
      <c r="O186" s="127">
        <v>49415</v>
      </c>
      <c r="P186" s="113" t="s">
        <v>1317</v>
      </c>
      <c r="Q186" s="28" t="s">
        <v>612</v>
      </c>
      <c r="R186" s="28" t="s">
        <v>1301</v>
      </c>
      <c r="S186" s="28" t="s">
        <v>1301</v>
      </c>
      <c r="T186" s="28" t="s">
        <v>1301</v>
      </c>
      <c r="U186" s="28" t="s">
        <v>1301</v>
      </c>
      <c r="V186" s="28" t="s">
        <v>1301</v>
      </c>
      <c r="W186" s="28" t="s">
        <v>1301</v>
      </c>
      <c r="X186" s="28" t="s">
        <v>1301</v>
      </c>
      <c r="Y186" s="28" t="s">
        <v>1301</v>
      </c>
      <c r="Z186" s="28" t="s">
        <v>1301</v>
      </c>
      <c r="AA186" s="28" t="s">
        <v>1301</v>
      </c>
      <c r="AB186" s="104" t="s">
        <v>663</v>
      </c>
      <c r="AC186" s="104" t="s">
        <v>1340</v>
      </c>
      <c r="AD186" s="9" t="s">
        <v>1269</v>
      </c>
      <c r="AE186" s="9"/>
      <c r="AF186" s="9"/>
      <c r="AG186" s="34"/>
      <c r="AH186" s="9"/>
      <c r="AI186" s="45" t="s">
        <v>461</v>
      </c>
      <c r="AJ186" s="9"/>
      <c r="AK186" s="45"/>
      <c r="AL186" s="45" t="s">
        <v>461</v>
      </c>
      <c r="AM186" s="45" t="s">
        <v>461</v>
      </c>
      <c r="AN186" s="45" t="s">
        <v>461</v>
      </c>
      <c r="AO186" s="45" t="s">
        <v>461</v>
      </c>
      <c r="AP186" s="45" t="s">
        <v>461</v>
      </c>
      <c r="AQ186" s="45" t="s">
        <v>461</v>
      </c>
      <c r="AR186" s="45" t="s">
        <v>461</v>
      </c>
      <c r="AS186" s="45"/>
      <c r="AT186" s="45"/>
      <c r="AU186" s="45"/>
      <c r="AV186" s="45"/>
      <c r="AW186" s="9"/>
      <c r="AX186" s="9"/>
      <c r="AY186" s="9"/>
      <c r="AZ186" s="9"/>
      <c r="BA186" s="10" t="s">
        <v>2497</v>
      </c>
      <c r="BB186" s="29" t="s">
        <v>2567</v>
      </c>
      <c r="BC186" s="29" t="s">
        <v>1611</v>
      </c>
      <c r="BD186" s="29" t="s">
        <v>1611</v>
      </c>
      <c r="BE186" s="29" t="s">
        <v>2514</v>
      </c>
      <c r="BF186" s="29" t="s">
        <v>2515</v>
      </c>
      <c r="BG186" s="29" t="s">
        <v>2599</v>
      </c>
      <c r="BH186" s="29" t="s">
        <v>2600</v>
      </c>
      <c r="BI186" s="29" t="s">
        <v>244</v>
      </c>
      <c r="BJ186" s="29" t="s">
        <v>2712</v>
      </c>
      <c r="BK186" s="29" t="s">
        <v>336</v>
      </c>
      <c r="BL186" s="29" t="s">
        <v>2662</v>
      </c>
      <c r="BM186" s="29" t="s">
        <v>1611</v>
      </c>
      <c r="BN186" s="29" t="s">
        <v>1611</v>
      </c>
      <c r="BO186" s="29" t="s">
        <v>1611</v>
      </c>
      <c r="BP186" s="29" t="s">
        <v>1611</v>
      </c>
      <c r="BQ186" s="29" t="s">
        <v>1611</v>
      </c>
      <c r="BR186" s="29" t="s">
        <v>1611</v>
      </c>
      <c r="BS186" s="29" t="s">
        <v>1611</v>
      </c>
      <c r="BT186" s="29" t="s">
        <v>1611</v>
      </c>
      <c r="BU186" s="29" t="s">
        <v>2810</v>
      </c>
      <c r="BV186" s="29" t="s">
        <v>2811</v>
      </c>
      <c r="BW186" s="29" t="s">
        <v>1611</v>
      </c>
      <c r="BX186" s="29" t="s">
        <v>1611</v>
      </c>
      <c r="BY186" s="29" t="s">
        <v>1611</v>
      </c>
      <c r="BZ186" s="29" t="s">
        <v>1611</v>
      </c>
      <c r="CA186" s="29" t="s">
        <v>1611</v>
      </c>
      <c r="CB186" s="29" t="s">
        <v>1611</v>
      </c>
      <c r="CC186" s="29" t="s">
        <v>1611</v>
      </c>
      <c r="CD186" s="29" t="s">
        <v>1611</v>
      </c>
      <c r="CE186" s="29" t="s">
        <v>1611</v>
      </c>
      <c r="CF186" s="29" t="s">
        <v>1611</v>
      </c>
      <c r="CG186" s="29" t="s">
        <v>1718</v>
      </c>
      <c r="CH186" s="29" t="s">
        <v>1824</v>
      </c>
      <c r="CI186" s="29" t="s">
        <v>1611</v>
      </c>
      <c r="CJ186" s="29" t="s">
        <v>1611</v>
      </c>
      <c r="CK186" s="29" t="s">
        <v>3034</v>
      </c>
      <c r="CL186" s="29" t="s">
        <v>3035</v>
      </c>
      <c r="CM186" s="29" t="s">
        <v>3036</v>
      </c>
      <c r="CN186" s="29" t="s">
        <v>3037</v>
      </c>
      <c r="CO186" s="29" t="s">
        <v>1611</v>
      </c>
      <c r="CP186" s="29" t="s">
        <v>1611</v>
      </c>
      <c r="CQ186" s="29" t="s">
        <v>1611</v>
      </c>
      <c r="CR186" s="29" t="s">
        <v>1611</v>
      </c>
      <c r="CS186" s="29" t="s">
        <v>1611</v>
      </c>
      <c r="CT186" s="29" t="s">
        <v>1611</v>
      </c>
      <c r="CU186" s="29" t="s">
        <v>1611</v>
      </c>
      <c r="CV186" s="29" t="s">
        <v>1611</v>
      </c>
      <c r="CW186" s="29"/>
      <c r="CX186" s="29"/>
      <c r="CY186" s="151"/>
      <c r="CZ186" t="s">
        <v>3302</v>
      </c>
      <c r="DA186" t="s">
        <v>3634</v>
      </c>
      <c r="DD186" s="96" t="str">
        <f t="shared" si="2"/>
        <v/>
      </c>
      <c r="DF186" s="96" t="s">
        <v>3753</v>
      </c>
      <c r="DI186" s="215"/>
    </row>
    <row r="187" spans="1:113" ht="16.5" customHeight="1" x14ac:dyDescent="0.3">
      <c r="C187" s="105">
        <v>1668689</v>
      </c>
      <c r="D187" s="27">
        <v>181</v>
      </c>
      <c r="E187" s="28" t="s">
        <v>808</v>
      </c>
      <c r="F187" s="28">
        <v>1000325770</v>
      </c>
      <c r="G187" s="29" t="s">
        <v>1175</v>
      </c>
      <c r="H187" s="28">
        <v>1668689</v>
      </c>
      <c r="I187" s="29" t="s">
        <v>1176</v>
      </c>
      <c r="J187" s="28" t="s">
        <v>854</v>
      </c>
      <c r="K187" s="7"/>
      <c r="L187" s="104" t="s">
        <v>761</v>
      </c>
      <c r="M187" s="29"/>
      <c r="N187" s="29"/>
      <c r="O187" s="127"/>
      <c r="P187" s="28"/>
      <c r="Q187" s="28"/>
      <c r="R187" s="28"/>
      <c r="S187" s="28"/>
      <c r="T187" s="28"/>
      <c r="U187" s="28"/>
      <c r="V187" s="28"/>
      <c r="W187" s="28"/>
      <c r="X187" s="28"/>
      <c r="Y187" s="28"/>
      <c r="Z187" s="28"/>
      <c r="AA187" s="28"/>
      <c r="AB187" s="104"/>
      <c r="AC187" s="104"/>
      <c r="AD187" s="9" t="s">
        <v>1269</v>
      </c>
      <c r="AE187" s="39">
        <v>46042</v>
      </c>
      <c r="AF187" s="9" t="s">
        <v>3510</v>
      </c>
      <c r="AG187" s="34" t="s">
        <v>3655</v>
      </c>
      <c r="AH187" s="9"/>
      <c r="AI187" s="9"/>
      <c r="AJ187" s="9"/>
      <c r="AK187" s="45"/>
      <c r="AL187" s="45" t="s">
        <v>2278</v>
      </c>
      <c r="AM187" s="45"/>
      <c r="AN187" s="45"/>
      <c r="AO187" s="45"/>
      <c r="AP187" s="45"/>
      <c r="AQ187" s="45"/>
      <c r="AR187" s="45"/>
      <c r="AS187" s="45"/>
      <c r="AT187" s="45"/>
      <c r="AU187" s="45"/>
      <c r="AV187" s="45"/>
      <c r="AW187" s="9"/>
      <c r="AX187" s="9"/>
      <c r="AY187" s="9"/>
      <c r="AZ187" s="9"/>
      <c r="BA187" s="10" t="s">
        <v>158</v>
      </c>
      <c r="BB187" s="29" t="s">
        <v>2538</v>
      </c>
      <c r="BC187" s="29" t="s">
        <v>1611</v>
      </c>
      <c r="BD187" s="29" t="s">
        <v>1611</v>
      </c>
      <c r="BE187" s="29" t="s">
        <v>2502</v>
      </c>
      <c r="BF187" s="29" t="s">
        <v>2503</v>
      </c>
      <c r="BG187" s="29" t="s">
        <v>40</v>
      </c>
      <c r="BH187" s="29" t="s">
        <v>2572</v>
      </c>
      <c r="BI187" s="29" t="s">
        <v>282</v>
      </c>
      <c r="BJ187" s="29" t="s">
        <v>2787</v>
      </c>
      <c r="BK187" s="29" t="s">
        <v>93</v>
      </c>
      <c r="BL187" s="29" t="s">
        <v>2629</v>
      </c>
      <c r="BM187" s="29" t="s">
        <v>1611</v>
      </c>
      <c r="BN187" s="29" t="s">
        <v>1611</v>
      </c>
      <c r="BO187" s="29" t="s">
        <v>1611</v>
      </c>
      <c r="BP187" s="29" t="s">
        <v>1611</v>
      </c>
      <c r="BQ187" s="29" t="s">
        <v>1611</v>
      </c>
      <c r="BR187" s="29" t="s">
        <v>1611</v>
      </c>
      <c r="BS187" s="29" t="s">
        <v>1611</v>
      </c>
      <c r="BT187" s="29" t="s">
        <v>1611</v>
      </c>
      <c r="BU187" s="29" t="s">
        <v>2394</v>
      </c>
      <c r="BV187" s="29" t="s">
        <v>2442</v>
      </c>
      <c r="BW187" s="29" t="s">
        <v>1611</v>
      </c>
      <c r="BX187" s="29" t="s">
        <v>1611</v>
      </c>
      <c r="BY187" s="29" t="s">
        <v>1611</v>
      </c>
      <c r="BZ187" s="29" t="s">
        <v>1611</v>
      </c>
      <c r="CA187" s="29" t="s">
        <v>1611</v>
      </c>
      <c r="CB187" s="29" t="s">
        <v>1611</v>
      </c>
      <c r="CC187" s="29" t="s">
        <v>1611</v>
      </c>
      <c r="CD187" s="29" t="s">
        <v>1611</v>
      </c>
      <c r="CE187" s="29" t="s">
        <v>1611</v>
      </c>
      <c r="CF187" s="29" t="s">
        <v>1611</v>
      </c>
      <c r="CG187" s="29" t="s">
        <v>1779</v>
      </c>
      <c r="CH187" s="29" t="s">
        <v>1897</v>
      </c>
      <c r="CI187" s="29" t="s">
        <v>1611</v>
      </c>
      <c r="CJ187" s="29" t="s">
        <v>1611</v>
      </c>
      <c r="CK187" s="29" t="s">
        <v>1611</v>
      </c>
      <c r="CL187" s="29" t="s">
        <v>1611</v>
      </c>
      <c r="CM187" s="29" t="s">
        <v>1611</v>
      </c>
      <c r="CN187" s="29" t="s">
        <v>1611</v>
      </c>
      <c r="CO187" s="29" t="s">
        <v>1611</v>
      </c>
      <c r="CP187" s="29" t="s">
        <v>1611</v>
      </c>
      <c r="CQ187" s="29" t="s">
        <v>1611</v>
      </c>
      <c r="CR187" s="29" t="s">
        <v>1611</v>
      </c>
      <c r="CS187" s="29" t="s">
        <v>1611</v>
      </c>
      <c r="CT187" s="29" t="s">
        <v>1611</v>
      </c>
      <c r="CU187" s="29" t="s">
        <v>1611</v>
      </c>
      <c r="CV187" s="29" t="s">
        <v>1611</v>
      </c>
      <c r="CW187" s="29"/>
      <c r="CX187" s="29"/>
      <c r="CY187" s="151"/>
      <c r="CZ187" t="s">
        <v>3727</v>
      </c>
      <c r="DA187" t="s">
        <v>3587</v>
      </c>
      <c r="DD187" s="96" t="str">
        <f t="shared" si="2"/>
        <v>V</v>
      </c>
      <c r="DI187" s="215"/>
    </row>
    <row r="188" spans="1:113" ht="16.5" customHeight="1" x14ac:dyDescent="0.3">
      <c r="C188" s="105">
        <v>1683461</v>
      </c>
      <c r="D188" s="27">
        <v>182</v>
      </c>
      <c r="E188" s="28" t="s">
        <v>792</v>
      </c>
      <c r="F188" s="28">
        <v>1000670005</v>
      </c>
      <c r="G188" s="29" t="s">
        <v>1178</v>
      </c>
      <c r="H188" s="28">
        <v>1683461</v>
      </c>
      <c r="I188" s="29" t="s">
        <v>1179</v>
      </c>
      <c r="J188" s="28" t="s">
        <v>854</v>
      </c>
      <c r="K188" s="7"/>
      <c r="L188" s="104" t="s">
        <v>671</v>
      </c>
      <c r="M188" s="29"/>
      <c r="N188" s="29"/>
      <c r="O188" s="127">
        <v>37044</v>
      </c>
      <c r="P188" s="28" t="s">
        <v>3514</v>
      </c>
      <c r="Q188" s="28" t="s">
        <v>612</v>
      </c>
      <c r="R188" s="28" t="s">
        <v>1301</v>
      </c>
      <c r="S188" s="28" t="s">
        <v>1301</v>
      </c>
      <c r="T188" s="28" t="s">
        <v>1329</v>
      </c>
      <c r="U188" s="28" t="s">
        <v>612</v>
      </c>
      <c r="V188" s="28" t="s">
        <v>1301</v>
      </c>
      <c r="W188" s="28" t="s">
        <v>1301</v>
      </c>
      <c r="X188" s="28" t="s">
        <v>1301</v>
      </c>
      <c r="Y188" s="28" t="s">
        <v>1301</v>
      </c>
      <c r="Z188" s="28" t="s">
        <v>1301</v>
      </c>
      <c r="AA188" s="28" t="s">
        <v>1301</v>
      </c>
      <c r="AB188" s="104" t="s">
        <v>663</v>
      </c>
      <c r="AC188" s="104" t="s">
        <v>1340</v>
      </c>
      <c r="AD188" s="9" t="s">
        <v>1269</v>
      </c>
      <c r="AE188" s="9"/>
      <c r="AF188" s="9"/>
      <c r="AG188" s="34"/>
      <c r="AH188" s="9"/>
      <c r="AI188" s="9"/>
      <c r="AJ188" s="9"/>
      <c r="AK188" s="45"/>
      <c r="AL188" s="45" t="s">
        <v>3059</v>
      </c>
      <c r="AM188" s="45" t="s">
        <v>46</v>
      </c>
      <c r="AN188" s="45" t="s">
        <v>46</v>
      </c>
      <c r="AO188" s="45" t="s">
        <v>46</v>
      </c>
      <c r="AP188" s="45" t="s">
        <v>46</v>
      </c>
      <c r="AQ188" s="45" t="s">
        <v>46</v>
      </c>
      <c r="AR188" s="45" t="s">
        <v>46</v>
      </c>
      <c r="AS188" s="45"/>
      <c r="AT188" s="45"/>
      <c r="AU188" s="45"/>
      <c r="AV188" s="45"/>
      <c r="AW188" s="9"/>
      <c r="AX188" s="9"/>
      <c r="AY188" s="9"/>
      <c r="AZ188" s="9"/>
      <c r="BA188" s="10" t="s">
        <v>2497</v>
      </c>
      <c r="BB188" s="29" t="s">
        <v>2567</v>
      </c>
      <c r="BC188" s="29" t="s">
        <v>1611</v>
      </c>
      <c r="BD188" s="29" t="s">
        <v>1611</v>
      </c>
      <c r="BE188" s="29" t="s">
        <v>2502</v>
      </c>
      <c r="BF188" s="29" t="s">
        <v>2503</v>
      </c>
      <c r="BG188" s="29" t="s">
        <v>2569</v>
      </c>
      <c r="BH188" s="29" t="s">
        <v>2570</v>
      </c>
      <c r="BI188" s="29" t="s">
        <v>2723</v>
      </c>
      <c r="BJ188" s="29" t="s">
        <v>2724</v>
      </c>
      <c r="BK188" s="29" t="s">
        <v>408</v>
      </c>
      <c r="BL188" s="29" t="s">
        <v>2601</v>
      </c>
      <c r="BM188" s="29" t="s">
        <v>1611</v>
      </c>
      <c r="BN188" s="29" t="s">
        <v>1611</v>
      </c>
      <c r="BO188" s="29" t="s">
        <v>1611</v>
      </c>
      <c r="BP188" s="29" t="s">
        <v>1611</v>
      </c>
      <c r="BQ188" s="29" t="s">
        <v>1611</v>
      </c>
      <c r="BR188" s="29" t="s">
        <v>1611</v>
      </c>
      <c r="BS188" s="29" t="s">
        <v>1611</v>
      </c>
      <c r="BT188" s="29" t="s">
        <v>1611</v>
      </c>
      <c r="BU188" s="29" t="s">
        <v>2381</v>
      </c>
      <c r="BV188" s="29" t="s">
        <v>2425</v>
      </c>
      <c r="BW188" s="29" t="s">
        <v>1611</v>
      </c>
      <c r="BX188" s="29" t="s">
        <v>1611</v>
      </c>
      <c r="BY188" s="29" t="s">
        <v>1611</v>
      </c>
      <c r="BZ188" s="29" t="s">
        <v>1611</v>
      </c>
      <c r="CA188" s="29" t="s">
        <v>1611</v>
      </c>
      <c r="CB188" s="29" t="s">
        <v>1611</v>
      </c>
      <c r="CC188" s="29" t="s">
        <v>1611</v>
      </c>
      <c r="CD188" s="29" t="s">
        <v>1611</v>
      </c>
      <c r="CE188" s="29" t="s">
        <v>1611</v>
      </c>
      <c r="CF188" s="29" t="s">
        <v>1611</v>
      </c>
      <c r="CG188" s="29" t="s">
        <v>3476</v>
      </c>
      <c r="CH188" s="29" t="s">
        <v>1882</v>
      </c>
      <c r="CI188" s="29" t="s">
        <v>1611</v>
      </c>
      <c r="CJ188" s="29" t="s">
        <v>1611</v>
      </c>
      <c r="CK188" s="29" t="s">
        <v>3519</v>
      </c>
      <c r="CL188" s="29" t="s">
        <v>3520</v>
      </c>
      <c r="CM188" s="29" t="s">
        <v>1611</v>
      </c>
      <c r="CN188" s="29" t="s">
        <v>1611</v>
      </c>
      <c r="CO188" s="29" t="s">
        <v>1611</v>
      </c>
      <c r="CP188" s="29" t="s">
        <v>1611</v>
      </c>
      <c r="CQ188" s="29" t="s">
        <v>1611</v>
      </c>
      <c r="CR188" s="29" t="s">
        <v>1611</v>
      </c>
      <c r="CS188" s="29" t="s">
        <v>1611</v>
      </c>
      <c r="CT188" s="29" t="s">
        <v>1611</v>
      </c>
      <c r="CU188" s="29" t="s">
        <v>1611</v>
      </c>
      <c r="CV188" s="29" t="s">
        <v>1611</v>
      </c>
      <c r="CW188" s="29"/>
      <c r="CX188" s="29"/>
      <c r="CY188" s="151"/>
      <c r="CZ188" t="s">
        <v>3303</v>
      </c>
      <c r="DA188" t="s">
        <v>3634</v>
      </c>
      <c r="DD188" s="96" t="str">
        <f t="shared" si="2"/>
        <v/>
      </c>
      <c r="DF188" s="96" t="s">
        <v>3753</v>
      </c>
      <c r="DI188" s="215"/>
    </row>
    <row r="189" spans="1:113" ht="16.5" customHeight="1" x14ac:dyDescent="0.3">
      <c r="C189" s="105">
        <v>1683905</v>
      </c>
      <c r="D189" s="27">
        <v>183</v>
      </c>
      <c r="E189" s="28" t="s">
        <v>822</v>
      </c>
      <c r="F189" s="28">
        <v>1000326189</v>
      </c>
      <c r="G189" s="29" t="s">
        <v>1180</v>
      </c>
      <c r="H189" s="28">
        <v>1683905</v>
      </c>
      <c r="I189" s="29" t="s">
        <v>1181</v>
      </c>
      <c r="J189" s="28" t="s">
        <v>429</v>
      </c>
      <c r="K189" s="7"/>
      <c r="L189" s="104" t="s">
        <v>762</v>
      </c>
      <c r="M189" s="29"/>
      <c r="N189" s="29"/>
      <c r="O189" s="127"/>
      <c r="P189" s="28"/>
      <c r="Q189" s="28"/>
      <c r="R189" s="28"/>
      <c r="S189" s="28"/>
      <c r="T189" s="28"/>
      <c r="U189" s="28"/>
      <c r="V189" s="28"/>
      <c r="W189" s="28"/>
      <c r="X189" s="28"/>
      <c r="Y189" s="28"/>
      <c r="Z189" s="28"/>
      <c r="AA189" s="28"/>
      <c r="AB189" s="104"/>
      <c r="AC189" s="104"/>
      <c r="AD189" s="9" t="s">
        <v>1269</v>
      </c>
      <c r="AE189" s="39">
        <v>46058</v>
      </c>
      <c r="AF189" s="9" t="s">
        <v>1276</v>
      </c>
      <c r="AG189" s="34" t="s">
        <v>3705</v>
      </c>
      <c r="AH189" s="9"/>
      <c r="AI189" s="9"/>
      <c r="AJ189" s="9"/>
      <c r="AK189" s="45"/>
      <c r="AL189" s="45"/>
      <c r="AM189" s="45"/>
      <c r="AN189" s="45"/>
      <c r="AO189" s="45"/>
      <c r="AP189" s="45"/>
      <c r="AQ189" s="45"/>
      <c r="AR189" s="45"/>
      <c r="AS189" s="45"/>
      <c r="AT189" s="45"/>
      <c r="AU189" s="45"/>
      <c r="AV189" s="45"/>
      <c r="AW189" s="9"/>
      <c r="AX189" s="9"/>
      <c r="AY189" s="9"/>
      <c r="AZ189" s="9"/>
      <c r="BA189" s="10" t="s">
        <v>2496</v>
      </c>
      <c r="BB189" s="29" t="s">
        <v>2550</v>
      </c>
      <c r="BC189" s="29" t="s">
        <v>1611</v>
      </c>
      <c r="BD189" s="29" t="s">
        <v>1611</v>
      </c>
      <c r="BE189" s="29" t="s">
        <v>1611</v>
      </c>
      <c r="BF189" s="29" t="s">
        <v>1611</v>
      </c>
      <c r="BG189" s="29" t="s">
        <v>2721</v>
      </c>
      <c r="BH189" s="29" t="s">
        <v>2722</v>
      </c>
      <c r="BI189" s="29" t="s">
        <v>283</v>
      </c>
      <c r="BJ189" s="29" t="s">
        <v>2788</v>
      </c>
      <c r="BK189" s="29" t="s">
        <v>140</v>
      </c>
      <c r="BL189" s="29" t="s">
        <v>2674</v>
      </c>
      <c r="BM189" s="29" t="s">
        <v>1611</v>
      </c>
      <c r="BN189" s="29" t="s">
        <v>1611</v>
      </c>
      <c r="BO189" s="29" t="s">
        <v>1611</v>
      </c>
      <c r="BP189" s="29" t="s">
        <v>1611</v>
      </c>
      <c r="BQ189" s="29" t="s">
        <v>1611</v>
      </c>
      <c r="BR189" s="29" t="s">
        <v>1611</v>
      </c>
      <c r="BS189" s="29" t="s">
        <v>1611</v>
      </c>
      <c r="BT189" s="29" t="s">
        <v>1611</v>
      </c>
      <c r="BU189" s="29" t="s">
        <v>141</v>
      </c>
      <c r="BV189" s="29" t="s">
        <v>2675</v>
      </c>
      <c r="BW189" s="29" t="s">
        <v>1611</v>
      </c>
      <c r="BX189" s="29" t="s">
        <v>1611</v>
      </c>
      <c r="BY189" s="29" t="s">
        <v>1611</v>
      </c>
      <c r="BZ189" s="29" t="s">
        <v>1611</v>
      </c>
      <c r="CA189" s="29" t="s">
        <v>1611</v>
      </c>
      <c r="CB189" s="29" t="s">
        <v>1611</v>
      </c>
      <c r="CC189" s="29" t="s">
        <v>1611</v>
      </c>
      <c r="CD189" s="29" t="s">
        <v>1611</v>
      </c>
      <c r="CE189" s="29" t="s">
        <v>1611</v>
      </c>
      <c r="CF189" s="29" t="s">
        <v>1611</v>
      </c>
      <c r="CG189" s="29" t="s">
        <v>1780</v>
      </c>
      <c r="CH189" s="29" t="s">
        <v>1898</v>
      </c>
      <c r="CI189" s="29" t="s">
        <v>1611</v>
      </c>
      <c r="CJ189" s="29" t="s">
        <v>1611</v>
      </c>
      <c r="CK189" s="29" t="s">
        <v>1611</v>
      </c>
      <c r="CL189" s="29" t="s">
        <v>1611</v>
      </c>
      <c r="CM189" s="29" t="s">
        <v>1611</v>
      </c>
      <c r="CN189" s="29" t="s">
        <v>1611</v>
      </c>
      <c r="CO189" s="29" t="s">
        <v>1611</v>
      </c>
      <c r="CP189" s="29" t="s">
        <v>1611</v>
      </c>
      <c r="CQ189" s="29" t="s">
        <v>1611</v>
      </c>
      <c r="CR189" s="29" t="s">
        <v>1611</v>
      </c>
      <c r="CS189" s="29" t="s">
        <v>1611</v>
      </c>
      <c r="CT189" s="29" t="s">
        <v>1611</v>
      </c>
      <c r="CU189" s="29" t="s">
        <v>1611</v>
      </c>
      <c r="CV189" s="29" t="s">
        <v>1611</v>
      </c>
      <c r="CW189" s="29"/>
      <c r="CX189" s="29"/>
      <c r="CY189" s="151"/>
      <c r="CZ189" t="e">
        <v>#N/A</v>
      </c>
      <c r="DA189" t="e">
        <v>#N/A</v>
      </c>
      <c r="DC189" s="96" t="s">
        <v>3700</v>
      </c>
      <c r="DD189" s="96" t="str">
        <f t="shared" si="2"/>
        <v>V</v>
      </c>
      <c r="DI189" s="215"/>
    </row>
    <row r="190" spans="1:113" ht="16.5" customHeight="1" x14ac:dyDescent="0.3">
      <c r="A190" t="s">
        <v>3798</v>
      </c>
      <c r="B190" t="s">
        <v>3778</v>
      </c>
      <c r="C190" s="105">
        <v>1684341</v>
      </c>
      <c r="D190" s="27">
        <v>184</v>
      </c>
      <c r="E190" s="28" t="s">
        <v>792</v>
      </c>
      <c r="F190" s="28">
        <v>1001231251</v>
      </c>
      <c r="G190" s="29" t="s">
        <v>1183</v>
      </c>
      <c r="H190" s="28">
        <v>1684341</v>
      </c>
      <c r="I190" s="29" t="s">
        <v>1184</v>
      </c>
      <c r="J190" s="28" t="s">
        <v>854</v>
      </c>
      <c r="K190" s="7"/>
      <c r="L190" s="104" t="s">
        <v>722</v>
      </c>
      <c r="M190" s="29" t="s">
        <v>3657</v>
      </c>
      <c r="N190" s="29" t="s">
        <v>3658</v>
      </c>
      <c r="O190" s="127">
        <v>134976</v>
      </c>
      <c r="P190" s="113" t="s">
        <v>1346</v>
      </c>
      <c r="Q190" s="28" t="s">
        <v>612</v>
      </c>
      <c r="R190" s="28" t="s">
        <v>1301</v>
      </c>
      <c r="S190" s="28" t="s">
        <v>1301</v>
      </c>
      <c r="T190" s="28" t="s">
        <v>1329</v>
      </c>
      <c r="U190" s="28" t="s">
        <v>612</v>
      </c>
      <c r="V190" s="28" t="s">
        <v>1301</v>
      </c>
      <c r="W190" s="28" t="s">
        <v>1301</v>
      </c>
      <c r="X190" s="28" t="s">
        <v>1301</v>
      </c>
      <c r="Y190" s="28" t="s">
        <v>1301</v>
      </c>
      <c r="Z190" s="28" t="s">
        <v>1301</v>
      </c>
      <c r="AA190" s="28" t="s">
        <v>1301</v>
      </c>
      <c r="AB190" s="104" t="s">
        <v>663</v>
      </c>
      <c r="AC190" s="104" t="s">
        <v>1340</v>
      </c>
      <c r="AD190" s="9" t="s">
        <v>1269</v>
      </c>
      <c r="AE190" s="9"/>
      <c r="AF190" s="9"/>
      <c r="AG190" s="34"/>
      <c r="AH190" s="9"/>
      <c r="AI190" s="9"/>
      <c r="AJ190" s="45" t="s">
        <v>46</v>
      </c>
      <c r="AK190" s="45"/>
      <c r="AL190" s="45" t="s">
        <v>3100</v>
      </c>
      <c r="AM190" s="45" t="s">
        <v>46</v>
      </c>
      <c r="AN190" s="45" t="s">
        <v>46</v>
      </c>
      <c r="AO190" s="45" t="s">
        <v>46</v>
      </c>
      <c r="AP190" s="45" t="s">
        <v>46</v>
      </c>
      <c r="AQ190" s="45" t="s">
        <v>46</v>
      </c>
      <c r="AR190" s="45" t="s">
        <v>46</v>
      </c>
      <c r="AS190" s="45" t="s">
        <v>46</v>
      </c>
      <c r="AT190" s="45"/>
      <c r="AU190" s="45"/>
      <c r="AV190" s="45"/>
      <c r="AW190" s="45" t="s">
        <v>46</v>
      </c>
      <c r="AX190" s="45" t="s">
        <v>46</v>
      </c>
      <c r="AY190" s="45" t="s">
        <v>46</v>
      </c>
      <c r="AZ190" s="45" t="s">
        <v>46</v>
      </c>
      <c r="BA190" s="10" t="s">
        <v>2497</v>
      </c>
      <c r="BB190" s="29" t="s">
        <v>2567</v>
      </c>
      <c r="BC190" s="29" t="s">
        <v>1611</v>
      </c>
      <c r="BD190" s="29" t="s">
        <v>1611</v>
      </c>
      <c r="BE190" s="29" t="s">
        <v>1611</v>
      </c>
      <c r="BF190" s="29" t="s">
        <v>1611</v>
      </c>
      <c r="BG190" s="29" t="s">
        <v>2539</v>
      </c>
      <c r="BH190" s="29" t="s">
        <v>2540</v>
      </c>
      <c r="BI190" s="29" t="s">
        <v>2707</v>
      </c>
      <c r="BJ190" s="29" t="s">
        <v>2708</v>
      </c>
      <c r="BK190" s="29" t="s">
        <v>408</v>
      </c>
      <c r="BL190" s="29" t="s">
        <v>2601</v>
      </c>
      <c r="BM190" s="29" t="s">
        <v>1611</v>
      </c>
      <c r="BN190" s="29" t="s">
        <v>1611</v>
      </c>
      <c r="BO190" s="29" t="s">
        <v>1611</v>
      </c>
      <c r="BP190" s="29" t="s">
        <v>1611</v>
      </c>
      <c r="BQ190" s="29" t="s">
        <v>1611</v>
      </c>
      <c r="BR190" s="29" t="s">
        <v>1611</v>
      </c>
      <c r="BS190" s="29" t="s">
        <v>1611</v>
      </c>
      <c r="BT190" s="29" t="s">
        <v>1611</v>
      </c>
      <c r="BU190" s="29" t="s">
        <v>2387</v>
      </c>
      <c r="BV190" s="29" t="s">
        <v>2434</v>
      </c>
      <c r="BW190" s="29" t="s">
        <v>1611</v>
      </c>
      <c r="BX190" s="29" t="s">
        <v>1611</v>
      </c>
      <c r="BY190" s="29" t="s">
        <v>1611</v>
      </c>
      <c r="BZ190" s="29" t="s">
        <v>1611</v>
      </c>
      <c r="CA190" s="29" t="s">
        <v>1611</v>
      </c>
      <c r="CB190" s="29" t="s">
        <v>1611</v>
      </c>
      <c r="CC190" s="29" t="s">
        <v>1611</v>
      </c>
      <c r="CD190" s="29" t="s">
        <v>1611</v>
      </c>
      <c r="CE190" s="29" t="s">
        <v>1611</v>
      </c>
      <c r="CF190" s="29" t="s">
        <v>1611</v>
      </c>
      <c r="CG190" s="29" t="s">
        <v>1707</v>
      </c>
      <c r="CH190" s="29" t="s">
        <v>1807</v>
      </c>
      <c r="CI190" s="29" t="s">
        <v>1611</v>
      </c>
      <c r="CJ190" s="29" t="s">
        <v>1611</v>
      </c>
      <c r="CK190" s="29" t="s">
        <v>3659</v>
      </c>
      <c r="CL190" s="29" t="s">
        <v>3660</v>
      </c>
      <c r="CM190" s="29" t="s">
        <v>1611</v>
      </c>
      <c r="CN190" s="29" t="s">
        <v>1611</v>
      </c>
      <c r="CO190" s="29" t="s">
        <v>1611</v>
      </c>
      <c r="CP190" s="29" t="s">
        <v>1611</v>
      </c>
      <c r="CQ190" s="29" t="s">
        <v>1611</v>
      </c>
      <c r="CR190" s="29" t="s">
        <v>1611</v>
      </c>
      <c r="CS190" s="29" t="s">
        <v>1611</v>
      </c>
      <c r="CT190" s="29" t="s">
        <v>1611</v>
      </c>
      <c r="CU190" s="29" t="s">
        <v>1611</v>
      </c>
      <c r="CV190" s="29" t="s">
        <v>1611</v>
      </c>
      <c r="CW190" s="29"/>
      <c r="CX190" s="29"/>
      <c r="CY190" s="151"/>
      <c r="CZ190" t="s">
        <v>3620</v>
      </c>
      <c r="DA190" t="s">
        <v>3634</v>
      </c>
      <c r="DD190" s="96" t="str">
        <f t="shared" si="2"/>
        <v/>
      </c>
      <c r="DF190" s="96" t="s">
        <v>3753</v>
      </c>
      <c r="DI190" s="215"/>
    </row>
    <row r="191" spans="1:113" ht="16.5" customHeight="1" x14ac:dyDescent="0.3">
      <c r="A191" t="s">
        <v>3798</v>
      </c>
      <c r="B191" t="s">
        <v>3778</v>
      </c>
      <c r="C191" s="105">
        <v>1688359</v>
      </c>
      <c r="D191" s="27">
        <v>185</v>
      </c>
      <c r="E191" s="28" t="s">
        <v>829</v>
      </c>
      <c r="F191" s="28">
        <v>1000502103</v>
      </c>
      <c r="G191" s="29" t="s">
        <v>1185</v>
      </c>
      <c r="H191" s="28">
        <v>1688359</v>
      </c>
      <c r="I191" s="29" t="s">
        <v>1186</v>
      </c>
      <c r="J191" s="28" t="s">
        <v>429</v>
      </c>
      <c r="K191" s="7"/>
      <c r="L191" s="104" t="s">
        <v>3859</v>
      </c>
      <c r="M191" s="29" t="s">
        <v>3860</v>
      </c>
      <c r="N191" s="29" t="s">
        <v>3799</v>
      </c>
      <c r="O191" s="127">
        <v>195955</v>
      </c>
      <c r="P191" s="28" t="s">
        <v>1301</v>
      </c>
      <c r="Q191" s="28" t="s">
        <v>1301</v>
      </c>
      <c r="R191" s="28" t="s">
        <v>1329</v>
      </c>
      <c r="S191" s="28" t="s">
        <v>612</v>
      </c>
      <c r="T191" s="28" t="s">
        <v>1301</v>
      </c>
      <c r="U191" s="28" t="s">
        <v>1301</v>
      </c>
      <c r="V191" s="28" t="s">
        <v>1301</v>
      </c>
      <c r="W191" s="28" t="s">
        <v>1301</v>
      </c>
      <c r="X191" s="28" t="s">
        <v>1301</v>
      </c>
      <c r="Y191" s="28" t="s">
        <v>1301</v>
      </c>
      <c r="Z191" s="28" t="s">
        <v>1301</v>
      </c>
      <c r="AA191" s="28" t="s">
        <v>1301</v>
      </c>
      <c r="AB191" s="104" t="s">
        <v>1949</v>
      </c>
      <c r="AC191" s="104" t="s">
        <v>1950</v>
      </c>
      <c r="AD191" s="9" t="s">
        <v>1269</v>
      </c>
      <c r="AE191" s="9"/>
      <c r="AF191" s="9"/>
      <c r="AG191" s="34"/>
      <c r="AH191" s="9"/>
      <c r="AI191" s="9"/>
      <c r="AJ191" s="9"/>
      <c r="AK191" s="45"/>
      <c r="AL191" s="45" t="s">
        <v>1928</v>
      </c>
      <c r="AM191" s="45"/>
      <c r="AN191" s="45"/>
      <c r="AO191" s="45"/>
      <c r="AP191" s="45"/>
      <c r="AQ191" s="45"/>
      <c r="AR191" s="45"/>
      <c r="AS191" s="45"/>
      <c r="AT191" s="45"/>
      <c r="AU191" s="45"/>
      <c r="AV191" s="45"/>
      <c r="AW191" s="9" t="s">
        <v>3800</v>
      </c>
      <c r="AX191" s="9" t="s">
        <v>3800</v>
      </c>
      <c r="AY191" s="9" t="s">
        <v>3800</v>
      </c>
      <c r="AZ191" s="9" t="s">
        <v>461</v>
      </c>
      <c r="BA191" s="10" t="s">
        <v>291</v>
      </c>
      <c r="BB191" s="29" t="s">
        <v>2704</v>
      </c>
      <c r="BC191" s="29" t="s">
        <v>1611</v>
      </c>
      <c r="BD191" s="29" t="s">
        <v>1611</v>
      </c>
      <c r="BE191" s="29" t="s">
        <v>1611</v>
      </c>
      <c r="BF191" s="29" t="s">
        <v>1611</v>
      </c>
      <c r="BG191" s="29" t="s">
        <v>2660</v>
      </c>
      <c r="BH191" s="29" t="s">
        <v>2661</v>
      </c>
      <c r="BI191" s="29" t="s">
        <v>2666</v>
      </c>
      <c r="BJ191" s="29" t="s">
        <v>2667</v>
      </c>
      <c r="BK191" s="29" t="s">
        <v>2964</v>
      </c>
      <c r="BL191" s="29" t="s">
        <v>2965</v>
      </c>
      <c r="BM191" s="29" t="s">
        <v>1611</v>
      </c>
      <c r="BN191" s="29" t="s">
        <v>1611</v>
      </c>
      <c r="BO191" s="29" t="s">
        <v>1611</v>
      </c>
      <c r="BP191" s="29" t="s">
        <v>1611</v>
      </c>
      <c r="BQ191" s="29" t="s">
        <v>1611</v>
      </c>
      <c r="BR191" s="29" t="s">
        <v>1611</v>
      </c>
      <c r="BS191" s="29" t="s">
        <v>1611</v>
      </c>
      <c r="BT191" s="29" t="s">
        <v>1611</v>
      </c>
      <c r="BU191" s="29" t="s">
        <v>312</v>
      </c>
      <c r="BV191" s="29" t="s">
        <v>2836</v>
      </c>
      <c r="BW191" s="29" t="s">
        <v>1611</v>
      </c>
      <c r="BX191" s="29" t="s">
        <v>1611</v>
      </c>
      <c r="BY191" s="29" t="s">
        <v>1611</v>
      </c>
      <c r="BZ191" s="29" t="s">
        <v>1611</v>
      </c>
      <c r="CA191" s="29" t="s">
        <v>1611</v>
      </c>
      <c r="CB191" s="29" t="s">
        <v>1611</v>
      </c>
      <c r="CC191" s="29" t="s">
        <v>1611</v>
      </c>
      <c r="CD191" s="29" t="s">
        <v>1611</v>
      </c>
      <c r="CE191" s="29" t="s">
        <v>1611</v>
      </c>
      <c r="CF191" s="29" t="s">
        <v>1611</v>
      </c>
      <c r="CG191" s="29" t="s">
        <v>1781</v>
      </c>
      <c r="CH191" s="29" t="s">
        <v>3749</v>
      </c>
      <c r="CI191" s="29" t="s">
        <v>1611</v>
      </c>
      <c r="CJ191" s="29" t="s">
        <v>1611</v>
      </c>
      <c r="CK191" s="29" t="s">
        <v>3861</v>
      </c>
      <c r="CL191" s="29" t="s">
        <v>3862</v>
      </c>
      <c r="CM191" s="29" t="s">
        <v>1611</v>
      </c>
      <c r="CN191" s="29" t="s">
        <v>1611</v>
      </c>
      <c r="CO191" s="29" t="s">
        <v>1611</v>
      </c>
      <c r="CP191" s="29" t="s">
        <v>1611</v>
      </c>
      <c r="CQ191" s="29" t="s">
        <v>1611</v>
      </c>
      <c r="CR191" s="29" t="s">
        <v>1611</v>
      </c>
      <c r="CS191" s="29" t="s">
        <v>1611</v>
      </c>
      <c r="CT191" s="29" t="s">
        <v>1611</v>
      </c>
      <c r="CU191" s="29" t="s">
        <v>1611</v>
      </c>
      <c r="CV191" s="29" t="s">
        <v>1611</v>
      </c>
      <c r="CW191" s="29"/>
      <c r="CX191" s="29"/>
      <c r="CY191" s="151"/>
      <c r="CZ191" t="s">
        <v>3621</v>
      </c>
      <c r="DA191" t="s">
        <v>3634</v>
      </c>
      <c r="DD191" s="96" t="str">
        <f t="shared" si="2"/>
        <v/>
      </c>
      <c r="DF191" s="96" t="s">
        <v>3753</v>
      </c>
      <c r="DI191" s="215"/>
    </row>
    <row r="192" spans="1:113" ht="16.5" customHeight="1" x14ac:dyDescent="0.3">
      <c r="C192" s="105">
        <v>1660626</v>
      </c>
      <c r="D192" s="27">
        <v>186</v>
      </c>
      <c r="E192" s="28" t="s">
        <v>656</v>
      </c>
      <c r="F192" s="28">
        <v>1000623278</v>
      </c>
      <c r="G192" s="29" t="s">
        <v>1187</v>
      </c>
      <c r="H192" s="28">
        <v>1660626</v>
      </c>
      <c r="I192" s="29" t="s">
        <v>1188</v>
      </c>
      <c r="J192" s="28" t="s">
        <v>854</v>
      </c>
      <c r="K192" s="7"/>
      <c r="L192" s="104" t="s">
        <v>763</v>
      </c>
      <c r="M192" s="29"/>
      <c r="N192" s="29"/>
      <c r="O192" s="127"/>
      <c r="P192" s="28"/>
      <c r="Q192" s="28"/>
      <c r="R192" s="28"/>
      <c r="S192" s="28"/>
      <c r="T192" s="28"/>
      <c r="U192" s="28"/>
      <c r="V192" s="28"/>
      <c r="W192" s="28"/>
      <c r="X192" s="28"/>
      <c r="Y192" s="28"/>
      <c r="Z192" s="28"/>
      <c r="AA192" s="28"/>
      <c r="AB192" s="104"/>
      <c r="AC192" s="28"/>
      <c r="AD192" s="9" t="s">
        <v>1269</v>
      </c>
      <c r="AE192" s="39">
        <v>45870</v>
      </c>
      <c r="AF192" s="9" t="s">
        <v>1276</v>
      </c>
      <c r="AG192" s="34" t="s">
        <v>1313</v>
      </c>
      <c r="AH192" s="9"/>
      <c r="AI192" s="9"/>
      <c r="AJ192" s="9"/>
      <c r="AK192" s="45"/>
      <c r="AL192" s="45" t="s">
        <v>1611</v>
      </c>
      <c r="AM192" s="45"/>
      <c r="AN192" s="45"/>
      <c r="AO192" s="45"/>
      <c r="AP192" s="45"/>
      <c r="AQ192" s="45"/>
      <c r="AR192" s="45"/>
      <c r="AS192" s="45"/>
      <c r="AT192" s="45"/>
      <c r="AU192" s="45"/>
      <c r="AV192" s="45"/>
      <c r="AW192" s="9"/>
      <c r="AX192" s="9"/>
      <c r="AY192" s="9"/>
      <c r="AZ192" s="9"/>
      <c r="BA192" s="10" t="s">
        <v>70</v>
      </c>
      <c r="BB192" s="29" t="s">
        <v>2616</v>
      </c>
      <c r="BC192" s="29" t="s">
        <v>1611</v>
      </c>
      <c r="BD192" s="29" t="s">
        <v>1611</v>
      </c>
      <c r="BE192" s="29" t="s">
        <v>1611</v>
      </c>
      <c r="BF192" s="29" t="s">
        <v>1611</v>
      </c>
      <c r="BG192" s="29" t="s">
        <v>2721</v>
      </c>
      <c r="BH192" s="29" t="s">
        <v>2722</v>
      </c>
      <c r="BI192" s="29" t="s">
        <v>244</v>
      </c>
      <c r="BJ192" s="29" t="s">
        <v>2712</v>
      </c>
      <c r="BK192" s="29" t="s">
        <v>185</v>
      </c>
      <c r="BL192" s="29" t="s">
        <v>2621</v>
      </c>
      <c r="BM192" s="29" t="s">
        <v>1611</v>
      </c>
      <c r="BN192" s="29" t="s">
        <v>1611</v>
      </c>
      <c r="BO192" s="29" t="s">
        <v>1611</v>
      </c>
      <c r="BP192" s="29" t="s">
        <v>1611</v>
      </c>
      <c r="BQ192" s="29" t="s">
        <v>1611</v>
      </c>
      <c r="BR192" s="29" t="s">
        <v>1611</v>
      </c>
      <c r="BS192" s="29" t="s">
        <v>1611</v>
      </c>
      <c r="BT192" s="29" t="s">
        <v>1611</v>
      </c>
      <c r="BU192" s="29" t="s">
        <v>2966</v>
      </c>
      <c r="BV192" s="29" t="s">
        <v>2967</v>
      </c>
      <c r="BW192" s="29" t="s">
        <v>1611</v>
      </c>
      <c r="BX192" s="29" t="s">
        <v>1611</v>
      </c>
      <c r="BY192" s="29" t="s">
        <v>1611</v>
      </c>
      <c r="BZ192" s="29" t="s">
        <v>1611</v>
      </c>
      <c r="CA192" s="29" t="s">
        <v>1611</v>
      </c>
      <c r="CB192" s="29" t="s">
        <v>1611</v>
      </c>
      <c r="CC192" s="29" t="s">
        <v>1611</v>
      </c>
      <c r="CD192" s="29" t="s">
        <v>1611</v>
      </c>
      <c r="CE192" s="29" t="s">
        <v>1611</v>
      </c>
      <c r="CF192" s="29" t="s">
        <v>1611</v>
      </c>
      <c r="CG192" s="29" t="s">
        <v>1787</v>
      </c>
      <c r="CH192" s="29" t="s">
        <v>1905</v>
      </c>
      <c r="CI192" s="29" t="s">
        <v>1611</v>
      </c>
      <c r="CJ192" s="29" t="s">
        <v>1611</v>
      </c>
      <c r="CK192" s="29" t="s">
        <v>1611</v>
      </c>
      <c r="CL192" s="29" t="s">
        <v>1611</v>
      </c>
      <c r="CM192" s="29" t="s">
        <v>1611</v>
      </c>
      <c r="CN192" s="29" t="s">
        <v>1611</v>
      </c>
      <c r="CO192" s="29" t="s">
        <v>1611</v>
      </c>
      <c r="CP192" s="29" t="s">
        <v>1611</v>
      </c>
      <c r="CQ192" s="29" t="s">
        <v>1611</v>
      </c>
      <c r="CR192" s="29" t="s">
        <v>1611</v>
      </c>
      <c r="CS192" s="29" t="s">
        <v>1611</v>
      </c>
      <c r="CT192" s="29" t="s">
        <v>1611</v>
      </c>
      <c r="CU192" s="29" t="s">
        <v>1611</v>
      </c>
      <c r="CV192" s="29" t="s">
        <v>1611</v>
      </c>
      <c r="CW192" s="29"/>
      <c r="CX192" s="29"/>
      <c r="CY192" s="151"/>
      <c r="CZ192" t="e">
        <v>#N/A</v>
      </c>
      <c r="DA192" t="e">
        <v>#N/A</v>
      </c>
      <c r="DD192" s="96" t="str">
        <f t="shared" si="2"/>
        <v>V</v>
      </c>
      <c r="DI192" s="215"/>
    </row>
    <row r="193" spans="1:113" ht="16.5" customHeight="1" x14ac:dyDescent="0.3">
      <c r="C193" s="105">
        <v>1657604</v>
      </c>
      <c r="D193" s="27">
        <v>187</v>
      </c>
      <c r="E193" s="28" t="s">
        <v>808</v>
      </c>
      <c r="F193" s="28">
        <v>1000581257</v>
      </c>
      <c r="G193" s="29" t="s">
        <v>1189</v>
      </c>
      <c r="H193" s="28">
        <v>1657604</v>
      </c>
      <c r="I193" s="29" t="s">
        <v>1190</v>
      </c>
      <c r="J193" s="28" t="s">
        <v>854</v>
      </c>
      <c r="K193" s="7"/>
      <c r="L193" s="104" t="s">
        <v>764</v>
      </c>
      <c r="M193" s="29" t="s">
        <v>206</v>
      </c>
      <c r="N193" s="29" t="s">
        <v>2345</v>
      </c>
      <c r="O193" s="127">
        <v>35208</v>
      </c>
      <c r="P193" s="113" t="s">
        <v>1960</v>
      </c>
      <c r="Q193" s="28" t="s">
        <v>612</v>
      </c>
      <c r="R193" s="28" t="s">
        <v>1329</v>
      </c>
      <c r="S193" s="28" t="s">
        <v>612</v>
      </c>
      <c r="T193" s="28" t="s">
        <v>1301</v>
      </c>
      <c r="U193" s="28" t="s">
        <v>1301</v>
      </c>
      <c r="V193" s="28" t="s">
        <v>1301</v>
      </c>
      <c r="W193" s="28" t="s">
        <v>1301</v>
      </c>
      <c r="X193" s="28" t="s">
        <v>1301</v>
      </c>
      <c r="Y193" s="28" t="s">
        <v>1301</v>
      </c>
      <c r="Z193" s="28" t="s">
        <v>1301</v>
      </c>
      <c r="AA193" s="28" t="s">
        <v>1301</v>
      </c>
      <c r="AB193" s="104" t="s">
        <v>663</v>
      </c>
      <c r="AC193" s="104" t="s">
        <v>1340</v>
      </c>
      <c r="AD193" s="9" t="s">
        <v>1269</v>
      </c>
      <c r="AE193" s="9"/>
      <c r="AF193" s="9"/>
      <c r="AG193" s="34"/>
      <c r="AH193" s="9"/>
      <c r="AI193" s="45" t="s">
        <v>46</v>
      </c>
      <c r="AJ193" s="9"/>
      <c r="AK193" s="45"/>
      <c r="AL193" s="45" t="s">
        <v>2278</v>
      </c>
      <c r="AM193" s="45" t="s">
        <v>2317</v>
      </c>
      <c r="AN193" s="45" t="s">
        <v>46</v>
      </c>
      <c r="AO193" s="45" t="s">
        <v>46</v>
      </c>
      <c r="AP193" s="45" t="s">
        <v>46</v>
      </c>
      <c r="AQ193" s="45" t="s">
        <v>46</v>
      </c>
      <c r="AR193" s="45" t="s">
        <v>46</v>
      </c>
      <c r="AS193" s="45"/>
      <c r="AT193" s="45"/>
      <c r="AU193" s="45"/>
      <c r="AV193" s="45"/>
      <c r="AW193" s="9"/>
      <c r="AX193" s="9"/>
      <c r="AY193" s="9"/>
      <c r="AZ193" s="9"/>
      <c r="BA193" s="10" t="s">
        <v>147</v>
      </c>
      <c r="BB193" s="29" t="s">
        <v>2695</v>
      </c>
      <c r="BC193" s="29" t="s">
        <v>1611</v>
      </c>
      <c r="BD193" s="29" t="s">
        <v>1611</v>
      </c>
      <c r="BE193" s="29" t="s">
        <v>2514</v>
      </c>
      <c r="BF193" s="29" t="s">
        <v>2515</v>
      </c>
      <c r="BG193" s="29" t="s">
        <v>2539</v>
      </c>
      <c r="BH193" s="29" t="s">
        <v>2540</v>
      </c>
      <c r="BI193" s="29" t="s">
        <v>243</v>
      </c>
      <c r="BJ193" s="29" t="s">
        <v>2757</v>
      </c>
      <c r="BK193" s="29" t="s">
        <v>292</v>
      </c>
      <c r="BL193" s="29" t="s">
        <v>2646</v>
      </c>
      <c r="BM193" s="29" t="s">
        <v>1611</v>
      </c>
      <c r="BN193" s="29" t="s">
        <v>1611</v>
      </c>
      <c r="BO193" s="29" t="s">
        <v>1611</v>
      </c>
      <c r="BP193" s="29" t="s">
        <v>1611</v>
      </c>
      <c r="BQ193" s="29" t="s">
        <v>1611</v>
      </c>
      <c r="BR193" s="29" t="s">
        <v>1611</v>
      </c>
      <c r="BS193" s="29" t="s">
        <v>1611</v>
      </c>
      <c r="BT193" s="29" t="s">
        <v>1611</v>
      </c>
      <c r="BU193" s="29" t="s">
        <v>1720</v>
      </c>
      <c r="BV193" s="29" t="s">
        <v>1826</v>
      </c>
      <c r="BW193" s="29" t="s">
        <v>1611</v>
      </c>
      <c r="BX193" s="29" t="s">
        <v>1611</v>
      </c>
      <c r="BY193" s="29" t="s">
        <v>1611</v>
      </c>
      <c r="BZ193" s="29" t="s">
        <v>1611</v>
      </c>
      <c r="CA193" s="29" t="s">
        <v>1611</v>
      </c>
      <c r="CB193" s="29" t="s">
        <v>1611</v>
      </c>
      <c r="CC193" s="29" t="s">
        <v>1611</v>
      </c>
      <c r="CD193" s="29" t="s">
        <v>1611</v>
      </c>
      <c r="CE193" s="29" t="s">
        <v>1611</v>
      </c>
      <c r="CF193" s="29" t="s">
        <v>1611</v>
      </c>
      <c r="CG193" s="29" t="s">
        <v>1782</v>
      </c>
      <c r="CH193" s="29" t="s">
        <v>1900</v>
      </c>
      <c r="CI193" s="29" t="s">
        <v>1611</v>
      </c>
      <c r="CJ193" s="29" t="s">
        <v>1611</v>
      </c>
      <c r="CK193" s="29" t="s">
        <v>2968</v>
      </c>
      <c r="CL193" s="29" t="s">
        <v>2969</v>
      </c>
      <c r="CM193" s="29" t="s">
        <v>2970</v>
      </c>
      <c r="CN193" s="29" t="s">
        <v>2971</v>
      </c>
      <c r="CO193" s="29" t="s">
        <v>2972</v>
      </c>
      <c r="CP193" s="29" t="s">
        <v>2973</v>
      </c>
      <c r="CQ193" s="29" t="s">
        <v>1611</v>
      </c>
      <c r="CR193" s="29" t="s">
        <v>1611</v>
      </c>
      <c r="CS193" s="29" t="s">
        <v>1611</v>
      </c>
      <c r="CT193" s="29" t="s">
        <v>1611</v>
      </c>
      <c r="CU193" s="29" t="s">
        <v>1611</v>
      </c>
      <c r="CV193" s="29" t="s">
        <v>1611</v>
      </c>
      <c r="CW193" s="29"/>
      <c r="CX193" s="29"/>
      <c r="CY193" s="151"/>
      <c r="CZ193" t="s">
        <v>3304</v>
      </c>
      <c r="DA193" t="s">
        <v>3634</v>
      </c>
      <c r="DD193" s="96" t="str">
        <f t="shared" si="2"/>
        <v/>
      </c>
      <c r="DF193" s="96" t="s">
        <v>3753</v>
      </c>
      <c r="DI193" s="215"/>
    </row>
    <row r="194" spans="1:113" ht="16.5" customHeight="1" x14ac:dyDescent="0.3">
      <c r="A194" t="s">
        <v>3798</v>
      </c>
      <c r="B194" t="s">
        <v>3778</v>
      </c>
      <c r="C194" s="105">
        <v>1684195</v>
      </c>
      <c r="D194" s="27">
        <v>188</v>
      </c>
      <c r="E194" s="28" t="s">
        <v>843</v>
      </c>
      <c r="F194" s="28">
        <v>1000316812</v>
      </c>
      <c r="G194" s="29" t="s">
        <v>1192</v>
      </c>
      <c r="H194" s="28">
        <v>1684195</v>
      </c>
      <c r="I194" s="29" t="s">
        <v>1193</v>
      </c>
      <c r="J194" s="28" t="s">
        <v>854</v>
      </c>
      <c r="K194" s="7"/>
      <c r="L194" s="104" t="s">
        <v>765</v>
      </c>
      <c r="M194" s="110" t="s">
        <v>2274</v>
      </c>
      <c r="N194" s="29" t="s">
        <v>2275</v>
      </c>
      <c r="O194" s="127">
        <v>99109</v>
      </c>
      <c r="P194" s="113" t="s">
        <v>1317</v>
      </c>
      <c r="Q194" s="28" t="s">
        <v>612</v>
      </c>
      <c r="R194" s="28" t="s">
        <v>1329</v>
      </c>
      <c r="S194" s="28" t="s">
        <v>612</v>
      </c>
      <c r="T194" s="28" t="s">
        <v>1329</v>
      </c>
      <c r="U194" s="28" t="s">
        <v>612</v>
      </c>
      <c r="V194" s="28" t="s">
        <v>1301</v>
      </c>
      <c r="W194" s="28" t="s">
        <v>1301</v>
      </c>
      <c r="X194" s="28" t="s">
        <v>1301</v>
      </c>
      <c r="Y194" s="28" t="s">
        <v>1301</v>
      </c>
      <c r="Z194" s="28" t="s">
        <v>1301</v>
      </c>
      <c r="AA194" s="28" t="s">
        <v>1301</v>
      </c>
      <c r="AB194" s="104" t="s">
        <v>653</v>
      </c>
      <c r="AC194" s="104" t="s">
        <v>1961</v>
      </c>
      <c r="AD194" s="9" t="s">
        <v>1269</v>
      </c>
      <c r="AE194" s="9"/>
      <c r="AF194" s="9"/>
      <c r="AG194" s="34"/>
      <c r="AH194" s="9"/>
      <c r="AI194" s="9" t="s">
        <v>2268</v>
      </c>
      <c r="AJ194" s="9"/>
      <c r="AK194" s="45"/>
      <c r="AL194" s="9" t="s">
        <v>2268</v>
      </c>
      <c r="AM194" s="9" t="s">
        <v>2268</v>
      </c>
      <c r="AN194" s="9" t="s">
        <v>2268</v>
      </c>
      <c r="AO194" s="9" t="s">
        <v>2268</v>
      </c>
      <c r="AP194" s="9" t="s">
        <v>2268</v>
      </c>
      <c r="AQ194" s="9" t="s">
        <v>46</v>
      </c>
      <c r="AR194" s="9" t="s">
        <v>46</v>
      </c>
      <c r="AS194" s="9" t="s">
        <v>46</v>
      </c>
      <c r="AT194" s="45"/>
      <c r="AU194" s="45"/>
      <c r="AV194" s="45"/>
      <c r="AW194" s="9" t="s">
        <v>46</v>
      </c>
      <c r="AX194" s="9" t="s">
        <v>46</v>
      </c>
      <c r="AY194" s="9" t="s">
        <v>46</v>
      </c>
      <c r="AZ194" s="9" t="s">
        <v>46</v>
      </c>
      <c r="BA194" s="10" t="s">
        <v>184</v>
      </c>
      <c r="BB194" s="29" t="s">
        <v>2568</v>
      </c>
      <c r="BC194" s="29" t="s">
        <v>1611</v>
      </c>
      <c r="BD194" s="29" t="s">
        <v>1611</v>
      </c>
      <c r="BE194" s="29" t="s">
        <v>2502</v>
      </c>
      <c r="BF194" s="29" t="s">
        <v>2503</v>
      </c>
      <c r="BG194" s="29" t="s">
        <v>2660</v>
      </c>
      <c r="BH194" s="29" t="s">
        <v>2661</v>
      </c>
      <c r="BI194" s="29" t="s">
        <v>175</v>
      </c>
      <c r="BJ194" s="29" t="s">
        <v>2649</v>
      </c>
      <c r="BK194" s="29" t="s">
        <v>2723</v>
      </c>
      <c r="BL194" s="29" t="s">
        <v>2724</v>
      </c>
      <c r="BM194" s="29" t="s">
        <v>1611</v>
      </c>
      <c r="BN194" s="29" t="s">
        <v>1611</v>
      </c>
      <c r="BO194" s="29" t="s">
        <v>1611</v>
      </c>
      <c r="BP194" s="29" t="s">
        <v>1611</v>
      </c>
      <c r="BQ194" s="29" t="s">
        <v>1611</v>
      </c>
      <c r="BR194" s="29" t="s">
        <v>1611</v>
      </c>
      <c r="BS194" s="29" t="s">
        <v>1611</v>
      </c>
      <c r="BT194" s="29" t="s">
        <v>1611</v>
      </c>
      <c r="BU194" s="29" t="s">
        <v>2906</v>
      </c>
      <c r="BV194" s="29" t="s">
        <v>2907</v>
      </c>
      <c r="BW194" s="29" t="s">
        <v>1611</v>
      </c>
      <c r="BX194" s="29" t="s">
        <v>1611</v>
      </c>
      <c r="BY194" s="29" t="s">
        <v>1611</v>
      </c>
      <c r="BZ194" s="29" t="s">
        <v>1611</v>
      </c>
      <c r="CA194" s="29" t="s">
        <v>1611</v>
      </c>
      <c r="CB194" s="29" t="s">
        <v>1611</v>
      </c>
      <c r="CC194" s="29" t="s">
        <v>1611</v>
      </c>
      <c r="CD194" s="29" t="s">
        <v>1611</v>
      </c>
      <c r="CE194" s="29" t="s">
        <v>1611</v>
      </c>
      <c r="CF194" s="29" t="s">
        <v>1611</v>
      </c>
      <c r="CG194" s="29" t="s">
        <v>1783</v>
      </c>
      <c r="CH194" s="29" t="s">
        <v>1901</v>
      </c>
      <c r="CI194" s="29" t="s">
        <v>1611</v>
      </c>
      <c r="CJ194" s="29" t="s">
        <v>1611</v>
      </c>
      <c r="CK194" s="29" t="s">
        <v>106</v>
      </c>
      <c r="CL194" s="29" t="s">
        <v>2974</v>
      </c>
      <c r="CM194" s="29" t="s">
        <v>2975</v>
      </c>
      <c r="CN194" s="29" t="s">
        <v>2976</v>
      </c>
      <c r="CO194" s="29" t="s">
        <v>3865</v>
      </c>
      <c r="CP194" s="29" t="s">
        <v>3866</v>
      </c>
      <c r="CQ194" s="29" t="s">
        <v>1611</v>
      </c>
      <c r="CR194" s="29" t="s">
        <v>1611</v>
      </c>
      <c r="CS194" s="29" t="s">
        <v>1611</v>
      </c>
      <c r="CT194" s="29" t="s">
        <v>1611</v>
      </c>
      <c r="CU194" s="29" t="s">
        <v>1611</v>
      </c>
      <c r="CV194" s="29" t="s">
        <v>1611</v>
      </c>
      <c r="CW194" s="29"/>
      <c r="CX194" s="29"/>
      <c r="CY194" s="151"/>
      <c r="CZ194" t="s">
        <v>3305</v>
      </c>
      <c r="DA194" t="s">
        <v>3634</v>
      </c>
      <c r="DD194" s="96" t="str">
        <f t="shared" si="2"/>
        <v/>
      </c>
      <c r="DF194" s="96" t="s">
        <v>3753</v>
      </c>
      <c r="DI194" s="215"/>
    </row>
    <row r="195" spans="1:113" ht="16.5" customHeight="1" x14ac:dyDescent="0.3">
      <c r="C195" s="105">
        <v>1685371</v>
      </c>
      <c r="D195" s="27">
        <v>189</v>
      </c>
      <c r="E195" s="28" t="s">
        <v>818</v>
      </c>
      <c r="F195" s="28">
        <v>1000314653</v>
      </c>
      <c r="G195" s="29" t="s">
        <v>1194</v>
      </c>
      <c r="H195" s="28">
        <v>1685371</v>
      </c>
      <c r="I195" s="29" t="s">
        <v>1195</v>
      </c>
      <c r="J195" s="28" t="s">
        <v>659</v>
      </c>
      <c r="K195" s="7"/>
      <c r="L195" s="104" t="s">
        <v>766</v>
      </c>
      <c r="M195" s="29"/>
      <c r="N195" s="29"/>
      <c r="O195" s="127"/>
      <c r="P195" s="28"/>
      <c r="Q195" s="28"/>
      <c r="R195" s="28"/>
      <c r="S195" s="28"/>
      <c r="T195" s="28"/>
      <c r="U195" s="28"/>
      <c r="V195" s="28"/>
      <c r="W195" s="28"/>
      <c r="X195" s="28"/>
      <c r="Y195" s="28"/>
      <c r="Z195" s="28"/>
      <c r="AA195" s="28"/>
      <c r="AB195" s="104"/>
      <c r="AC195" s="104"/>
      <c r="AD195" s="9" t="s">
        <v>1269</v>
      </c>
      <c r="AE195" s="39">
        <v>46020</v>
      </c>
      <c r="AF195" s="9" t="s">
        <v>1276</v>
      </c>
      <c r="AG195" s="34" t="s">
        <v>3656</v>
      </c>
      <c r="AH195" s="9"/>
      <c r="AI195" s="9" t="s">
        <v>2491</v>
      </c>
      <c r="AJ195" s="9"/>
      <c r="AK195" s="45"/>
      <c r="AL195" s="9" t="s">
        <v>2491</v>
      </c>
      <c r="AM195" s="45"/>
      <c r="AN195" s="45"/>
      <c r="AO195" s="45"/>
      <c r="AP195" s="45"/>
      <c r="AQ195" s="45"/>
      <c r="AR195" s="45"/>
      <c r="AS195" s="45"/>
      <c r="AT195" s="45"/>
      <c r="AU195" s="45"/>
      <c r="AV195" s="45"/>
      <c r="AW195" s="9"/>
      <c r="AX195" s="9"/>
      <c r="AY195" s="9"/>
      <c r="AZ195" s="9"/>
      <c r="BA195" s="10" t="s">
        <v>1611</v>
      </c>
      <c r="BB195" s="29" t="s">
        <v>1611</v>
      </c>
      <c r="BC195" s="29" t="s">
        <v>1611</v>
      </c>
      <c r="BD195" s="29" t="s">
        <v>1611</v>
      </c>
      <c r="BE195" s="29" t="s">
        <v>1611</v>
      </c>
      <c r="BF195" s="29" t="s">
        <v>1611</v>
      </c>
      <c r="BG195" s="29" t="s">
        <v>1611</v>
      </c>
      <c r="BH195" s="29" t="s">
        <v>1611</v>
      </c>
      <c r="BI195" s="29" t="s">
        <v>329</v>
      </c>
      <c r="BJ195" s="29" t="s">
        <v>2591</v>
      </c>
      <c r="BK195" s="29" t="s">
        <v>2748</v>
      </c>
      <c r="BL195" s="29" t="s">
        <v>2749</v>
      </c>
      <c r="BM195" s="29" t="s">
        <v>1611</v>
      </c>
      <c r="BN195" s="29" t="s">
        <v>1611</v>
      </c>
      <c r="BO195" s="29" t="s">
        <v>1611</v>
      </c>
      <c r="BP195" s="29" t="s">
        <v>1611</v>
      </c>
      <c r="BQ195" s="29" t="s">
        <v>1611</v>
      </c>
      <c r="BR195" s="29" t="s">
        <v>1611</v>
      </c>
      <c r="BS195" s="29" t="s">
        <v>1611</v>
      </c>
      <c r="BT195" s="29" t="s">
        <v>1611</v>
      </c>
      <c r="BU195" s="29" t="s">
        <v>2360</v>
      </c>
      <c r="BV195" s="29" t="s">
        <v>2399</v>
      </c>
      <c r="BW195" s="29" t="s">
        <v>1611</v>
      </c>
      <c r="BX195" s="29" t="s">
        <v>1611</v>
      </c>
      <c r="BY195" s="29" t="s">
        <v>1611</v>
      </c>
      <c r="BZ195" s="29" t="s">
        <v>1611</v>
      </c>
      <c r="CA195" s="29" t="s">
        <v>1611</v>
      </c>
      <c r="CB195" s="29" t="s">
        <v>1611</v>
      </c>
      <c r="CC195" s="29" t="s">
        <v>1611</v>
      </c>
      <c r="CD195" s="29" t="s">
        <v>1611</v>
      </c>
      <c r="CE195" s="29" t="s">
        <v>1611</v>
      </c>
      <c r="CF195" s="29" t="s">
        <v>1611</v>
      </c>
      <c r="CG195" s="29" t="s">
        <v>1784</v>
      </c>
      <c r="CH195" s="29" t="s">
        <v>1902</v>
      </c>
      <c r="CI195" s="29" t="s">
        <v>1611</v>
      </c>
      <c r="CJ195" s="29" t="s">
        <v>1611</v>
      </c>
      <c r="CK195" s="29" t="s">
        <v>1611</v>
      </c>
      <c r="CL195" s="29" t="s">
        <v>1611</v>
      </c>
      <c r="CM195" s="29" t="s">
        <v>1611</v>
      </c>
      <c r="CN195" s="29" t="s">
        <v>1611</v>
      </c>
      <c r="CO195" s="29" t="s">
        <v>1611</v>
      </c>
      <c r="CP195" s="29" t="s">
        <v>1611</v>
      </c>
      <c r="CQ195" s="29" t="s">
        <v>1611</v>
      </c>
      <c r="CR195" s="29" t="s">
        <v>1611</v>
      </c>
      <c r="CS195" s="29" t="s">
        <v>1611</v>
      </c>
      <c r="CT195" s="29" t="s">
        <v>1611</v>
      </c>
      <c r="CU195" s="29" t="s">
        <v>1611</v>
      </c>
      <c r="CV195" s="29" t="s">
        <v>1611</v>
      </c>
      <c r="CW195" s="29"/>
      <c r="CX195" s="29"/>
      <c r="CY195" s="151"/>
      <c r="CZ195" t="s">
        <v>3733</v>
      </c>
      <c r="DA195" t="s">
        <v>3587</v>
      </c>
      <c r="DD195" s="96" t="str">
        <f t="shared" si="2"/>
        <v>V</v>
      </c>
      <c r="DI195" s="215"/>
    </row>
    <row r="196" spans="1:113" ht="16.5" customHeight="1" x14ac:dyDescent="0.3">
      <c r="C196" s="105">
        <v>1662350</v>
      </c>
      <c r="D196" s="27">
        <v>190</v>
      </c>
      <c r="E196" s="28" t="s">
        <v>843</v>
      </c>
      <c r="F196" s="28">
        <v>1001307891</v>
      </c>
      <c r="G196" s="29" t="s">
        <v>2316</v>
      </c>
      <c r="H196" s="28">
        <v>1662350</v>
      </c>
      <c r="I196" s="29" t="s">
        <v>1196</v>
      </c>
      <c r="J196" s="28" t="s">
        <v>854</v>
      </c>
      <c r="K196" s="7"/>
      <c r="L196" s="104" t="s">
        <v>34</v>
      </c>
      <c r="M196" s="29"/>
      <c r="N196" s="29"/>
      <c r="O196" s="127"/>
      <c r="P196" s="28"/>
      <c r="Q196" s="28"/>
      <c r="R196" s="28"/>
      <c r="S196" s="28"/>
      <c r="T196" s="28"/>
      <c r="U196" s="28"/>
      <c r="V196" s="28"/>
      <c r="W196" s="28"/>
      <c r="X196" s="28"/>
      <c r="Y196" s="28"/>
      <c r="Z196" s="28"/>
      <c r="AA196" s="28"/>
      <c r="AB196" s="104" t="s">
        <v>663</v>
      </c>
      <c r="AC196" s="104" t="s">
        <v>1340</v>
      </c>
      <c r="AD196" s="9" t="s">
        <v>1269</v>
      </c>
      <c r="AE196" s="39">
        <v>46062</v>
      </c>
      <c r="AF196" s="9" t="s">
        <v>1276</v>
      </c>
      <c r="AG196" s="34" t="s">
        <v>3776</v>
      </c>
      <c r="AH196" s="9"/>
      <c r="AI196" s="9"/>
      <c r="AJ196" s="9"/>
      <c r="AK196" s="45"/>
      <c r="AL196" s="45" t="s">
        <v>2278</v>
      </c>
      <c r="AM196" s="45" t="s">
        <v>46</v>
      </c>
      <c r="AN196" s="45"/>
      <c r="AO196" s="45"/>
      <c r="AP196" s="45"/>
      <c r="AQ196" s="45"/>
      <c r="AR196" s="45"/>
      <c r="AS196" s="45"/>
      <c r="AT196" s="45"/>
      <c r="AU196" s="45"/>
      <c r="AV196" s="45"/>
      <c r="AW196" s="9"/>
      <c r="AX196" s="9"/>
      <c r="AY196" s="9"/>
      <c r="AZ196" s="9"/>
      <c r="BA196" s="10" t="s">
        <v>79</v>
      </c>
      <c r="BB196" s="29" t="s">
        <v>2612</v>
      </c>
      <c r="BC196" s="29" t="s">
        <v>1611</v>
      </c>
      <c r="BD196" s="29" t="s">
        <v>1611</v>
      </c>
      <c r="BE196" s="29" t="s">
        <v>2502</v>
      </c>
      <c r="BF196" s="29" t="s">
        <v>2503</v>
      </c>
      <c r="BG196" s="29" t="s">
        <v>2650</v>
      </c>
      <c r="BH196" s="29" t="s">
        <v>2651</v>
      </c>
      <c r="BI196" s="29" t="s">
        <v>2932</v>
      </c>
      <c r="BJ196" s="29" t="s">
        <v>2933</v>
      </c>
      <c r="BK196" s="29" t="s">
        <v>2740</v>
      </c>
      <c r="BL196" s="29" t="s">
        <v>2741</v>
      </c>
      <c r="BM196" s="29" t="s">
        <v>1611</v>
      </c>
      <c r="BN196" s="29" t="s">
        <v>1611</v>
      </c>
      <c r="BO196" s="29" t="s">
        <v>1611</v>
      </c>
      <c r="BP196" s="29" t="s">
        <v>1611</v>
      </c>
      <c r="BQ196" s="29" t="s">
        <v>1611</v>
      </c>
      <c r="BR196" s="29" t="s">
        <v>1611</v>
      </c>
      <c r="BS196" s="29" t="s">
        <v>1611</v>
      </c>
      <c r="BT196" s="29" t="s">
        <v>1611</v>
      </c>
      <c r="BU196" s="29" t="s">
        <v>2977</v>
      </c>
      <c r="BV196" s="29" t="s">
        <v>2978</v>
      </c>
      <c r="BW196" s="29" t="s">
        <v>1611</v>
      </c>
      <c r="BX196" s="29" t="s">
        <v>1611</v>
      </c>
      <c r="BY196" s="29" t="s">
        <v>1611</v>
      </c>
      <c r="BZ196" s="29" t="s">
        <v>1611</v>
      </c>
      <c r="CA196" s="29" t="s">
        <v>1611</v>
      </c>
      <c r="CB196" s="29" t="s">
        <v>1611</v>
      </c>
      <c r="CC196" s="29" t="s">
        <v>1611</v>
      </c>
      <c r="CD196" s="29" t="s">
        <v>1611</v>
      </c>
      <c r="CE196" s="29" t="s">
        <v>1611</v>
      </c>
      <c r="CF196" s="29" t="s">
        <v>1611</v>
      </c>
      <c r="CG196" s="29" t="s">
        <v>3685</v>
      </c>
      <c r="CH196" s="29" t="s">
        <v>3686</v>
      </c>
      <c r="CI196" s="29" t="s">
        <v>1611</v>
      </c>
      <c r="CJ196" s="29" t="s">
        <v>1611</v>
      </c>
      <c r="CK196" s="29" t="s">
        <v>1611</v>
      </c>
      <c r="CL196" s="29" t="s">
        <v>1611</v>
      </c>
      <c r="CM196" s="29" t="s">
        <v>1611</v>
      </c>
      <c r="CN196" s="29" t="s">
        <v>1611</v>
      </c>
      <c r="CO196" s="29" t="s">
        <v>1611</v>
      </c>
      <c r="CP196" s="29" t="s">
        <v>1611</v>
      </c>
      <c r="CQ196" s="29" t="s">
        <v>1611</v>
      </c>
      <c r="CR196" s="29" t="s">
        <v>1611</v>
      </c>
      <c r="CS196" s="29" t="s">
        <v>1611</v>
      </c>
      <c r="CT196" s="29" t="s">
        <v>1611</v>
      </c>
      <c r="CU196" s="29" t="s">
        <v>1611</v>
      </c>
      <c r="CV196" s="29" t="s">
        <v>1611</v>
      </c>
      <c r="CW196" s="29"/>
      <c r="CX196" s="29"/>
      <c r="CY196" s="151"/>
      <c r="CZ196" t="s">
        <v>3740</v>
      </c>
      <c r="DA196" t="s">
        <v>3737</v>
      </c>
      <c r="DC196" s="96" t="s">
        <v>3700</v>
      </c>
      <c r="DD196" s="96" t="str">
        <f t="shared" si="2"/>
        <v>V</v>
      </c>
      <c r="DI196" s="215"/>
    </row>
    <row r="197" spans="1:113" ht="16.5" customHeight="1" x14ac:dyDescent="0.3">
      <c r="A197" t="s">
        <v>3940</v>
      </c>
      <c r="B197" t="s">
        <v>3778</v>
      </c>
      <c r="C197" s="105">
        <v>1656724</v>
      </c>
      <c r="D197" s="27">
        <v>191</v>
      </c>
      <c r="E197" s="28" t="s">
        <v>843</v>
      </c>
      <c r="F197" s="28">
        <v>1001459652</v>
      </c>
      <c r="G197" s="29" t="s">
        <v>1197</v>
      </c>
      <c r="H197" s="28">
        <v>1656724</v>
      </c>
      <c r="I197" s="29" t="s">
        <v>1198</v>
      </c>
      <c r="J197" s="28" t="s">
        <v>854</v>
      </c>
      <c r="K197" s="7"/>
      <c r="L197" s="104" t="s">
        <v>3960</v>
      </c>
      <c r="M197" s="29" t="s">
        <v>3961</v>
      </c>
      <c r="N197" s="29" t="s">
        <v>3962</v>
      </c>
      <c r="O197" s="127">
        <v>53765</v>
      </c>
      <c r="P197" s="28" t="s">
        <v>1301</v>
      </c>
      <c r="Q197" s="28" t="s">
        <v>1301</v>
      </c>
      <c r="R197" s="28" t="s">
        <v>1329</v>
      </c>
      <c r="S197" s="28" t="s">
        <v>612</v>
      </c>
      <c r="T197" s="28" t="s">
        <v>1301</v>
      </c>
      <c r="U197" s="28" t="s">
        <v>1301</v>
      </c>
      <c r="V197" s="28" t="s">
        <v>1301</v>
      </c>
      <c r="W197" s="28" t="s">
        <v>1301</v>
      </c>
      <c r="X197" s="28" t="s">
        <v>1301</v>
      </c>
      <c r="Y197" s="28" t="s">
        <v>1301</v>
      </c>
      <c r="Z197" s="28" t="s">
        <v>1301</v>
      </c>
      <c r="AA197" s="28" t="s">
        <v>1301</v>
      </c>
      <c r="AB197" s="104" t="s">
        <v>663</v>
      </c>
      <c r="AC197" s="104" t="s">
        <v>1340</v>
      </c>
      <c r="AD197" s="9" t="s">
        <v>1269</v>
      </c>
      <c r="AE197" s="9"/>
      <c r="AF197" s="9" t="s">
        <v>3780</v>
      </c>
      <c r="AG197" s="34"/>
      <c r="AH197" s="9"/>
      <c r="AI197" s="9" t="s">
        <v>2491</v>
      </c>
      <c r="AJ197" s="9"/>
      <c r="AK197" s="9"/>
      <c r="AL197" s="9" t="s">
        <v>2491</v>
      </c>
      <c r="AM197" s="9"/>
      <c r="AN197" s="9"/>
      <c r="AO197" s="9"/>
      <c r="AP197" s="9"/>
      <c r="AQ197" s="9"/>
      <c r="AR197" s="9"/>
      <c r="AS197" s="9"/>
      <c r="AT197" s="45"/>
      <c r="AU197" s="45"/>
      <c r="AV197" s="45"/>
      <c r="AW197" s="9" t="s">
        <v>46</v>
      </c>
      <c r="AX197" s="9" t="s">
        <v>46</v>
      </c>
      <c r="AY197" s="9" t="s">
        <v>46</v>
      </c>
      <c r="AZ197" s="9" t="s">
        <v>46</v>
      </c>
      <c r="BA197" s="10" t="s">
        <v>291</v>
      </c>
      <c r="BB197" s="29" t="s">
        <v>2704</v>
      </c>
      <c r="BC197" s="29" t="s">
        <v>1611</v>
      </c>
      <c r="BD197" s="29" t="s">
        <v>1611</v>
      </c>
      <c r="BE197" s="29" t="s">
        <v>2502</v>
      </c>
      <c r="BF197" s="29" t="s">
        <v>2503</v>
      </c>
      <c r="BG197" s="29" t="s">
        <v>2650</v>
      </c>
      <c r="BH197" s="29" t="s">
        <v>2651</v>
      </c>
      <c r="BI197" s="29" t="s">
        <v>207</v>
      </c>
      <c r="BJ197" s="29" t="s">
        <v>2524</v>
      </c>
      <c r="BK197" s="29" t="s">
        <v>2765</v>
      </c>
      <c r="BL197" s="29" t="s">
        <v>2766</v>
      </c>
      <c r="BM197" s="29" t="s">
        <v>1611</v>
      </c>
      <c r="BN197" s="29" t="s">
        <v>1611</v>
      </c>
      <c r="BO197" s="29" t="s">
        <v>1611</v>
      </c>
      <c r="BP197" s="29" t="s">
        <v>1611</v>
      </c>
      <c r="BQ197" s="29" t="s">
        <v>1611</v>
      </c>
      <c r="BR197" s="29" t="s">
        <v>1611</v>
      </c>
      <c r="BS197" s="29" t="s">
        <v>1611</v>
      </c>
      <c r="BT197" s="29" t="s">
        <v>1611</v>
      </c>
      <c r="BU197" s="29" t="s">
        <v>3027</v>
      </c>
      <c r="BV197" s="29" t="s">
        <v>3028</v>
      </c>
      <c r="BW197" s="29" t="s">
        <v>1611</v>
      </c>
      <c r="BX197" s="29" t="s">
        <v>1611</v>
      </c>
      <c r="BY197" s="29" t="s">
        <v>1611</v>
      </c>
      <c r="BZ197" s="29" t="s">
        <v>1611</v>
      </c>
      <c r="CA197" s="29" t="s">
        <v>1611</v>
      </c>
      <c r="CB197" s="29" t="s">
        <v>1611</v>
      </c>
      <c r="CC197" s="29" t="s">
        <v>1611</v>
      </c>
      <c r="CD197" s="29" t="s">
        <v>1611</v>
      </c>
      <c r="CE197" s="29" t="s">
        <v>1611</v>
      </c>
      <c r="CF197" s="29" t="s">
        <v>1611</v>
      </c>
      <c r="CG197" s="29" t="s">
        <v>1786</v>
      </c>
      <c r="CH197" s="29" t="s">
        <v>1904</v>
      </c>
      <c r="CI197" s="29" t="s">
        <v>1611</v>
      </c>
      <c r="CJ197" s="29" t="s">
        <v>1611</v>
      </c>
      <c r="CK197" s="29" t="s">
        <v>3957</v>
      </c>
      <c r="CL197" s="29" t="s">
        <v>3959</v>
      </c>
      <c r="CM197" s="29" t="s">
        <v>1611</v>
      </c>
      <c r="CN197" s="29" t="s">
        <v>1611</v>
      </c>
      <c r="CO197" s="29" t="s">
        <v>1611</v>
      </c>
      <c r="CP197" s="29" t="s">
        <v>1611</v>
      </c>
      <c r="CQ197" s="29" t="s">
        <v>1611</v>
      </c>
      <c r="CR197" s="29" t="s">
        <v>1611</v>
      </c>
      <c r="CS197" s="29" t="s">
        <v>1611</v>
      </c>
      <c r="CT197" s="29" t="s">
        <v>1611</v>
      </c>
      <c r="CU197" s="29" t="s">
        <v>1611</v>
      </c>
      <c r="CV197" s="29" t="s">
        <v>1611</v>
      </c>
      <c r="CW197" s="29"/>
      <c r="CX197" s="29"/>
      <c r="CY197" s="151"/>
      <c r="CZ197" t="s">
        <v>3623</v>
      </c>
      <c r="DA197" t="s">
        <v>3634</v>
      </c>
      <c r="DC197" s="96" t="s">
        <v>3700</v>
      </c>
      <c r="DD197" s="96" t="str">
        <f t="shared" si="2"/>
        <v/>
      </c>
      <c r="DF197" s="96" t="s">
        <v>46</v>
      </c>
      <c r="DI197" s="215"/>
    </row>
    <row r="198" spans="1:113" ht="16.5" customHeight="1" x14ac:dyDescent="0.3">
      <c r="A198" t="s">
        <v>3761</v>
      </c>
      <c r="B198" t="s">
        <v>3778</v>
      </c>
      <c r="C198" s="105">
        <v>1661228</v>
      </c>
      <c r="D198" s="27">
        <v>192</v>
      </c>
      <c r="E198" s="28" t="s">
        <v>656</v>
      </c>
      <c r="F198" s="28">
        <v>1001142353</v>
      </c>
      <c r="G198" s="29" t="s">
        <v>1199</v>
      </c>
      <c r="H198" s="28">
        <v>1661228</v>
      </c>
      <c r="I198" s="29" t="s">
        <v>1200</v>
      </c>
      <c r="J198" s="28" t="s">
        <v>854</v>
      </c>
      <c r="K198" s="7"/>
      <c r="L198" s="104" t="s">
        <v>224</v>
      </c>
      <c r="M198" s="29" t="s">
        <v>172</v>
      </c>
      <c r="N198" s="29" t="s">
        <v>3799</v>
      </c>
      <c r="O198" s="127">
        <v>303357</v>
      </c>
      <c r="P198" s="113" t="s">
        <v>1317</v>
      </c>
      <c r="Q198" s="28" t="s">
        <v>3801</v>
      </c>
      <c r="R198" s="28" t="s">
        <v>1301</v>
      </c>
      <c r="S198" s="28" t="s">
        <v>1301</v>
      </c>
      <c r="T198" s="28" t="s">
        <v>1301</v>
      </c>
      <c r="U198" s="28" t="s">
        <v>1301</v>
      </c>
      <c r="V198" s="28" t="s">
        <v>1301</v>
      </c>
      <c r="W198" s="28" t="s">
        <v>1301</v>
      </c>
      <c r="X198" s="28" t="s">
        <v>1301</v>
      </c>
      <c r="Y198" s="28" t="s">
        <v>1301</v>
      </c>
      <c r="Z198" s="28" t="s">
        <v>1301</v>
      </c>
      <c r="AA198" s="28" t="s">
        <v>1301</v>
      </c>
      <c r="AB198" s="104" t="s">
        <v>663</v>
      </c>
      <c r="AC198" s="104" t="s">
        <v>1340</v>
      </c>
      <c r="AD198" s="9" t="s">
        <v>1269</v>
      </c>
      <c r="AE198" s="9"/>
      <c r="AF198" s="9" t="s">
        <v>3780</v>
      </c>
      <c r="AG198" s="34"/>
      <c r="AH198" s="9"/>
      <c r="AI198" s="9"/>
      <c r="AJ198" s="9"/>
      <c r="AK198" s="45" t="s">
        <v>46</v>
      </c>
      <c r="AL198" s="45" t="s">
        <v>46</v>
      </c>
      <c r="AM198" s="45" t="s">
        <v>46</v>
      </c>
      <c r="AN198" s="45" t="s">
        <v>46</v>
      </c>
      <c r="AO198" s="45" t="s">
        <v>46</v>
      </c>
      <c r="AP198" s="45" t="s">
        <v>46</v>
      </c>
      <c r="AQ198" s="45" t="s">
        <v>46</v>
      </c>
      <c r="AR198" s="45" t="s">
        <v>46</v>
      </c>
      <c r="AS198" s="45" t="s">
        <v>46</v>
      </c>
      <c r="AT198" s="45"/>
      <c r="AU198" s="45"/>
      <c r="AV198" s="45"/>
      <c r="AW198" s="9" t="s">
        <v>46</v>
      </c>
      <c r="AX198" s="9" t="s">
        <v>46</v>
      </c>
      <c r="AY198" s="9" t="s">
        <v>461</v>
      </c>
      <c r="AZ198" s="9" t="s">
        <v>46</v>
      </c>
      <c r="BA198" s="10" t="s">
        <v>2497</v>
      </c>
      <c r="BB198" s="29" t="s">
        <v>2567</v>
      </c>
      <c r="BC198" s="29" t="s">
        <v>1611</v>
      </c>
      <c r="BD198" s="29" t="s">
        <v>1611</v>
      </c>
      <c r="BE198" s="29" t="s">
        <v>2502</v>
      </c>
      <c r="BF198" s="29" t="s">
        <v>2503</v>
      </c>
      <c r="BG198" s="29" t="s">
        <v>2539</v>
      </c>
      <c r="BH198" s="29" t="s">
        <v>2540</v>
      </c>
      <c r="BI198" s="29" t="s">
        <v>130</v>
      </c>
      <c r="BJ198" s="29" t="s">
        <v>2850</v>
      </c>
      <c r="BK198" s="29" t="s">
        <v>2664</v>
      </c>
      <c r="BL198" s="29" t="s">
        <v>2665</v>
      </c>
      <c r="BM198" s="29" t="s">
        <v>1611</v>
      </c>
      <c r="BN198" s="29" t="s">
        <v>1611</v>
      </c>
      <c r="BO198" s="29" t="s">
        <v>1611</v>
      </c>
      <c r="BP198" s="29" t="s">
        <v>1611</v>
      </c>
      <c r="BQ198" s="29" t="s">
        <v>1611</v>
      </c>
      <c r="BR198" s="29" t="s">
        <v>1611</v>
      </c>
      <c r="BS198" s="29" t="s">
        <v>1611</v>
      </c>
      <c r="BT198" s="29" t="s">
        <v>1611</v>
      </c>
      <c r="BU198" s="29" t="s">
        <v>3763</v>
      </c>
      <c r="BV198" s="29" t="s">
        <v>2995</v>
      </c>
      <c r="BW198" s="29" t="s">
        <v>1611</v>
      </c>
      <c r="BX198" s="29" t="s">
        <v>1611</v>
      </c>
      <c r="BY198" s="29" t="s">
        <v>1611</v>
      </c>
      <c r="BZ198" s="29" t="s">
        <v>1611</v>
      </c>
      <c r="CA198" s="29" t="s">
        <v>1611</v>
      </c>
      <c r="CB198" s="29" t="s">
        <v>1611</v>
      </c>
      <c r="CC198" s="29" t="s">
        <v>1611</v>
      </c>
      <c r="CD198" s="29" t="s">
        <v>1611</v>
      </c>
      <c r="CE198" s="29" t="s">
        <v>1611</v>
      </c>
      <c r="CF198" s="29" t="s">
        <v>1611</v>
      </c>
      <c r="CG198" s="29" t="s">
        <v>1787</v>
      </c>
      <c r="CH198" s="29" t="s">
        <v>1905</v>
      </c>
      <c r="CI198" s="29" t="s">
        <v>1611</v>
      </c>
      <c r="CJ198" s="29" t="s">
        <v>1611</v>
      </c>
      <c r="CK198" s="29" t="s">
        <v>3802</v>
      </c>
      <c r="CL198" s="219" t="s">
        <v>3804</v>
      </c>
      <c r="CM198" s="29" t="s">
        <v>3803</v>
      </c>
      <c r="CN198" s="219" t="s">
        <v>3805</v>
      </c>
      <c r="CO198" s="29" t="s">
        <v>1611</v>
      </c>
      <c r="CP198" s="29" t="s">
        <v>1611</v>
      </c>
      <c r="CQ198" s="29" t="s">
        <v>1611</v>
      </c>
      <c r="CR198" s="29" t="s">
        <v>1611</v>
      </c>
      <c r="CS198" s="29" t="s">
        <v>1611</v>
      </c>
      <c r="CT198" s="29" t="s">
        <v>1611</v>
      </c>
      <c r="CU198" s="29" t="s">
        <v>1611</v>
      </c>
      <c r="CV198" s="29" t="s">
        <v>1611</v>
      </c>
      <c r="CW198" s="29"/>
      <c r="CX198" s="29"/>
      <c r="CY198" s="151"/>
      <c r="CZ198" t="s">
        <v>3624</v>
      </c>
      <c r="DA198" t="s">
        <v>3634</v>
      </c>
      <c r="DC198" s="96" t="s">
        <v>3700</v>
      </c>
      <c r="DD198" s="96" t="str">
        <f t="shared" si="2"/>
        <v/>
      </c>
      <c r="DF198" s="96" t="s">
        <v>46</v>
      </c>
      <c r="DI198" s="215"/>
    </row>
    <row r="199" spans="1:113" ht="16.5" customHeight="1" x14ac:dyDescent="0.3">
      <c r="C199" s="105">
        <v>1683852</v>
      </c>
      <c r="D199" s="27">
        <v>193</v>
      </c>
      <c r="E199" s="28" t="s">
        <v>792</v>
      </c>
      <c r="F199" s="28">
        <v>1000316257</v>
      </c>
      <c r="G199" s="29" t="s">
        <v>1202</v>
      </c>
      <c r="H199" s="28">
        <v>1683852</v>
      </c>
      <c r="I199" s="29" t="s">
        <v>1203</v>
      </c>
      <c r="J199" s="28" t="s">
        <v>659</v>
      </c>
      <c r="K199" s="7"/>
      <c r="L199" s="104" t="s">
        <v>684</v>
      </c>
      <c r="M199" s="29"/>
      <c r="N199" s="29"/>
      <c r="O199" s="127"/>
      <c r="P199" s="28"/>
      <c r="Q199" s="28"/>
      <c r="R199" s="28"/>
      <c r="S199" s="28"/>
      <c r="T199" s="28"/>
      <c r="U199" s="28"/>
      <c r="V199" s="28"/>
      <c r="W199" s="28"/>
      <c r="X199" s="28"/>
      <c r="Y199" s="28"/>
      <c r="Z199" s="28"/>
      <c r="AA199" s="28"/>
      <c r="AB199" s="104"/>
      <c r="AC199" s="104"/>
      <c r="AD199" s="9" t="s">
        <v>1269</v>
      </c>
      <c r="AE199" s="39">
        <v>45961</v>
      </c>
      <c r="AF199" s="9" t="s">
        <v>1276</v>
      </c>
      <c r="AG199" s="34" t="s">
        <v>2490</v>
      </c>
      <c r="AH199" s="9"/>
      <c r="AI199" s="9"/>
      <c r="AJ199" s="9"/>
      <c r="AK199" s="45"/>
      <c r="AL199" s="45" t="s">
        <v>1611</v>
      </c>
      <c r="AM199" s="45"/>
      <c r="AN199" s="45"/>
      <c r="AO199" s="45"/>
      <c r="AP199" s="45"/>
      <c r="AQ199" s="45"/>
      <c r="AR199" s="45"/>
      <c r="AS199" s="45"/>
      <c r="AT199" s="45"/>
      <c r="AU199" s="45"/>
      <c r="AV199" s="45"/>
      <c r="AW199" s="9"/>
      <c r="AX199" s="9"/>
      <c r="AY199" s="9"/>
      <c r="AZ199" s="9"/>
      <c r="BA199" s="10" t="s">
        <v>1611</v>
      </c>
      <c r="BB199" s="29" t="s">
        <v>1611</v>
      </c>
      <c r="BC199" s="29" t="s">
        <v>1611</v>
      </c>
      <c r="BD199" s="29" t="s">
        <v>1611</v>
      </c>
      <c r="BE199" s="29" t="s">
        <v>1611</v>
      </c>
      <c r="BF199" s="29" t="s">
        <v>1611</v>
      </c>
      <c r="BG199" s="29" t="s">
        <v>1611</v>
      </c>
      <c r="BH199" s="29" t="s">
        <v>1611</v>
      </c>
      <c r="BI199" s="29" t="s">
        <v>2740</v>
      </c>
      <c r="BJ199" s="29" t="s">
        <v>2741</v>
      </c>
      <c r="BK199" s="29" t="s">
        <v>191</v>
      </c>
      <c r="BL199" s="29" t="s">
        <v>2685</v>
      </c>
      <c r="BM199" s="29" t="s">
        <v>1611</v>
      </c>
      <c r="BN199" s="29" t="s">
        <v>1611</v>
      </c>
      <c r="BO199" s="29" t="s">
        <v>1611</v>
      </c>
      <c r="BP199" s="29" t="s">
        <v>1611</v>
      </c>
      <c r="BQ199" s="29" t="s">
        <v>1611</v>
      </c>
      <c r="BR199" s="29" t="s">
        <v>1611</v>
      </c>
      <c r="BS199" s="29" t="s">
        <v>1611</v>
      </c>
      <c r="BT199" s="29" t="s">
        <v>1611</v>
      </c>
      <c r="BU199" s="29" t="s">
        <v>2389</v>
      </c>
      <c r="BV199" s="29" t="s">
        <v>2437</v>
      </c>
      <c r="BW199" s="29" t="s">
        <v>1611</v>
      </c>
      <c r="BX199" s="29" t="s">
        <v>1611</v>
      </c>
      <c r="BY199" s="29" t="s">
        <v>1611</v>
      </c>
      <c r="BZ199" s="29" t="s">
        <v>1611</v>
      </c>
      <c r="CA199" s="29" t="s">
        <v>1611</v>
      </c>
      <c r="CB199" s="29" t="s">
        <v>1611</v>
      </c>
      <c r="CC199" s="29" t="s">
        <v>1611</v>
      </c>
      <c r="CD199" s="29" t="s">
        <v>1611</v>
      </c>
      <c r="CE199" s="29" t="s">
        <v>1611</v>
      </c>
      <c r="CF199" s="29" t="s">
        <v>1611</v>
      </c>
      <c r="CG199" s="29" t="s">
        <v>1788</v>
      </c>
      <c r="CH199" s="29" t="s">
        <v>1906</v>
      </c>
      <c r="CI199" s="29" t="s">
        <v>1611</v>
      </c>
      <c r="CJ199" s="29" t="s">
        <v>1611</v>
      </c>
      <c r="CK199" s="29" t="s">
        <v>1611</v>
      </c>
      <c r="CL199" s="29" t="s">
        <v>1611</v>
      </c>
      <c r="CM199" s="29" t="s">
        <v>1611</v>
      </c>
      <c r="CN199" s="29" t="s">
        <v>1611</v>
      </c>
      <c r="CO199" s="29" t="s">
        <v>1611</v>
      </c>
      <c r="CP199" s="29" t="s">
        <v>1611</v>
      </c>
      <c r="CQ199" s="29" t="s">
        <v>1611</v>
      </c>
      <c r="CR199" s="29" t="s">
        <v>1611</v>
      </c>
      <c r="CS199" s="29" t="s">
        <v>1611</v>
      </c>
      <c r="CT199" s="29" t="s">
        <v>1611</v>
      </c>
      <c r="CU199" s="29" t="s">
        <v>1611</v>
      </c>
      <c r="CV199" s="29" t="s">
        <v>1611</v>
      </c>
      <c r="CW199" s="29"/>
      <c r="CX199" s="29"/>
      <c r="CY199" s="151"/>
      <c r="CZ199" t="e">
        <v>#N/A</v>
      </c>
      <c r="DA199" t="e">
        <v>#N/A</v>
      </c>
      <c r="DD199" s="96" t="str">
        <f t="shared" si="2"/>
        <v>V</v>
      </c>
      <c r="DI199" s="215"/>
    </row>
    <row r="200" spans="1:113" ht="16.5" customHeight="1" x14ac:dyDescent="0.3">
      <c r="C200" s="105">
        <v>1685786</v>
      </c>
      <c r="D200" s="27">
        <v>194</v>
      </c>
      <c r="E200" s="28" t="s">
        <v>786</v>
      </c>
      <c r="F200" s="28">
        <v>1001302399</v>
      </c>
      <c r="G200" s="29" t="s">
        <v>1205</v>
      </c>
      <c r="H200" s="28">
        <v>1685786</v>
      </c>
      <c r="I200" s="29" t="s">
        <v>1206</v>
      </c>
      <c r="J200" s="28" t="s">
        <v>854</v>
      </c>
      <c r="K200" s="7"/>
      <c r="L200" s="104" t="s">
        <v>734</v>
      </c>
      <c r="M200" s="29"/>
      <c r="N200" s="29"/>
      <c r="O200" s="127"/>
      <c r="P200" s="28"/>
      <c r="Q200" s="28"/>
      <c r="R200" s="28"/>
      <c r="S200" s="28"/>
      <c r="T200" s="28"/>
      <c r="U200" s="28"/>
      <c r="V200" s="28"/>
      <c r="W200" s="28"/>
      <c r="X200" s="28"/>
      <c r="Y200" s="28"/>
      <c r="Z200" s="28"/>
      <c r="AA200" s="28"/>
      <c r="AB200" s="104"/>
      <c r="AC200" s="104"/>
      <c r="AD200" s="9" t="s">
        <v>1269</v>
      </c>
      <c r="AE200" s="39">
        <v>46010</v>
      </c>
      <c r="AF200" s="9" t="s">
        <v>1276</v>
      </c>
      <c r="AG200" s="34" t="s">
        <v>3511</v>
      </c>
      <c r="AH200" s="9"/>
      <c r="AI200" s="9"/>
      <c r="AJ200" s="9"/>
      <c r="AK200" s="45"/>
      <c r="AL200" s="45" t="s">
        <v>1611</v>
      </c>
      <c r="AM200" s="45"/>
      <c r="AN200" s="45"/>
      <c r="AO200" s="45"/>
      <c r="AP200" s="45"/>
      <c r="AQ200" s="45"/>
      <c r="AR200" s="45"/>
      <c r="AS200" s="45"/>
      <c r="AT200" s="45"/>
      <c r="AU200" s="45"/>
      <c r="AV200" s="45"/>
      <c r="AW200" s="9"/>
      <c r="AX200" s="9"/>
      <c r="AY200" s="9"/>
      <c r="AZ200" s="9"/>
      <c r="BA200" s="10" t="s">
        <v>2497</v>
      </c>
      <c r="BB200" s="29" t="s">
        <v>2567</v>
      </c>
      <c r="BC200" s="29" t="s">
        <v>1611</v>
      </c>
      <c r="BD200" s="29" t="s">
        <v>1611</v>
      </c>
      <c r="BE200" s="29" t="s">
        <v>2514</v>
      </c>
      <c r="BF200" s="29" t="s">
        <v>2515</v>
      </c>
      <c r="BG200" s="29" t="s">
        <v>1762</v>
      </c>
      <c r="BH200" s="29" t="s">
        <v>2504</v>
      </c>
      <c r="BI200" s="29" t="s">
        <v>2638</v>
      </c>
      <c r="BJ200" s="29" t="s">
        <v>2639</v>
      </c>
      <c r="BK200" s="29" t="s">
        <v>329</v>
      </c>
      <c r="BL200" s="29" t="s">
        <v>2591</v>
      </c>
      <c r="BM200" s="29" t="s">
        <v>1611</v>
      </c>
      <c r="BN200" s="29" t="s">
        <v>1611</v>
      </c>
      <c r="BO200" s="29" t="s">
        <v>1611</v>
      </c>
      <c r="BP200" s="29" t="s">
        <v>1611</v>
      </c>
      <c r="BQ200" s="29" t="s">
        <v>1611</v>
      </c>
      <c r="BR200" s="29" t="s">
        <v>1611</v>
      </c>
      <c r="BS200" s="29" t="s">
        <v>1611</v>
      </c>
      <c r="BT200" s="29" t="s">
        <v>1611</v>
      </c>
      <c r="BU200" s="29" t="s">
        <v>2362</v>
      </c>
      <c r="BV200" s="29" t="s">
        <v>2404</v>
      </c>
      <c r="BW200" s="29" t="s">
        <v>1611</v>
      </c>
      <c r="BX200" s="29" t="s">
        <v>1611</v>
      </c>
      <c r="BY200" s="29" t="s">
        <v>1611</v>
      </c>
      <c r="BZ200" s="29" t="s">
        <v>1611</v>
      </c>
      <c r="CA200" s="29" t="s">
        <v>1611</v>
      </c>
      <c r="CB200" s="29" t="s">
        <v>1611</v>
      </c>
      <c r="CC200" s="29" t="s">
        <v>1611</v>
      </c>
      <c r="CD200" s="29" t="s">
        <v>1611</v>
      </c>
      <c r="CE200" s="29" t="s">
        <v>1611</v>
      </c>
      <c r="CF200" s="29" t="s">
        <v>1611</v>
      </c>
      <c r="CG200" s="29" t="s">
        <v>1789</v>
      </c>
      <c r="CH200" s="29" t="s">
        <v>1907</v>
      </c>
      <c r="CI200" s="29" t="s">
        <v>1611</v>
      </c>
      <c r="CJ200" s="29" t="s">
        <v>1611</v>
      </c>
      <c r="CK200" s="29" t="s">
        <v>1611</v>
      </c>
      <c r="CL200" s="29" t="s">
        <v>1611</v>
      </c>
      <c r="CM200" s="29" t="s">
        <v>1611</v>
      </c>
      <c r="CN200" s="29" t="s">
        <v>1611</v>
      </c>
      <c r="CO200" s="29" t="s">
        <v>1611</v>
      </c>
      <c r="CP200" s="29" t="s">
        <v>1611</v>
      </c>
      <c r="CQ200" s="29" t="s">
        <v>1611</v>
      </c>
      <c r="CR200" s="29" t="s">
        <v>1611</v>
      </c>
      <c r="CS200" s="29" t="s">
        <v>1611</v>
      </c>
      <c r="CT200" s="29" t="s">
        <v>1611</v>
      </c>
      <c r="CU200" s="29" t="s">
        <v>1611</v>
      </c>
      <c r="CV200" s="29" t="s">
        <v>1611</v>
      </c>
      <c r="CW200" s="29"/>
      <c r="CX200" s="29"/>
      <c r="CY200" s="151"/>
      <c r="CZ200" t="e">
        <v>#N/A</v>
      </c>
      <c r="DA200" t="e">
        <v>#N/A</v>
      </c>
      <c r="DD200" s="96" t="str">
        <f t="shared" ref="DD200:DD238" si="3">IF(AF200="제외요청", "V","")</f>
        <v>V</v>
      </c>
      <c r="DI200" s="215"/>
    </row>
    <row r="201" spans="1:113" ht="16.5" customHeight="1" x14ac:dyDescent="0.3">
      <c r="C201" s="105">
        <v>1706226</v>
      </c>
      <c r="D201" s="27">
        <v>195</v>
      </c>
      <c r="E201" s="28" t="s">
        <v>784</v>
      </c>
      <c r="F201" s="28">
        <v>1001248071</v>
      </c>
      <c r="G201" s="29" t="s">
        <v>1207</v>
      </c>
      <c r="H201" s="28">
        <v>1706226</v>
      </c>
      <c r="I201" s="29" t="s">
        <v>1208</v>
      </c>
      <c r="J201" s="28"/>
      <c r="K201" s="7"/>
      <c r="L201" s="104"/>
      <c r="M201" s="29"/>
      <c r="N201" s="29"/>
      <c r="O201" s="127"/>
      <c r="P201" s="28"/>
      <c r="Q201" s="28"/>
      <c r="R201" s="28"/>
      <c r="S201" s="28"/>
      <c r="T201" s="28"/>
      <c r="U201" s="28"/>
      <c r="V201" s="28"/>
      <c r="W201" s="28"/>
      <c r="X201" s="28"/>
      <c r="Y201" s="28"/>
      <c r="Z201" s="28"/>
      <c r="AA201" s="28"/>
      <c r="AB201" s="104"/>
      <c r="AC201" s="104"/>
      <c r="AD201" s="9" t="s">
        <v>1269</v>
      </c>
      <c r="AE201" s="39">
        <v>45960</v>
      </c>
      <c r="AF201" s="9" t="s">
        <v>1276</v>
      </c>
      <c r="AG201" s="34" t="s">
        <v>2489</v>
      </c>
      <c r="AH201" s="9"/>
      <c r="AI201" s="9"/>
      <c r="AJ201" s="9"/>
      <c r="AK201" s="45"/>
      <c r="AL201" s="45" t="s">
        <v>1611</v>
      </c>
      <c r="AM201" s="45"/>
      <c r="AN201" s="45"/>
      <c r="AO201" s="45"/>
      <c r="AP201" s="45"/>
      <c r="AQ201" s="45"/>
      <c r="AR201" s="45"/>
      <c r="AS201" s="45"/>
      <c r="AT201" s="45"/>
      <c r="AU201" s="45"/>
      <c r="AV201" s="45"/>
      <c r="AW201" s="9"/>
      <c r="AX201" s="9"/>
      <c r="AY201" s="9"/>
      <c r="AZ201" s="9"/>
      <c r="BA201" s="10" t="s">
        <v>2497</v>
      </c>
      <c r="BB201" s="29" t="s">
        <v>2567</v>
      </c>
      <c r="BC201" s="29" t="s">
        <v>1611</v>
      </c>
      <c r="BD201" s="29" t="s">
        <v>1611</v>
      </c>
      <c r="BE201" s="29" t="s">
        <v>2502</v>
      </c>
      <c r="BF201" s="29" t="s">
        <v>2503</v>
      </c>
      <c r="BG201" s="29" t="s">
        <v>2599</v>
      </c>
      <c r="BH201" s="29" t="s">
        <v>2600</v>
      </c>
      <c r="BI201" s="29" t="s">
        <v>102</v>
      </c>
      <c r="BJ201" s="29" t="s">
        <v>2780</v>
      </c>
      <c r="BK201" s="29" t="s">
        <v>2638</v>
      </c>
      <c r="BL201" s="29" t="s">
        <v>2639</v>
      </c>
      <c r="BM201" s="29" t="s">
        <v>1611</v>
      </c>
      <c r="BN201" s="29" t="s">
        <v>1611</v>
      </c>
      <c r="BO201" s="29" t="s">
        <v>1611</v>
      </c>
      <c r="BP201" s="29" t="s">
        <v>1611</v>
      </c>
      <c r="BQ201" s="29" t="s">
        <v>1611</v>
      </c>
      <c r="BR201" s="29" t="s">
        <v>1611</v>
      </c>
      <c r="BS201" s="29" t="s">
        <v>1611</v>
      </c>
      <c r="BT201" s="29" t="s">
        <v>1611</v>
      </c>
      <c r="BU201" s="29" t="s">
        <v>2390</v>
      </c>
      <c r="BV201" s="29" t="s">
        <v>2438</v>
      </c>
      <c r="BW201" s="29" t="s">
        <v>1611</v>
      </c>
      <c r="BX201" s="29" t="s">
        <v>1611</v>
      </c>
      <c r="BY201" s="29" t="s">
        <v>1611</v>
      </c>
      <c r="BZ201" s="29" t="s">
        <v>1611</v>
      </c>
      <c r="CA201" s="29" t="s">
        <v>1611</v>
      </c>
      <c r="CB201" s="29" t="s">
        <v>1611</v>
      </c>
      <c r="CC201" s="29" t="s">
        <v>1611</v>
      </c>
      <c r="CD201" s="29" t="s">
        <v>1611</v>
      </c>
      <c r="CE201" s="29" t="s">
        <v>1611</v>
      </c>
      <c r="CF201" s="29" t="s">
        <v>1611</v>
      </c>
      <c r="CG201" s="29" t="s">
        <v>1790</v>
      </c>
      <c r="CH201" s="29" t="s">
        <v>1908</v>
      </c>
      <c r="CI201" s="29" t="s">
        <v>1611</v>
      </c>
      <c r="CJ201" s="29" t="s">
        <v>1611</v>
      </c>
      <c r="CK201" s="29" t="s">
        <v>1611</v>
      </c>
      <c r="CL201" s="29" t="s">
        <v>1611</v>
      </c>
      <c r="CM201" s="29" t="s">
        <v>1611</v>
      </c>
      <c r="CN201" s="29" t="s">
        <v>1611</v>
      </c>
      <c r="CO201" s="29" t="s">
        <v>1611</v>
      </c>
      <c r="CP201" s="29" t="s">
        <v>1611</v>
      </c>
      <c r="CQ201" s="29" t="s">
        <v>1611</v>
      </c>
      <c r="CR201" s="29" t="s">
        <v>1611</v>
      </c>
      <c r="CS201" s="29" t="s">
        <v>1611</v>
      </c>
      <c r="CT201" s="29" t="s">
        <v>1611</v>
      </c>
      <c r="CU201" s="29" t="s">
        <v>1611</v>
      </c>
      <c r="CV201" s="29" t="s">
        <v>1611</v>
      </c>
      <c r="CW201" s="29"/>
      <c r="CX201" s="29"/>
      <c r="CY201" s="151"/>
      <c r="CZ201" t="e">
        <v>#N/A</v>
      </c>
      <c r="DA201" t="e">
        <v>#N/A</v>
      </c>
      <c r="DD201" s="96" t="str">
        <f t="shared" si="3"/>
        <v>V</v>
      </c>
      <c r="DI201" s="215"/>
    </row>
    <row r="202" spans="1:113" ht="16.5" customHeight="1" x14ac:dyDescent="0.3">
      <c r="A202" t="s">
        <v>3762</v>
      </c>
      <c r="B202" t="s">
        <v>3778</v>
      </c>
      <c r="C202" s="105">
        <v>1686025</v>
      </c>
      <c r="D202" s="27">
        <v>196</v>
      </c>
      <c r="E202" s="28" t="s">
        <v>822</v>
      </c>
      <c r="F202" s="28">
        <v>1000317500</v>
      </c>
      <c r="G202" s="29" t="s">
        <v>1211</v>
      </c>
      <c r="H202" s="28">
        <v>1686025</v>
      </c>
      <c r="I202" s="29" t="s">
        <v>1212</v>
      </c>
      <c r="J202" s="28" t="s">
        <v>659</v>
      </c>
      <c r="K202" s="7"/>
      <c r="L202" s="104" t="s">
        <v>767</v>
      </c>
      <c r="M202" s="29" t="s">
        <v>3793</v>
      </c>
      <c r="N202" s="29" t="s">
        <v>3794</v>
      </c>
      <c r="O202" s="127">
        <v>1485600</v>
      </c>
      <c r="P202" s="28" t="s">
        <v>3790</v>
      </c>
      <c r="Q202" s="28" t="s">
        <v>612</v>
      </c>
      <c r="R202" s="28" t="s">
        <v>3791</v>
      </c>
      <c r="S202" s="28" t="s">
        <v>3792</v>
      </c>
      <c r="T202" s="28" t="s">
        <v>3791</v>
      </c>
      <c r="U202" s="28" t="s">
        <v>612</v>
      </c>
      <c r="V202" s="28" t="s">
        <v>1301</v>
      </c>
      <c r="W202" s="28" t="s">
        <v>1301</v>
      </c>
      <c r="X202" s="28" t="s">
        <v>1301</v>
      </c>
      <c r="Y202" s="28" t="s">
        <v>1301</v>
      </c>
      <c r="Z202" s="28" t="s">
        <v>1301</v>
      </c>
      <c r="AA202" s="28" t="s">
        <v>1301</v>
      </c>
      <c r="AB202" s="104" t="s">
        <v>663</v>
      </c>
      <c r="AC202" s="104" t="s">
        <v>1340</v>
      </c>
      <c r="AD202" s="9" t="s">
        <v>1269</v>
      </c>
      <c r="AE202" s="9"/>
      <c r="AF202" s="9"/>
      <c r="AG202" s="34"/>
      <c r="AH202" s="9"/>
      <c r="AI202" s="9"/>
      <c r="AJ202" s="9" t="s">
        <v>46</v>
      </c>
      <c r="AK202" s="45"/>
      <c r="AL202" s="9" t="s">
        <v>2491</v>
      </c>
      <c r="AM202" s="9" t="s">
        <v>46</v>
      </c>
      <c r="AN202" s="9" t="s">
        <v>46</v>
      </c>
      <c r="AO202" s="9" t="s">
        <v>46</v>
      </c>
      <c r="AP202" s="9" t="s">
        <v>46</v>
      </c>
      <c r="AQ202" s="9" t="s">
        <v>46</v>
      </c>
      <c r="AR202" s="9" t="s">
        <v>46</v>
      </c>
      <c r="AS202" s="9" t="s">
        <v>46</v>
      </c>
      <c r="AT202" s="45"/>
      <c r="AU202" s="45"/>
      <c r="AV202" s="45"/>
      <c r="AW202" s="9" t="s">
        <v>461</v>
      </c>
      <c r="AX202" s="9" t="s">
        <v>46</v>
      </c>
      <c r="AY202" s="9" t="s">
        <v>46</v>
      </c>
      <c r="AZ202" s="9" t="s">
        <v>46</v>
      </c>
      <c r="BA202" s="10" t="s">
        <v>1611</v>
      </c>
      <c r="BB202" s="29" t="s">
        <v>1611</v>
      </c>
      <c r="BC202" s="29" t="s">
        <v>1611</v>
      </c>
      <c r="BD202" s="29" t="s">
        <v>1611</v>
      </c>
      <c r="BE202" s="29" t="s">
        <v>1611</v>
      </c>
      <c r="BF202" s="29" t="s">
        <v>1611</v>
      </c>
      <c r="BG202" s="29" t="s">
        <v>1611</v>
      </c>
      <c r="BH202" s="29" t="s">
        <v>1611</v>
      </c>
      <c r="BI202" s="29" t="s">
        <v>2584</v>
      </c>
      <c r="BJ202" s="29" t="s">
        <v>2876</v>
      </c>
      <c r="BK202" s="29" t="s">
        <v>140</v>
      </c>
      <c r="BL202" s="29" t="s">
        <v>2674</v>
      </c>
      <c r="BM202" s="29" t="s">
        <v>1611</v>
      </c>
      <c r="BN202" s="29" t="s">
        <v>1611</v>
      </c>
      <c r="BO202" s="29" t="s">
        <v>1611</v>
      </c>
      <c r="BP202" s="29" t="s">
        <v>1611</v>
      </c>
      <c r="BQ202" s="29" t="s">
        <v>1611</v>
      </c>
      <c r="BR202" s="29" t="s">
        <v>1611</v>
      </c>
      <c r="BS202" s="29" t="s">
        <v>1611</v>
      </c>
      <c r="BT202" s="29" t="s">
        <v>1611</v>
      </c>
      <c r="BU202" s="29" t="s">
        <v>2366</v>
      </c>
      <c r="BV202" s="29" t="s">
        <v>2409</v>
      </c>
      <c r="BW202" s="29" t="s">
        <v>1611</v>
      </c>
      <c r="BX202" s="29" t="s">
        <v>1611</v>
      </c>
      <c r="BY202" s="29" t="s">
        <v>1611</v>
      </c>
      <c r="BZ202" s="29" t="s">
        <v>1611</v>
      </c>
      <c r="CA202" s="29" t="s">
        <v>1611</v>
      </c>
      <c r="CB202" s="29" t="s">
        <v>1611</v>
      </c>
      <c r="CC202" s="29" t="s">
        <v>1611</v>
      </c>
      <c r="CD202" s="29" t="s">
        <v>1611</v>
      </c>
      <c r="CE202" s="29" t="s">
        <v>1611</v>
      </c>
      <c r="CF202" s="29" t="s">
        <v>1611</v>
      </c>
      <c r="CG202" s="29" t="s">
        <v>3581</v>
      </c>
      <c r="CH202" s="29" t="s">
        <v>1909</v>
      </c>
      <c r="CI202" s="29" t="s">
        <v>1611</v>
      </c>
      <c r="CJ202" s="29" t="s">
        <v>1611</v>
      </c>
      <c r="CK202" s="29" t="s">
        <v>3795</v>
      </c>
      <c r="CL202" s="29" t="s">
        <v>3796</v>
      </c>
      <c r="CM202" s="29" t="s">
        <v>1611</v>
      </c>
      <c r="CN202" s="29" t="s">
        <v>1611</v>
      </c>
      <c r="CO202" s="29" t="s">
        <v>1611</v>
      </c>
      <c r="CP202" s="29" t="s">
        <v>1611</v>
      </c>
      <c r="CQ202" s="29" t="s">
        <v>1611</v>
      </c>
      <c r="CR202" s="29" t="s">
        <v>1611</v>
      </c>
      <c r="CS202" s="29" t="s">
        <v>1611</v>
      </c>
      <c r="CT202" s="29" t="s">
        <v>1611</v>
      </c>
      <c r="CU202" s="29" t="s">
        <v>1611</v>
      </c>
      <c r="CV202" s="29" t="s">
        <v>1611</v>
      </c>
      <c r="CW202" s="29"/>
      <c r="CX202" s="29"/>
      <c r="CY202" s="151"/>
      <c r="CZ202" t="s">
        <v>3625</v>
      </c>
      <c r="DA202" t="s">
        <v>3634</v>
      </c>
      <c r="DD202" s="96" t="str">
        <f t="shared" si="3"/>
        <v/>
      </c>
      <c r="DF202" s="96" t="s">
        <v>3753</v>
      </c>
      <c r="DI202" s="215"/>
    </row>
    <row r="203" spans="1:113" ht="16.5" customHeight="1" x14ac:dyDescent="0.3">
      <c r="C203" s="105">
        <v>1685025</v>
      </c>
      <c r="D203" s="27">
        <v>197</v>
      </c>
      <c r="E203" s="28" t="s">
        <v>784</v>
      </c>
      <c r="F203" s="28">
        <v>1000506689</v>
      </c>
      <c r="G203" s="29" t="s">
        <v>1213</v>
      </c>
      <c r="H203" s="28">
        <v>1685025</v>
      </c>
      <c r="I203" s="29" t="s">
        <v>1214</v>
      </c>
      <c r="J203" s="28" t="s">
        <v>659</v>
      </c>
      <c r="K203" s="7"/>
      <c r="L203" s="104" t="s">
        <v>768</v>
      </c>
      <c r="M203" s="29" t="s">
        <v>2288</v>
      </c>
      <c r="N203" s="29" t="s">
        <v>2289</v>
      </c>
      <c r="O203" s="127">
        <v>63675125</v>
      </c>
      <c r="P203" s="113" t="s">
        <v>1317</v>
      </c>
      <c r="Q203" s="28" t="s">
        <v>612</v>
      </c>
      <c r="R203" s="28" t="s">
        <v>1301</v>
      </c>
      <c r="S203" s="28" t="s">
        <v>1301</v>
      </c>
      <c r="T203" s="28" t="s">
        <v>1301</v>
      </c>
      <c r="U203" s="28" t="s">
        <v>1301</v>
      </c>
      <c r="V203" s="28" t="s">
        <v>1301</v>
      </c>
      <c r="W203" s="28" t="s">
        <v>1301</v>
      </c>
      <c r="X203" s="28" t="s">
        <v>1301</v>
      </c>
      <c r="Y203" s="28" t="s">
        <v>1301</v>
      </c>
      <c r="Z203" s="28" t="s">
        <v>1301</v>
      </c>
      <c r="AA203" s="28" t="s">
        <v>1301</v>
      </c>
      <c r="AB203" s="104" t="s">
        <v>663</v>
      </c>
      <c r="AC203" s="104" t="s">
        <v>1340</v>
      </c>
      <c r="AD203" s="9" t="s">
        <v>1269</v>
      </c>
      <c r="AE203" s="9"/>
      <c r="AF203" s="9"/>
      <c r="AG203" s="34"/>
      <c r="AH203" s="9"/>
      <c r="AI203" s="45" t="s">
        <v>461</v>
      </c>
      <c r="AJ203" s="9"/>
      <c r="AK203" s="45"/>
      <c r="AL203" s="45" t="s">
        <v>461</v>
      </c>
      <c r="AM203" s="45" t="s">
        <v>461</v>
      </c>
      <c r="AN203" s="45" t="s">
        <v>461</v>
      </c>
      <c r="AO203" s="45" t="s">
        <v>461</v>
      </c>
      <c r="AP203" s="45" t="s">
        <v>461</v>
      </c>
      <c r="AQ203" s="45" t="s">
        <v>461</v>
      </c>
      <c r="AR203" s="45" t="s">
        <v>461</v>
      </c>
      <c r="AS203" s="45" t="s">
        <v>461</v>
      </c>
      <c r="AT203" s="45"/>
      <c r="AU203" s="45"/>
      <c r="AV203" s="45"/>
      <c r="AW203" s="9"/>
      <c r="AX203" s="9"/>
      <c r="AY203" s="9"/>
      <c r="AZ203" s="9"/>
      <c r="BA203" s="10" t="s">
        <v>1611</v>
      </c>
      <c r="BB203" s="29" t="s">
        <v>1611</v>
      </c>
      <c r="BC203" s="29" t="s">
        <v>1611</v>
      </c>
      <c r="BD203" s="29" t="s">
        <v>1611</v>
      </c>
      <c r="BE203" s="29" t="s">
        <v>1611</v>
      </c>
      <c r="BF203" s="29" t="s">
        <v>1611</v>
      </c>
      <c r="BG203" s="29" t="s">
        <v>1611</v>
      </c>
      <c r="BH203" s="29" t="s">
        <v>1611</v>
      </c>
      <c r="BI203" s="29" t="s">
        <v>2806</v>
      </c>
      <c r="BJ203" s="29" t="s">
        <v>2807</v>
      </c>
      <c r="BK203" s="29" t="s">
        <v>2577</v>
      </c>
      <c r="BL203" s="29" t="s">
        <v>2578</v>
      </c>
      <c r="BM203" s="29" t="s">
        <v>1611</v>
      </c>
      <c r="BN203" s="29" t="s">
        <v>1611</v>
      </c>
      <c r="BO203" s="29" t="s">
        <v>1611</v>
      </c>
      <c r="BP203" s="29" t="s">
        <v>1611</v>
      </c>
      <c r="BQ203" s="29" t="s">
        <v>1611</v>
      </c>
      <c r="BR203" s="29" t="s">
        <v>1611</v>
      </c>
      <c r="BS203" s="29" t="s">
        <v>1611</v>
      </c>
      <c r="BT203" s="29" t="s">
        <v>1611</v>
      </c>
      <c r="BU203" s="29" t="s">
        <v>41</v>
      </c>
      <c r="BV203" s="29" t="s">
        <v>2581</v>
      </c>
      <c r="BW203" s="29" t="s">
        <v>1611</v>
      </c>
      <c r="BX203" s="29" t="s">
        <v>1611</v>
      </c>
      <c r="BY203" s="29" t="s">
        <v>1611</v>
      </c>
      <c r="BZ203" s="29" t="s">
        <v>1611</v>
      </c>
      <c r="CA203" s="29" t="s">
        <v>1611</v>
      </c>
      <c r="CB203" s="29" t="s">
        <v>1611</v>
      </c>
      <c r="CC203" s="29" t="s">
        <v>1611</v>
      </c>
      <c r="CD203" s="29" t="s">
        <v>1611</v>
      </c>
      <c r="CE203" s="29" t="s">
        <v>1611</v>
      </c>
      <c r="CF203" s="29" t="s">
        <v>1611</v>
      </c>
      <c r="CG203" s="29" t="s">
        <v>1776</v>
      </c>
      <c r="CH203" s="29" t="s">
        <v>1894</v>
      </c>
      <c r="CI203" s="29" t="s">
        <v>1611</v>
      </c>
      <c r="CJ203" s="29" t="s">
        <v>1611</v>
      </c>
      <c r="CK203" s="29" t="s">
        <v>2979</v>
      </c>
      <c r="CL203" s="29" t="s">
        <v>2980</v>
      </c>
      <c r="CM203" s="29" t="s">
        <v>1611</v>
      </c>
      <c r="CN203" s="29" t="s">
        <v>1611</v>
      </c>
      <c r="CO203" s="29" t="s">
        <v>1611</v>
      </c>
      <c r="CP203" s="29" t="s">
        <v>1611</v>
      </c>
      <c r="CQ203" s="29" t="s">
        <v>1611</v>
      </c>
      <c r="CR203" s="29" t="s">
        <v>1611</v>
      </c>
      <c r="CS203" s="29" t="s">
        <v>1611</v>
      </c>
      <c r="CT203" s="29" t="s">
        <v>1611</v>
      </c>
      <c r="CU203" s="29" t="s">
        <v>1611</v>
      </c>
      <c r="CV203" s="29" t="s">
        <v>1611</v>
      </c>
      <c r="CW203" s="29"/>
      <c r="CX203" s="29"/>
      <c r="CY203" s="151"/>
      <c r="CZ203" t="s">
        <v>3306</v>
      </c>
      <c r="DA203" t="s">
        <v>3634</v>
      </c>
      <c r="DD203" s="96" t="str">
        <f t="shared" si="3"/>
        <v/>
      </c>
      <c r="DF203" s="96" t="s">
        <v>3753</v>
      </c>
      <c r="DI203" s="215"/>
    </row>
    <row r="204" spans="1:113" ht="16.5" customHeight="1" x14ac:dyDescent="0.3">
      <c r="C204" s="105">
        <v>1686126</v>
      </c>
      <c r="D204" s="27">
        <v>198</v>
      </c>
      <c r="E204" s="28" t="s">
        <v>786</v>
      </c>
      <c r="F204" s="28">
        <v>1001163728</v>
      </c>
      <c r="G204" s="29" t="s">
        <v>1215</v>
      </c>
      <c r="H204" s="28">
        <v>1686126</v>
      </c>
      <c r="I204" s="29" t="s">
        <v>1216</v>
      </c>
      <c r="J204" s="28" t="s">
        <v>429</v>
      </c>
      <c r="K204" s="7"/>
      <c r="L204" s="104" t="s">
        <v>706</v>
      </c>
      <c r="M204" s="29"/>
      <c r="N204" s="29"/>
      <c r="O204" s="127"/>
      <c r="P204" s="28"/>
      <c r="Q204" s="28"/>
      <c r="R204" s="28"/>
      <c r="S204" s="28"/>
      <c r="T204" s="28"/>
      <c r="U204" s="28"/>
      <c r="V204" s="28"/>
      <c r="W204" s="28"/>
      <c r="X204" s="28"/>
      <c r="Y204" s="28"/>
      <c r="Z204" s="28"/>
      <c r="AA204" s="28"/>
      <c r="AB204" s="104"/>
      <c r="AC204" s="104"/>
      <c r="AD204" s="9" t="s">
        <v>1269</v>
      </c>
      <c r="AE204" s="39">
        <v>45910</v>
      </c>
      <c r="AF204" s="9" t="s">
        <v>1276</v>
      </c>
      <c r="AG204" s="34" t="s">
        <v>1958</v>
      </c>
      <c r="AH204" s="9"/>
      <c r="AI204" s="9"/>
      <c r="AJ204" s="9"/>
      <c r="AK204" s="45"/>
      <c r="AL204" s="45" t="s">
        <v>1611</v>
      </c>
      <c r="AM204" s="45"/>
      <c r="AN204" s="45"/>
      <c r="AO204" s="45"/>
      <c r="AP204" s="45"/>
      <c r="AQ204" s="45"/>
      <c r="AR204" s="45"/>
      <c r="AS204" s="45"/>
      <c r="AT204" s="45"/>
      <c r="AU204" s="45"/>
      <c r="AV204" s="45"/>
      <c r="AW204" s="9"/>
      <c r="AX204" s="9"/>
      <c r="AY204" s="9"/>
      <c r="AZ204" s="9"/>
      <c r="BA204" s="10" t="s">
        <v>70</v>
      </c>
      <c r="BB204" s="29" t="s">
        <v>2616</v>
      </c>
      <c r="BC204" s="29" t="s">
        <v>1611</v>
      </c>
      <c r="BD204" s="29" t="s">
        <v>1611</v>
      </c>
      <c r="BE204" s="29" t="s">
        <v>1611</v>
      </c>
      <c r="BF204" s="29" t="s">
        <v>1611</v>
      </c>
      <c r="BG204" s="29" t="s">
        <v>2721</v>
      </c>
      <c r="BH204" s="29" t="s">
        <v>2722</v>
      </c>
      <c r="BI204" s="29" t="s">
        <v>2883</v>
      </c>
      <c r="BJ204" s="29" t="s">
        <v>2884</v>
      </c>
      <c r="BK204" s="29" t="s">
        <v>231</v>
      </c>
      <c r="BL204" s="29" t="s">
        <v>2682</v>
      </c>
      <c r="BM204" s="29" t="s">
        <v>1611</v>
      </c>
      <c r="BN204" s="29" t="s">
        <v>1611</v>
      </c>
      <c r="BO204" s="29" t="s">
        <v>1611</v>
      </c>
      <c r="BP204" s="29" t="s">
        <v>1611</v>
      </c>
      <c r="BQ204" s="29" t="s">
        <v>1611</v>
      </c>
      <c r="BR204" s="29" t="s">
        <v>1611</v>
      </c>
      <c r="BS204" s="29" t="s">
        <v>1611</v>
      </c>
      <c r="BT204" s="29" t="s">
        <v>1611</v>
      </c>
      <c r="BU204" s="29" t="s">
        <v>2810</v>
      </c>
      <c r="BV204" s="29" t="s">
        <v>2811</v>
      </c>
      <c r="BW204" s="29" t="s">
        <v>1611</v>
      </c>
      <c r="BX204" s="29" t="s">
        <v>1611</v>
      </c>
      <c r="BY204" s="29" t="s">
        <v>1611</v>
      </c>
      <c r="BZ204" s="29" t="s">
        <v>1611</v>
      </c>
      <c r="CA204" s="29" t="s">
        <v>1611</v>
      </c>
      <c r="CB204" s="29" t="s">
        <v>1611</v>
      </c>
      <c r="CC204" s="29" t="s">
        <v>1611</v>
      </c>
      <c r="CD204" s="29" t="s">
        <v>1611</v>
      </c>
      <c r="CE204" s="29" t="s">
        <v>1611</v>
      </c>
      <c r="CF204" s="29" t="s">
        <v>1611</v>
      </c>
      <c r="CG204" s="29" t="s">
        <v>1792</v>
      </c>
      <c r="CH204" s="29" t="s">
        <v>1910</v>
      </c>
      <c r="CI204" s="29" t="s">
        <v>1611</v>
      </c>
      <c r="CJ204" s="29" t="s">
        <v>1611</v>
      </c>
      <c r="CK204" s="29" t="s">
        <v>1611</v>
      </c>
      <c r="CL204" s="29" t="s">
        <v>1611</v>
      </c>
      <c r="CM204" s="29" t="s">
        <v>1611</v>
      </c>
      <c r="CN204" s="29" t="s">
        <v>1611</v>
      </c>
      <c r="CO204" s="29" t="s">
        <v>1611</v>
      </c>
      <c r="CP204" s="29" t="s">
        <v>1611</v>
      </c>
      <c r="CQ204" s="29" t="s">
        <v>1611</v>
      </c>
      <c r="CR204" s="29" t="s">
        <v>1611</v>
      </c>
      <c r="CS204" s="29" t="s">
        <v>1611</v>
      </c>
      <c r="CT204" s="29" t="s">
        <v>1611</v>
      </c>
      <c r="CU204" s="29" t="s">
        <v>1611</v>
      </c>
      <c r="CV204" s="29" t="s">
        <v>1611</v>
      </c>
      <c r="CW204" s="29"/>
      <c r="CX204" s="29"/>
      <c r="CY204" s="151"/>
      <c r="CZ204" t="e">
        <v>#N/A</v>
      </c>
      <c r="DA204" t="e">
        <v>#N/A</v>
      </c>
      <c r="DD204" s="96" t="str">
        <f t="shared" si="3"/>
        <v>V</v>
      </c>
      <c r="DI204" s="215"/>
    </row>
    <row r="205" spans="1:113" ht="16.5" customHeight="1" x14ac:dyDescent="0.3">
      <c r="C205" s="105">
        <v>1660186</v>
      </c>
      <c r="D205" s="27">
        <v>199</v>
      </c>
      <c r="E205" s="28" t="s">
        <v>794</v>
      </c>
      <c r="F205" s="28">
        <v>1001459672</v>
      </c>
      <c r="G205" s="29" t="s">
        <v>1218</v>
      </c>
      <c r="H205" s="28">
        <v>1660186</v>
      </c>
      <c r="I205" s="29" t="s">
        <v>1219</v>
      </c>
      <c r="J205" s="28" t="s">
        <v>659</v>
      </c>
      <c r="K205" s="7"/>
      <c r="L205" s="104" t="s">
        <v>769</v>
      </c>
      <c r="M205" s="7" t="s">
        <v>206</v>
      </c>
      <c r="N205" s="29" t="s">
        <v>3498</v>
      </c>
      <c r="O205" s="127">
        <v>27125</v>
      </c>
      <c r="P205" s="113" t="s">
        <v>3501</v>
      </c>
      <c r="Q205" s="28" t="s">
        <v>607</v>
      </c>
      <c r="R205" s="28" t="s">
        <v>1301</v>
      </c>
      <c r="S205" s="28" t="s">
        <v>1301</v>
      </c>
      <c r="T205" s="28" t="s">
        <v>1301</v>
      </c>
      <c r="U205" s="28" t="s">
        <v>1301</v>
      </c>
      <c r="V205" s="28" t="s">
        <v>1301</v>
      </c>
      <c r="W205" s="28" t="s">
        <v>1301</v>
      </c>
      <c r="X205" s="28" t="s">
        <v>1301</v>
      </c>
      <c r="Y205" s="28" t="s">
        <v>1301</v>
      </c>
      <c r="Z205" s="28" t="s">
        <v>1301</v>
      </c>
      <c r="AA205" s="28" t="s">
        <v>1301</v>
      </c>
      <c r="AB205" s="104" t="s">
        <v>663</v>
      </c>
      <c r="AC205" s="104" t="s">
        <v>1340</v>
      </c>
      <c r="AD205" s="9" t="s">
        <v>1269</v>
      </c>
      <c r="AE205" s="9"/>
      <c r="AF205" s="9"/>
      <c r="AG205" s="34"/>
      <c r="AH205" s="9"/>
      <c r="AI205" s="9" t="s">
        <v>2491</v>
      </c>
      <c r="AJ205" s="9"/>
      <c r="AK205" s="45"/>
      <c r="AL205" s="9" t="s">
        <v>2491</v>
      </c>
      <c r="AM205" s="9" t="s">
        <v>46</v>
      </c>
      <c r="AN205" s="9" t="s">
        <v>46</v>
      </c>
      <c r="AO205" s="9" t="s">
        <v>46</v>
      </c>
      <c r="AP205" s="9" t="s">
        <v>46</v>
      </c>
      <c r="AQ205" s="9" t="s">
        <v>46</v>
      </c>
      <c r="AR205" s="9" t="s">
        <v>46</v>
      </c>
      <c r="AS205" s="9" t="s">
        <v>46</v>
      </c>
      <c r="AT205" s="45"/>
      <c r="AU205" s="45"/>
      <c r="AV205" s="45"/>
      <c r="AW205" s="9"/>
      <c r="AX205" s="9"/>
      <c r="AY205" s="9"/>
      <c r="AZ205" s="9"/>
      <c r="BA205" s="10" t="s">
        <v>184</v>
      </c>
      <c r="BB205" s="29" t="s">
        <v>2568</v>
      </c>
      <c r="BC205" s="29" t="s">
        <v>1611</v>
      </c>
      <c r="BD205" s="29" t="s">
        <v>1611</v>
      </c>
      <c r="BE205" s="29" t="s">
        <v>2502</v>
      </c>
      <c r="BF205" s="29" t="s">
        <v>2503</v>
      </c>
      <c r="BG205" s="29" t="s">
        <v>2539</v>
      </c>
      <c r="BH205" s="29" t="s">
        <v>2540</v>
      </c>
      <c r="BI205" s="29" t="s">
        <v>2709</v>
      </c>
      <c r="BJ205" s="29" t="s">
        <v>2710</v>
      </c>
      <c r="BK205" s="29" t="s">
        <v>2857</v>
      </c>
      <c r="BL205" s="29" t="s">
        <v>3458</v>
      </c>
      <c r="BM205" s="29" t="s">
        <v>1611</v>
      </c>
      <c r="BN205" s="29" t="s">
        <v>1611</v>
      </c>
      <c r="BO205" s="29" t="s">
        <v>1611</v>
      </c>
      <c r="BP205" s="29" t="s">
        <v>1611</v>
      </c>
      <c r="BQ205" s="29" t="s">
        <v>1611</v>
      </c>
      <c r="BR205" s="29" t="s">
        <v>1611</v>
      </c>
      <c r="BS205" s="29" t="s">
        <v>1611</v>
      </c>
      <c r="BT205" s="29" t="s">
        <v>1611</v>
      </c>
      <c r="BU205" s="29" t="s">
        <v>2391</v>
      </c>
      <c r="BV205" s="29" t="s">
        <v>2439</v>
      </c>
      <c r="BW205" s="29" t="s">
        <v>1611</v>
      </c>
      <c r="BX205" s="29" t="s">
        <v>1611</v>
      </c>
      <c r="BY205" s="29" t="s">
        <v>1611</v>
      </c>
      <c r="BZ205" s="29" t="s">
        <v>1611</v>
      </c>
      <c r="CA205" s="29" t="s">
        <v>1611</v>
      </c>
      <c r="CB205" s="29" t="s">
        <v>1611</v>
      </c>
      <c r="CC205" s="29" t="s">
        <v>1611</v>
      </c>
      <c r="CD205" s="29" t="s">
        <v>1611</v>
      </c>
      <c r="CE205" s="29" t="s">
        <v>1611</v>
      </c>
      <c r="CF205" s="29" t="s">
        <v>1611</v>
      </c>
      <c r="CG205" s="29" t="s">
        <v>3459</v>
      </c>
      <c r="CH205" s="29" t="s">
        <v>1843</v>
      </c>
      <c r="CI205" s="29" t="s">
        <v>1611</v>
      </c>
      <c r="CJ205" s="29" t="s">
        <v>1611</v>
      </c>
      <c r="CK205" s="29" t="s">
        <v>3499</v>
      </c>
      <c r="CL205" s="29" t="s">
        <v>3500</v>
      </c>
      <c r="CM205" s="29" t="s">
        <v>1611</v>
      </c>
      <c r="CN205" s="29" t="s">
        <v>1611</v>
      </c>
      <c r="CO205" s="29" t="s">
        <v>1611</v>
      </c>
      <c r="CP205" s="29" t="s">
        <v>1611</v>
      </c>
      <c r="CQ205" s="29" t="s">
        <v>1611</v>
      </c>
      <c r="CR205" s="29" t="s">
        <v>1611</v>
      </c>
      <c r="CS205" s="29" t="s">
        <v>1611</v>
      </c>
      <c r="CT205" s="29" t="s">
        <v>1611</v>
      </c>
      <c r="CU205" s="29" t="s">
        <v>1611</v>
      </c>
      <c r="CV205" s="29" t="s">
        <v>1611</v>
      </c>
      <c r="CW205" s="29"/>
      <c r="CX205" s="29"/>
      <c r="CY205" s="151"/>
      <c r="CZ205" t="s">
        <v>3626</v>
      </c>
      <c r="DA205" t="s">
        <v>3634</v>
      </c>
      <c r="DD205" s="96" t="str">
        <f t="shared" si="3"/>
        <v/>
      </c>
      <c r="DF205" s="96" t="s">
        <v>3753</v>
      </c>
      <c r="DI205" s="215"/>
    </row>
    <row r="206" spans="1:113" ht="16.5" customHeight="1" x14ac:dyDescent="0.3">
      <c r="A206" t="s">
        <v>3798</v>
      </c>
      <c r="B206" t="s">
        <v>3778</v>
      </c>
      <c r="C206" s="105">
        <v>1654046</v>
      </c>
      <c r="D206" s="27">
        <v>200</v>
      </c>
      <c r="E206" s="28" t="s">
        <v>808</v>
      </c>
      <c r="F206" s="28">
        <v>1001459740</v>
      </c>
      <c r="G206" s="29" t="s">
        <v>1220</v>
      </c>
      <c r="H206" s="28">
        <v>1654046</v>
      </c>
      <c r="I206" s="29" t="s">
        <v>1221</v>
      </c>
      <c r="J206" s="28" t="s">
        <v>854</v>
      </c>
      <c r="K206" s="7"/>
      <c r="L206" s="104" t="s">
        <v>770</v>
      </c>
      <c r="M206" s="7" t="s">
        <v>206</v>
      </c>
      <c r="N206" s="110" t="s">
        <v>2314</v>
      </c>
      <c r="O206" s="127">
        <v>79593</v>
      </c>
      <c r="P206" s="113" t="s">
        <v>1317</v>
      </c>
      <c r="Q206" s="28" t="s">
        <v>607</v>
      </c>
      <c r="R206" s="28" t="s">
        <v>1301</v>
      </c>
      <c r="S206" s="28" t="s">
        <v>1301</v>
      </c>
      <c r="T206" s="28" t="s">
        <v>1329</v>
      </c>
      <c r="U206" s="28" t="s">
        <v>612</v>
      </c>
      <c r="V206" s="28" t="s">
        <v>1301</v>
      </c>
      <c r="W206" s="28" t="s">
        <v>1301</v>
      </c>
      <c r="X206" s="28" t="s">
        <v>1301</v>
      </c>
      <c r="Y206" s="28" t="s">
        <v>1301</v>
      </c>
      <c r="Z206" s="28" t="s">
        <v>1301</v>
      </c>
      <c r="AA206" s="28" t="s">
        <v>1301</v>
      </c>
      <c r="AB206" s="104" t="s">
        <v>663</v>
      </c>
      <c r="AC206" s="104" t="s">
        <v>1340</v>
      </c>
      <c r="AD206" s="9" t="s">
        <v>1269</v>
      </c>
      <c r="AE206" s="9"/>
      <c r="AF206" s="9"/>
      <c r="AG206" s="34"/>
      <c r="AH206" s="9"/>
      <c r="AI206" s="9"/>
      <c r="AJ206" s="9"/>
      <c r="AK206" s="45"/>
      <c r="AL206" s="45" t="s">
        <v>2278</v>
      </c>
      <c r="AM206" s="45" t="s">
        <v>46</v>
      </c>
      <c r="AN206" s="45" t="s">
        <v>46</v>
      </c>
      <c r="AO206" s="45" t="s">
        <v>46</v>
      </c>
      <c r="AP206" s="45" t="s">
        <v>46</v>
      </c>
      <c r="AQ206" s="45" t="s">
        <v>46</v>
      </c>
      <c r="AR206" s="45" t="s">
        <v>46</v>
      </c>
      <c r="AS206" s="45" t="s">
        <v>46</v>
      </c>
      <c r="AT206" s="45"/>
      <c r="AU206" s="45"/>
      <c r="AV206" s="45"/>
      <c r="AW206" s="9" t="s">
        <v>46</v>
      </c>
      <c r="AX206" s="9" t="s">
        <v>46</v>
      </c>
      <c r="AY206" s="9" t="s">
        <v>46</v>
      </c>
      <c r="AZ206" s="9" t="s">
        <v>46</v>
      </c>
      <c r="BA206" s="10" t="s">
        <v>51</v>
      </c>
      <c r="BB206" s="29" t="s">
        <v>2501</v>
      </c>
      <c r="BC206" s="29" t="s">
        <v>1611</v>
      </c>
      <c r="BD206" s="29" t="s">
        <v>1611</v>
      </c>
      <c r="BE206" s="29" t="s">
        <v>2514</v>
      </c>
      <c r="BF206" s="29" t="s">
        <v>2515</v>
      </c>
      <c r="BG206" s="29" t="s">
        <v>2660</v>
      </c>
      <c r="BH206" s="29" t="s">
        <v>2661</v>
      </c>
      <c r="BI206" s="29" t="s">
        <v>2804</v>
      </c>
      <c r="BJ206" s="29" t="s">
        <v>2805</v>
      </c>
      <c r="BK206" s="29" t="s">
        <v>584</v>
      </c>
      <c r="BL206" s="29" t="s">
        <v>2711</v>
      </c>
      <c r="BM206" s="29" t="s">
        <v>1611</v>
      </c>
      <c r="BN206" s="29" t="s">
        <v>1611</v>
      </c>
      <c r="BO206" s="29" t="s">
        <v>1611</v>
      </c>
      <c r="BP206" s="29" t="s">
        <v>1611</v>
      </c>
      <c r="BQ206" s="29" t="s">
        <v>1611</v>
      </c>
      <c r="BR206" s="29" t="s">
        <v>1611</v>
      </c>
      <c r="BS206" s="29" t="s">
        <v>1611</v>
      </c>
      <c r="BT206" s="29" t="s">
        <v>1611</v>
      </c>
      <c r="BU206" s="29" t="s">
        <v>2981</v>
      </c>
      <c r="BV206" s="29" t="s">
        <v>2982</v>
      </c>
      <c r="BW206" s="29" t="s">
        <v>1611</v>
      </c>
      <c r="BX206" s="29" t="s">
        <v>1611</v>
      </c>
      <c r="BY206" s="29" t="s">
        <v>1611</v>
      </c>
      <c r="BZ206" s="29" t="s">
        <v>1611</v>
      </c>
      <c r="CA206" s="29" t="s">
        <v>1611</v>
      </c>
      <c r="CB206" s="29" t="s">
        <v>1611</v>
      </c>
      <c r="CC206" s="29" t="s">
        <v>1611</v>
      </c>
      <c r="CD206" s="29" t="s">
        <v>1611</v>
      </c>
      <c r="CE206" s="29" t="s">
        <v>1611</v>
      </c>
      <c r="CF206" s="29" t="s">
        <v>1611</v>
      </c>
      <c r="CG206" s="29" t="s">
        <v>1794</v>
      </c>
      <c r="CH206" s="29" t="s">
        <v>1912</v>
      </c>
      <c r="CI206" s="29" t="s">
        <v>1611</v>
      </c>
      <c r="CJ206" s="29" t="s">
        <v>1611</v>
      </c>
      <c r="CK206" s="29" t="s">
        <v>2983</v>
      </c>
      <c r="CL206" s="29" t="s">
        <v>2984</v>
      </c>
      <c r="CM206" s="29" t="s">
        <v>269</v>
      </c>
      <c r="CN206" s="29" t="s">
        <v>2985</v>
      </c>
      <c r="CO206" s="29" t="s">
        <v>2986</v>
      </c>
      <c r="CP206" s="29" t="s">
        <v>2987</v>
      </c>
      <c r="CQ206" s="29" t="s">
        <v>1611</v>
      </c>
      <c r="CR206" s="29" t="s">
        <v>1611</v>
      </c>
      <c r="CS206" s="29" t="s">
        <v>1611</v>
      </c>
      <c r="CT206" s="29" t="s">
        <v>1611</v>
      </c>
      <c r="CU206" s="29" t="s">
        <v>1611</v>
      </c>
      <c r="CV206" s="29" t="s">
        <v>1611</v>
      </c>
      <c r="CW206" s="29"/>
      <c r="CX206" s="29"/>
      <c r="CY206" s="151"/>
      <c r="CZ206" t="s">
        <v>3307</v>
      </c>
      <c r="DA206" t="s">
        <v>3634</v>
      </c>
      <c r="DD206" s="96" t="str">
        <f t="shared" si="3"/>
        <v/>
      </c>
      <c r="DF206" s="96" t="s">
        <v>3753</v>
      </c>
      <c r="DI206" s="215"/>
    </row>
    <row r="207" spans="1:113" ht="16.5" customHeight="1" x14ac:dyDescent="0.3">
      <c r="C207" s="105">
        <v>1659469</v>
      </c>
      <c r="D207" s="27">
        <v>201</v>
      </c>
      <c r="E207" s="28" t="s">
        <v>786</v>
      </c>
      <c r="F207" s="28">
        <v>1001196541</v>
      </c>
      <c r="G207" s="29" t="s">
        <v>1222</v>
      </c>
      <c r="H207" s="28">
        <v>1659469</v>
      </c>
      <c r="I207" s="29" t="s">
        <v>1223</v>
      </c>
      <c r="J207" s="28" t="s">
        <v>854</v>
      </c>
      <c r="K207" s="7"/>
      <c r="L207" s="104" t="s">
        <v>323</v>
      </c>
      <c r="M207" s="110" t="s">
        <v>3674</v>
      </c>
      <c r="N207" s="29" t="s">
        <v>3675</v>
      </c>
      <c r="O207" s="127">
        <v>112065</v>
      </c>
      <c r="P207" s="28" t="s">
        <v>1301</v>
      </c>
      <c r="Q207" s="28" t="s">
        <v>1301</v>
      </c>
      <c r="R207" s="28" t="s">
        <v>1301</v>
      </c>
      <c r="S207" s="28" t="s">
        <v>1301</v>
      </c>
      <c r="T207" s="28" t="s">
        <v>1329</v>
      </c>
      <c r="U207" s="28" t="s">
        <v>612</v>
      </c>
      <c r="V207" s="28" t="s">
        <v>1301</v>
      </c>
      <c r="W207" s="28" t="s">
        <v>1301</v>
      </c>
      <c r="X207" s="28" t="s">
        <v>1301</v>
      </c>
      <c r="Y207" s="28" t="s">
        <v>1301</v>
      </c>
      <c r="Z207" s="28" t="s">
        <v>1301</v>
      </c>
      <c r="AA207" s="28" t="s">
        <v>1301</v>
      </c>
      <c r="AB207" s="104" t="s">
        <v>663</v>
      </c>
      <c r="AC207" s="104" t="s">
        <v>1340</v>
      </c>
      <c r="AD207" s="9" t="s">
        <v>1269</v>
      </c>
      <c r="AE207" s="9"/>
      <c r="AF207" s="9"/>
      <c r="AG207" s="34"/>
      <c r="AH207" s="9"/>
      <c r="AI207" s="9" t="s">
        <v>2491</v>
      </c>
      <c r="AJ207" s="9"/>
      <c r="AK207" s="45"/>
      <c r="AL207" s="9" t="s">
        <v>2491</v>
      </c>
      <c r="AM207" s="9" t="s">
        <v>2491</v>
      </c>
      <c r="AN207" s="9" t="s">
        <v>2491</v>
      </c>
      <c r="AO207" s="9" t="s">
        <v>46</v>
      </c>
      <c r="AP207" s="9" t="s">
        <v>46</v>
      </c>
      <c r="AQ207" s="9" t="s">
        <v>46</v>
      </c>
      <c r="AR207" s="9" t="s">
        <v>46</v>
      </c>
      <c r="AS207" s="9" t="s">
        <v>46</v>
      </c>
      <c r="AT207" s="45"/>
      <c r="AU207" s="45"/>
      <c r="AV207" s="45"/>
      <c r="AW207" s="9"/>
      <c r="AX207" s="9"/>
      <c r="AY207" s="9"/>
      <c r="AZ207" s="9"/>
      <c r="BA207" s="10" t="s">
        <v>291</v>
      </c>
      <c r="BB207" s="29" t="s">
        <v>2704</v>
      </c>
      <c r="BC207" s="29" t="s">
        <v>1611</v>
      </c>
      <c r="BD207" s="29" t="s">
        <v>1611</v>
      </c>
      <c r="BE207" s="29" t="s">
        <v>2514</v>
      </c>
      <c r="BF207" s="29" t="s">
        <v>2515</v>
      </c>
      <c r="BG207" s="29" t="s">
        <v>2539</v>
      </c>
      <c r="BH207" s="29" t="s">
        <v>2540</v>
      </c>
      <c r="BI207" s="29" t="s">
        <v>217</v>
      </c>
      <c r="BJ207" s="29" t="s">
        <v>2606</v>
      </c>
      <c r="BK207" s="29" t="s">
        <v>2709</v>
      </c>
      <c r="BL207" s="29" t="s">
        <v>3579</v>
      </c>
      <c r="BM207" s="29" t="s">
        <v>1611</v>
      </c>
      <c r="BN207" s="29" t="s">
        <v>1611</v>
      </c>
      <c r="BO207" s="29" t="s">
        <v>1611</v>
      </c>
      <c r="BP207" s="29" t="s">
        <v>1611</v>
      </c>
      <c r="BQ207" s="29" t="s">
        <v>1611</v>
      </c>
      <c r="BR207" s="29" t="s">
        <v>1611</v>
      </c>
      <c r="BS207" s="29" t="s">
        <v>1611</v>
      </c>
      <c r="BT207" s="29" t="s">
        <v>1611</v>
      </c>
      <c r="BU207" s="29" t="s">
        <v>2378</v>
      </c>
      <c r="BV207" s="29" t="s">
        <v>2422</v>
      </c>
      <c r="BW207" s="29" t="s">
        <v>1611</v>
      </c>
      <c r="BX207" s="29" t="s">
        <v>1611</v>
      </c>
      <c r="BY207" s="29" t="s">
        <v>1611</v>
      </c>
      <c r="BZ207" s="29" t="s">
        <v>1611</v>
      </c>
      <c r="CA207" s="29" t="s">
        <v>1611</v>
      </c>
      <c r="CB207" s="29" t="s">
        <v>1611</v>
      </c>
      <c r="CC207" s="29" t="s">
        <v>1611</v>
      </c>
      <c r="CD207" s="29" t="s">
        <v>1611</v>
      </c>
      <c r="CE207" s="29" t="s">
        <v>1611</v>
      </c>
      <c r="CF207" s="29" t="s">
        <v>1611</v>
      </c>
      <c r="CG207" s="29" t="s">
        <v>1734</v>
      </c>
      <c r="CH207" s="29" t="s">
        <v>3580</v>
      </c>
      <c r="CI207" s="29" t="s">
        <v>1611</v>
      </c>
      <c r="CJ207" s="29" t="s">
        <v>1611</v>
      </c>
      <c r="CK207" s="29" t="s">
        <v>3670</v>
      </c>
      <c r="CL207" s="29" t="s">
        <v>3672</v>
      </c>
      <c r="CM207" s="29" t="s">
        <v>3671</v>
      </c>
      <c r="CN207" s="29" t="s">
        <v>3673</v>
      </c>
      <c r="CO207" s="29" t="s">
        <v>1611</v>
      </c>
      <c r="CP207" s="29" t="s">
        <v>1611</v>
      </c>
      <c r="CQ207" s="29" t="s">
        <v>1611</v>
      </c>
      <c r="CR207" s="29" t="s">
        <v>1611</v>
      </c>
      <c r="CS207" s="29" t="s">
        <v>1611</v>
      </c>
      <c r="CT207" s="29" t="s">
        <v>1611</v>
      </c>
      <c r="CU207" s="29" t="s">
        <v>1611</v>
      </c>
      <c r="CV207" s="29" t="s">
        <v>1611</v>
      </c>
      <c r="CW207" s="29"/>
      <c r="CX207" s="29"/>
      <c r="CY207" s="151"/>
      <c r="CZ207" t="s">
        <v>3627</v>
      </c>
      <c r="DA207" t="s">
        <v>3634</v>
      </c>
      <c r="DD207" s="96" t="str">
        <f t="shared" si="3"/>
        <v/>
      </c>
      <c r="DF207" s="96" t="s">
        <v>3753</v>
      </c>
      <c r="DI207" s="215"/>
    </row>
    <row r="208" spans="1:113" ht="16.5" customHeight="1" x14ac:dyDescent="0.3">
      <c r="C208" s="105">
        <v>1664615</v>
      </c>
      <c r="D208" s="27">
        <v>202</v>
      </c>
      <c r="E208" s="28" t="s">
        <v>822</v>
      </c>
      <c r="F208" s="28">
        <v>1001305747</v>
      </c>
      <c r="G208" s="29" t="s">
        <v>1225</v>
      </c>
      <c r="H208" s="28">
        <v>1664615</v>
      </c>
      <c r="I208" s="29" t="s">
        <v>1226</v>
      </c>
      <c r="J208" s="28" t="s">
        <v>429</v>
      </c>
      <c r="K208" s="7"/>
      <c r="L208" s="104" t="s">
        <v>771</v>
      </c>
      <c r="M208" s="29"/>
      <c r="N208" s="29"/>
      <c r="O208" s="127"/>
      <c r="P208" s="28"/>
      <c r="Q208" s="28"/>
      <c r="R208" s="28"/>
      <c r="S208" s="28"/>
      <c r="T208" s="28"/>
      <c r="U208" s="28"/>
      <c r="V208" s="28"/>
      <c r="W208" s="28"/>
      <c r="X208" s="28"/>
      <c r="Y208" s="28"/>
      <c r="Z208" s="28"/>
      <c r="AA208" s="28"/>
      <c r="AB208" s="104"/>
      <c r="AC208" s="104"/>
      <c r="AD208" s="9" t="s">
        <v>1269</v>
      </c>
      <c r="AE208" s="39">
        <v>45902</v>
      </c>
      <c r="AF208" s="9" t="s">
        <v>1929</v>
      </c>
      <c r="AG208" s="34" t="s">
        <v>1931</v>
      </c>
      <c r="AH208" s="9"/>
      <c r="AI208" s="9"/>
      <c r="AJ208" s="9"/>
      <c r="AK208" s="45"/>
      <c r="AL208" s="45" t="s">
        <v>1611</v>
      </c>
      <c r="AM208" s="45"/>
      <c r="AN208" s="45"/>
      <c r="AO208" s="45"/>
      <c r="AP208" s="45"/>
      <c r="AQ208" s="45"/>
      <c r="AR208" s="45"/>
      <c r="AS208" s="45"/>
      <c r="AT208" s="45"/>
      <c r="AU208" s="45"/>
      <c r="AV208" s="45"/>
      <c r="AW208" s="9"/>
      <c r="AX208" s="9"/>
      <c r="AY208" s="9"/>
      <c r="AZ208" s="9"/>
      <c r="BA208" s="10" t="s">
        <v>2496</v>
      </c>
      <c r="BB208" s="29" t="s">
        <v>2550</v>
      </c>
      <c r="BC208" s="29" t="s">
        <v>1611</v>
      </c>
      <c r="BD208" s="29" t="s">
        <v>1611</v>
      </c>
      <c r="BE208" s="29" t="s">
        <v>2514</v>
      </c>
      <c r="BF208" s="29" t="s">
        <v>2515</v>
      </c>
      <c r="BG208" s="29" t="s">
        <v>2721</v>
      </c>
      <c r="BH208" s="29" t="s">
        <v>2722</v>
      </c>
      <c r="BI208" s="29" t="s">
        <v>2774</v>
      </c>
      <c r="BJ208" s="29" t="s">
        <v>2775</v>
      </c>
      <c r="BK208" s="29" t="s">
        <v>305</v>
      </c>
      <c r="BL208" s="29" t="s">
        <v>2769</v>
      </c>
      <c r="BM208" s="29" t="s">
        <v>1611</v>
      </c>
      <c r="BN208" s="29" t="s">
        <v>1611</v>
      </c>
      <c r="BO208" s="29" t="s">
        <v>1611</v>
      </c>
      <c r="BP208" s="29" t="s">
        <v>1611</v>
      </c>
      <c r="BQ208" s="29" t="s">
        <v>1611</v>
      </c>
      <c r="BR208" s="29" t="s">
        <v>1611</v>
      </c>
      <c r="BS208" s="29" t="s">
        <v>1611</v>
      </c>
      <c r="BT208" s="29" t="s">
        <v>1611</v>
      </c>
      <c r="BU208" s="29" t="s">
        <v>319</v>
      </c>
      <c r="BV208" s="29" t="s">
        <v>2758</v>
      </c>
      <c r="BW208" s="29" t="s">
        <v>1611</v>
      </c>
      <c r="BX208" s="29" t="s">
        <v>1611</v>
      </c>
      <c r="BY208" s="29" t="s">
        <v>1611</v>
      </c>
      <c r="BZ208" s="29" t="s">
        <v>1611</v>
      </c>
      <c r="CA208" s="29" t="s">
        <v>1611</v>
      </c>
      <c r="CB208" s="29" t="s">
        <v>1611</v>
      </c>
      <c r="CC208" s="29" t="s">
        <v>1611</v>
      </c>
      <c r="CD208" s="29" t="s">
        <v>1611</v>
      </c>
      <c r="CE208" s="29" t="s">
        <v>1611</v>
      </c>
      <c r="CF208" s="29" t="s">
        <v>1611</v>
      </c>
      <c r="CG208" s="29" t="s">
        <v>320</v>
      </c>
      <c r="CH208" s="29" t="s">
        <v>1835</v>
      </c>
      <c r="CI208" s="29" t="s">
        <v>1611</v>
      </c>
      <c r="CJ208" s="29" t="s">
        <v>1611</v>
      </c>
      <c r="CK208" s="29" t="s">
        <v>1611</v>
      </c>
      <c r="CL208" s="29" t="s">
        <v>1611</v>
      </c>
      <c r="CM208" s="29" t="s">
        <v>1611</v>
      </c>
      <c r="CN208" s="29" t="s">
        <v>1611</v>
      </c>
      <c r="CO208" s="29" t="s">
        <v>1611</v>
      </c>
      <c r="CP208" s="29" t="s">
        <v>1611</v>
      </c>
      <c r="CQ208" s="29" t="s">
        <v>1611</v>
      </c>
      <c r="CR208" s="29" t="s">
        <v>1611</v>
      </c>
      <c r="CS208" s="29" t="s">
        <v>1611</v>
      </c>
      <c r="CT208" s="29" t="s">
        <v>1611</v>
      </c>
      <c r="CU208" s="29" t="s">
        <v>1611</v>
      </c>
      <c r="CV208" s="29" t="s">
        <v>1611</v>
      </c>
      <c r="CW208" s="29"/>
      <c r="CX208" s="29"/>
      <c r="CY208" s="151"/>
      <c r="CZ208" t="e">
        <v>#N/A</v>
      </c>
      <c r="DA208" t="e">
        <v>#N/A</v>
      </c>
      <c r="DD208" s="96" t="str">
        <f t="shared" si="3"/>
        <v>V</v>
      </c>
      <c r="DI208" s="215"/>
    </row>
    <row r="209" spans="1:113" ht="16.5" customHeight="1" x14ac:dyDescent="0.3">
      <c r="C209" s="105">
        <v>1667666</v>
      </c>
      <c r="D209" s="27">
        <v>203</v>
      </c>
      <c r="E209" s="28" t="s">
        <v>808</v>
      </c>
      <c r="F209" s="28">
        <v>1001340335</v>
      </c>
      <c r="G209" s="29" t="s">
        <v>1227</v>
      </c>
      <c r="H209" s="28">
        <v>1667666</v>
      </c>
      <c r="I209" s="29" t="s">
        <v>1228</v>
      </c>
      <c r="J209" s="28" t="s">
        <v>659</v>
      </c>
      <c r="K209" s="7"/>
      <c r="L209" s="104" t="s">
        <v>665</v>
      </c>
      <c r="M209" s="29"/>
      <c r="N209" s="29"/>
      <c r="O209" s="127"/>
      <c r="P209" s="28"/>
      <c r="Q209" s="28"/>
      <c r="R209" s="28"/>
      <c r="S209" s="28"/>
      <c r="T209" s="28"/>
      <c r="U209" s="28"/>
      <c r="V209" s="28"/>
      <c r="W209" s="28"/>
      <c r="X209" s="28"/>
      <c r="Y209" s="28"/>
      <c r="Z209" s="28"/>
      <c r="AA209" s="28"/>
      <c r="AB209" s="104"/>
      <c r="AC209" s="104"/>
      <c r="AD209" s="9" t="s">
        <v>1269</v>
      </c>
      <c r="AE209" s="39">
        <v>45905</v>
      </c>
      <c r="AF209" s="9" t="s">
        <v>1276</v>
      </c>
      <c r="AG209" s="34" t="s">
        <v>2478</v>
      </c>
      <c r="AH209" s="9"/>
      <c r="AI209" s="9"/>
      <c r="AJ209" s="9"/>
      <c r="AK209" s="45"/>
      <c r="AL209" s="45" t="s">
        <v>1611</v>
      </c>
      <c r="AM209" s="45"/>
      <c r="AN209" s="45"/>
      <c r="AO209" s="45"/>
      <c r="AP209" s="45"/>
      <c r="AQ209" s="45"/>
      <c r="AR209" s="45"/>
      <c r="AS209" s="45"/>
      <c r="AT209" s="45"/>
      <c r="AU209" s="45"/>
      <c r="AV209" s="45"/>
      <c r="AW209" s="9"/>
      <c r="AX209" s="9"/>
      <c r="AY209" s="9"/>
      <c r="AZ209" s="9"/>
      <c r="BA209" s="10" t="s">
        <v>1611</v>
      </c>
      <c r="BB209" s="29" t="s">
        <v>1611</v>
      </c>
      <c r="BC209" s="29" t="s">
        <v>1611</v>
      </c>
      <c r="BD209" s="29" t="s">
        <v>1611</v>
      </c>
      <c r="BE209" s="29" t="s">
        <v>1611</v>
      </c>
      <c r="BF209" s="29" t="s">
        <v>1611</v>
      </c>
      <c r="BG209" s="29" t="s">
        <v>1611</v>
      </c>
      <c r="BH209" s="29" t="s">
        <v>1611</v>
      </c>
      <c r="BI209" s="29" t="s">
        <v>2800</v>
      </c>
      <c r="BJ209" s="29" t="s">
        <v>2801</v>
      </c>
      <c r="BK209" s="29" t="s">
        <v>139</v>
      </c>
      <c r="BL209" s="29" t="s">
        <v>2659</v>
      </c>
      <c r="BM209" s="29" t="s">
        <v>1611</v>
      </c>
      <c r="BN209" s="29" t="s">
        <v>1611</v>
      </c>
      <c r="BO209" s="29" t="s">
        <v>1611</v>
      </c>
      <c r="BP209" s="29" t="s">
        <v>1611</v>
      </c>
      <c r="BQ209" s="29" t="s">
        <v>1611</v>
      </c>
      <c r="BR209" s="29" t="s">
        <v>1611</v>
      </c>
      <c r="BS209" s="29" t="s">
        <v>1611</v>
      </c>
      <c r="BT209" s="29" t="s">
        <v>1611</v>
      </c>
      <c r="BU209" s="29" t="s">
        <v>2363</v>
      </c>
      <c r="BV209" s="29" t="s">
        <v>2405</v>
      </c>
      <c r="BW209" s="29" t="s">
        <v>1611</v>
      </c>
      <c r="BX209" s="29" t="s">
        <v>1611</v>
      </c>
      <c r="BY209" s="29" t="s">
        <v>1611</v>
      </c>
      <c r="BZ209" s="29" t="s">
        <v>1611</v>
      </c>
      <c r="CA209" s="29" t="s">
        <v>1611</v>
      </c>
      <c r="CB209" s="29" t="s">
        <v>1611</v>
      </c>
      <c r="CC209" s="29" t="s">
        <v>1611</v>
      </c>
      <c r="CD209" s="29" t="s">
        <v>1611</v>
      </c>
      <c r="CE209" s="29" t="s">
        <v>1611</v>
      </c>
      <c r="CF209" s="29" t="s">
        <v>1611</v>
      </c>
      <c r="CG209" s="29" t="s">
        <v>1720</v>
      </c>
      <c r="CH209" s="29" t="s">
        <v>1826</v>
      </c>
      <c r="CI209" s="29" t="s">
        <v>1611</v>
      </c>
      <c r="CJ209" s="29" t="s">
        <v>1611</v>
      </c>
      <c r="CK209" s="29" t="s">
        <v>1611</v>
      </c>
      <c r="CL209" s="29" t="s">
        <v>1611</v>
      </c>
      <c r="CM209" s="29" t="s">
        <v>1611</v>
      </c>
      <c r="CN209" s="29" t="s">
        <v>1611</v>
      </c>
      <c r="CO209" s="29" t="s">
        <v>1611</v>
      </c>
      <c r="CP209" s="29" t="s">
        <v>1611</v>
      </c>
      <c r="CQ209" s="29" t="s">
        <v>1611</v>
      </c>
      <c r="CR209" s="29" t="s">
        <v>1611</v>
      </c>
      <c r="CS209" s="29" t="s">
        <v>1611</v>
      </c>
      <c r="CT209" s="29" t="s">
        <v>1611</v>
      </c>
      <c r="CU209" s="29" t="s">
        <v>1611</v>
      </c>
      <c r="CV209" s="29" t="s">
        <v>1611</v>
      </c>
      <c r="CW209" s="29"/>
      <c r="CX209" s="29"/>
      <c r="CY209" s="151"/>
      <c r="CZ209" t="e">
        <v>#N/A</v>
      </c>
      <c r="DA209" t="e">
        <v>#N/A</v>
      </c>
      <c r="DD209" s="96" t="str">
        <f t="shared" si="3"/>
        <v>V</v>
      </c>
      <c r="DI209" s="215"/>
    </row>
    <row r="210" spans="1:113" ht="16.5" customHeight="1" x14ac:dyDescent="0.3">
      <c r="C210" s="105">
        <v>1683640</v>
      </c>
      <c r="D210" s="27">
        <v>204</v>
      </c>
      <c r="E210" s="28" t="s">
        <v>656</v>
      </c>
      <c r="F210" s="28">
        <v>1001183581</v>
      </c>
      <c r="G210" s="29" t="s">
        <v>1229</v>
      </c>
      <c r="H210" s="28">
        <v>1683640</v>
      </c>
      <c r="I210" s="29" t="s">
        <v>1230</v>
      </c>
      <c r="J210" s="28" t="s">
        <v>854</v>
      </c>
      <c r="K210" s="7"/>
      <c r="L210" s="104" t="s">
        <v>772</v>
      </c>
      <c r="M210" s="29"/>
      <c r="N210" s="29"/>
      <c r="O210" s="127"/>
      <c r="P210" s="28"/>
      <c r="Q210" s="28"/>
      <c r="R210" s="28"/>
      <c r="S210" s="28"/>
      <c r="T210" s="28"/>
      <c r="U210" s="28"/>
      <c r="V210" s="28"/>
      <c r="W210" s="28"/>
      <c r="X210" s="28"/>
      <c r="Y210" s="28"/>
      <c r="Z210" s="28"/>
      <c r="AA210" s="28"/>
      <c r="AB210" s="104"/>
      <c r="AC210" s="104"/>
      <c r="AD210" s="9" t="s">
        <v>1269</v>
      </c>
      <c r="AE210" s="39">
        <v>45897</v>
      </c>
      <c r="AF210" s="9" t="s">
        <v>1276</v>
      </c>
      <c r="AG210" s="108" t="s">
        <v>1642</v>
      </c>
      <c r="AH210" s="9"/>
      <c r="AI210" s="9"/>
      <c r="AJ210" s="9"/>
      <c r="AK210" s="45"/>
      <c r="AL210" s="45"/>
      <c r="AM210" s="45"/>
      <c r="AN210" s="45"/>
      <c r="AO210" s="45"/>
      <c r="AP210" s="45"/>
      <c r="AQ210" s="45"/>
      <c r="AR210" s="45"/>
      <c r="AS210" s="45"/>
      <c r="AT210" s="45"/>
      <c r="AU210" s="45"/>
      <c r="AV210" s="45"/>
      <c r="AW210" s="9"/>
      <c r="AX210" s="9"/>
      <c r="AY210" s="9"/>
      <c r="AZ210" s="9"/>
      <c r="BA210" s="10" t="s">
        <v>184</v>
      </c>
      <c r="BB210" s="29" t="s">
        <v>2568</v>
      </c>
      <c r="BC210" s="29" t="s">
        <v>1611</v>
      </c>
      <c r="BD210" s="29" t="s">
        <v>1611</v>
      </c>
      <c r="BE210" s="29" t="s">
        <v>1611</v>
      </c>
      <c r="BF210" s="29" t="s">
        <v>1611</v>
      </c>
      <c r="BG210" s="29" t="s">
        <v>1611</v>
      </c>
      <c r="BH210" s="29" t="s">
        <v>1611</v>
      </c>
      <c r="BI210" s="29" t="s">
        <v>243</v>
      </c>
      <c r="BJ210" s="29" t="s">
        <v>2757</v>
      </c>
      <c r="BK210" s="29" t="s">
        <v>225</v>
      </c>
      <c r="BL210" s="29" t="s">
        <v>2728</v>
      </c>
      <c r="BM210" s="29" t="s">
        <v>1611</v>
      </c>
      <c r="BN210" s="29" t="s">
        <v>1611</v>
      </c>
      <c r="BO210" s="29" t="s">
        <v>1611</v>
      </c>
      <c r="BP210" s="29" t="s">
        <v>1611</v>
      </c>
      <c r="BQ210" s="29" t="s">
        <v>1611</v>
      </c>
      <c r="BR210" s="29" t="s">
        <v>1611</v>
      </c>
      <c r="BS210" s="29" t="s">
        <v>1611</v>
      </c>
      <c r="BT210" s="29" t="s">
        <v>1611</v>
      </c>
      <c r="BU210" s="29" t="s">
        <v>2824</v>
      </c>
      <c r="BV210" s="29" t="s">
        <v>2825</v>
      </c>
      <c r="BW210" s="29" t="s">
        <v>1611</v>
      </c>
      <c r="BX210" s="29" t="s">
        <v>1611</v>
      </c>
      <c r="BY210" s="29" t="s">
        <v>1611</v>
      </c>
      <c r="BZ210" s="29" t="s">
        <v>1611</v>
      </c>
      <c r="CA210" s="29" t="s">
        <v>1611</v>
      </c>
      <c r="CB210" s="29" t="s">
        <v>1611</v>
      </c>
      <c r="CC210" s="29" t="s">
        <v>1611</v>
      </c>
      <c r="CD210" s="29" t="s">
        <v>1611</v>
      </c>
      <c r="CE210" s="29" t="s">
        <v>1611</v>
      </c>
      <c r="CF210" s="29" t="s">
        <v>1611</v>
      </c>
      <c r="CG210" s="29" t="s">
        <v>2988</v>
      </c>
      <c r="CH210" s="29" t="s">
        <v>2989</v>
      </c>
      <c r="CI210" s="29" t="s">
        <v>1611</v>
      </c>
      <c r="CJ210" s="29" t="s">
        <v>1611</v>
      </c>
      <c r="CK210" s="29" t="s">
        <v>1611</v>
      </c>
      <c r="CL210" s="29" t="s">
        <v>1611</v>
      </c>
      <c r="CM210" s="29" t="s">
        <v>1611</v>
      </c>
      <c r="CN210" s="29" t="s">
        <v>1611</v>
      </c>
      <c r="CO210" s="29" t="s">
        <v>1611</v>
      </c>
      <c r="CP210" s="29" t="s">
        <v>1611</v>
      </c>
      <c r="CQ210" s="29" t="s">
        <v>1611</v>
      </c>
      <c r="CR210" s="29" t="s">
        <v>1611</v>
      </c>
      <c r="CS210" s="29" t="s">
        <v>1611</v>
      </c>
      <c r="CT210" s="29" t="s">
        <v>1611</v>
      </c>
      <c r="CU210" s="29" t="s">
        <v>1611</v>
      </c>
      <c r="CV210" s="29" t="s">
        <v>1611</v>
      </c>
      <c r="CW210" s="29"/>
      <c r="CX210" s="29"/>
      <c r="CY210" s="151"/>
      <c r="CZ210" t="e">
        <v>#N/A</v>
      </c>
      <c r="DA210" t="e">
        <v>#N/A</v>
      </c>
      <c r="DD210" s="96" t="str">
        <f t="shared" si="3"/>
        <v>V</v>
      </c>
      <c r="DI210" s="215"/>
    </row>
    <row r="211" spans="1:113" ht="16.5" customHeight="1" x14ac:dyDescent="0.3">
      <c r="A211" t="s">
        <v>3910</v>
      </c>
      <c r="B211" t="s">
        <v>3778</v>
      </c>
      <c r="C211" s="105">
        <v>1683879</v>
      </c>
      <c r="D211" s="27">
        <v>205</v>
      </c>
      <c r="E211" s="28" t="s">
        <v>829</v>
      </c>
      <c r="F211" s="28">
        <v>1000317667</v>
      </c>
      <c r="G211" s="29" t="s">
        <v>1231</v>
      </c>
      <c r="H211" s="28">
        <v>1683879</v>
      </c>
      <c r="I211" s="29" t="s">
        <v>1232</v>
      </c>
      <c r="J211" s="28" t="s">
        <v>659</v>
      </c>
      <c r="K211" s="7"/>
      <c r="L211" s="104" t="s">
        <v>773</v>
      </c>
      <c r="M211" s="29" t="s">
        <v>2492</v>
      </c>
      <c r="N211" s="29" t="s">
        <v>2493</v>
      </c>
      <c r="O211" s="127">
        <v>3843588</v>
      </c>
      <c r="P211" s="113" t="s">
        <v>2494</v>
      </c>
      <c r="Q211" s="28" t="s">
        <v>612</v>
      </c>
      <c r="R211" s="28" t="s">
        <v>1301</v>
      </c>
      <c r="S211" s="28" t="s">
        <v>1301</v>
      </c>
      <c r="T211" s="28" t="s">
        <v>1329</v>
      </c>
      <c r="U211" s="28" t="s">
        <v>607</v>
      </c>
      <c r="V211" s="28" t="s">
        <v>1301</v>
      </c>
      <c r="W211" s="28" t="s">
        <v>1301</v>
      </c>
      <c r="X211" s="28" t="s">
        <v>1301</v>
      </c>
      <c r="Y211" s="28" t="s">
        <v>1301</v>
      </c>
      <c r="Z211" s="28" t="s">
        <v>1301</v>
      </c>
      <c r="AA211" s="28" t="s">
        <v>1301</v>
      </c>
      <c r="AB211" s="104" t="s">
        <v>2495</v>
      </c>
      <c r="AC211" s="104" t="s">
        <v>1340</v>
      </c>
      <c r="AD211" s="9" t="s">
        <v>1269</v>
      </c>
      <c r="AE211" s="9"/>
      <c r="AF211" s="9"/>
      <c r="AG211" s="34"/>
      <c r="AH211" s="9"/>
      <c r="AI211" s="45" t="s">
        <v>461</v>
      </c>
      <c r="AJ211" s="9"/>
      <c r="AK211" s="45"/>
      <c r="AL211" s="45" t="s">
        <v>461</v>
      </c>
      <c r="AM211" s="45" t="s">
        <v>461</v>
      </c>
      <c r="AN211" s="45" t="s">
        <v>461</v>
      </c>
      <c r="AO211" s="45" t="s">
        <v>461</v>
      </c>
      <c r="AP211" s="45" t="s">
        <v>461</v>
      </c>
      <c r="AQ211" s="45" t="s">
        <v>461</v>
      </c>
      <c r="AR211" s="45" t="s">
        <v>461</v>
      </c>
      <c r="AS211" s="45" t="s">
        <v>461</v>
      </c>
      <c r="AT211" s="45"/>
      <c r="AU211" s="45"/>
      <c r="AV211" s="45"/>
      <c r="AW211" s="9" t="s">
        <v>461</v>
      </c>
      <c r="AX211" s="9" t="s">
        <v>461</v>
      </c>
      <c r="AY211" s="9" t="s">
        <v>461</v>
      </c>
      <c r="AZ211" s="9" t="s">
        <v>461</v>
      </c>
      <c r="BA211" s="10" t="s">
        <v>1611</v>
      </c>
      <c r="BB211" s="29" t="s">
        <v>1611</v>
      </c>
      <c r="BC211" s="29" t="s">
        <v>1611</v>
      </c>
      <c r="BD211" s="29" t="s">
        <v>1611</v>
      </c>
      <c r="BE211" s="29" t="s">
        <v>1611</v>
      </c>
      <c r="BF211" s="29" t="s">
        <v>1611</v>
      </c>
      <c r="BG211" s="29" t="s">
        <v>1611</v>
      </c>
      <c r="BH211" s="29" t="s">
        <v>1611</v>
      </c>
      <c r="BI211" s="29" t="s">
        <v>2707</v>
      </c>
      <c r="BJ211" s="29" t="s">
        <v>2708</v>
      </c>
      <c r="BK211" s="29" t="s">
        <v>311</v>
      </c>
      <c r="BL211" s="29" t="s">
        <v>2725</v>
      </c>
      <c r="BM211" s="29" t="s">
        <v>1611</v>
      </c>
      <c r="BN211" s="29" t="s">
        <v>1611</v>
      </c>
      <c r="BO211" s="29" t="s">
        <v>1611</v>
      </c>
      <c r="BP211" s="29" t="s">
        <v>1611</v>
      </c>
      <c r="BQ211" s="29" t="s">
        <v>1611</v>
      </c>
      <c r="BR211" s="29" t="s">
        <v>1611</v>
      </c>
      <c r="BS211" s="29" t="s">
        <v>1611</v>
      </c>
      <c r="BT211" s="29" t="s">
        <v>1611</v>
      </c>
      <c r="BU211" s="29" t="s">
        <v>2990</v>
      </c>
      <c r="BV211" s="29" t="s">
        <v>2991</v>
      </c>
      <c r="BW211" s="29" t="s">
        <v>1611</v>
      </c>
      <c r="BX211" s="29" t="s">
        <v>1611</v>
      </c>
      <c r="BY211" s="29" t="s">
        <v>1611</v>
      </c>
      <c r="BZ211" s="29" t="s">
        <v>1611</v>
      </c>
      <c r="CA211" s="29" t="s">
        <v>1611</v>
      </c>
      <c r="CB211" s="29" t="s">
        <v>1611</v>
      </c>
      <c r="CC211" s="29" t="s">
        <v>1611</v>
      </c>
      <c r="CD211" s="29" t="s">
        <v>1611</v>
      </c>
      <c r="CE211" s="29" t="s">
        <v>1611</v>
      </c>
      <c r="CF211" s="29" t="s">
        <v>1611</v>
      </c>
      <c r="CG211" s="29" t="s">
        <v>153</v>
      </c>
      <c r="CH211" s="29" t="s">
        <v>2993</v>
      </c>
      <c r="CI211" s="29" t="s">
        <v>1611</v>
      </c>
      <c r="CJ211" s="29" t="s">
        <v>1611</v>
      </c>
      <c r="CK211" s="29" t="s">
        <v>152</v>
      </c>
      <c r="CL211" s="29" t="s">
        <v>2992</v>
      </c>
      <c r="CM211" s="29" t="s">
        <v>269</v>
      </c>
      <c r="CN211" s="29" t="s">
        <v>2994</v>
      </c>
      <c r="CO211" s="29"/>
      <c r="CP211" s="29"/>
      <c r="CQ211" s="29" t="s">
        <v>1611</v>
      </c>
      <c r="CR211" s="29" t="s">
        <v>1611</v>
      </c>
      <c r="CS211" s="29" t="s">
        <v>1611</v>
      </c>
      <c r="CT211" s="29" t="s">
        <v>1611</v>
      </c>
      <c r="CU211" s="29" t="s">
        <v>1611</v>
      </c>
      <c r="CV211" s="29" t="s">
        <v>1611</v>
      </c>
      <c r="CW211" s="29"/>
      <c r="CX211" s="29"/>
      <c r="CY211" s="151"/>
      <c r="CZ211" t="s">
        <v>3308</v>
      </c>
      <c r="DA211" t="s">
        <v>3634</v>
      </c>
      <c r="DD211" s="96" t="str">
        <f t="shared" si="3"/>
        <v/>
      </c>
      <c r="DF211" s="96" t="s">
        <v>3753</v>
      </c>
      <c r="DI211" s="215"/>
    </row>
    <row r="212" spans="1:113" ht="27" x14ac:dyDescent="0.3">
      <c r="A212" t="s">
        <v>3798</v>
      </c>
      <c r="B212" t="s">
        <v>3778</v>
      </c>
      <c r="C212" s="105">
        <v>1685841</v>
      </c>
      <c r="D212" s="27">
        <v>206</v>
      </c>
      <c r="E212" s="28" t="s">
        <v>822</v>
      </c>
      <c r="F212" s="28">
        <v>1000560765</v>
      </c>
      <c r="G212" s="29" t="s">
        <v>1233</v>
      </c>
      <c r="H212" s="28">
        <v>1685841</v>
      </c>
      <c r="I212" s="29" t="s">
        <v>1234</v>
      </c>
      <c r="J212" s="28" t="s">
        <v>854</v>
      </c>
      <c r="K212" s="7"/>
      <c r="L212" s="104" t="s">
        <v>774</v>
      </c>
      <c r="M212" s="29" t="s">
        <v>3823</v>
      </c>
      <c r="N212" s="29" t="s">
        <v>3799</v>
      </c>
      <c r="O212" s="127">
        <v>533474</v>
      </c>
      <c r="P212" s="113" t="s">
        <v>3825</v>
      </c>
      <c r="Q212" s="28" t="s">
        <v>612</v>
      </c>
      <c r="R212" s="28" t="s">
        <v>1329</v>
      </c>
      <c r="S212" s="28" t="s">
        <v>612</v>
      </c>
      <c r="T212" s="28" t="s">
        <v>1329</v>
      </c>
      <c r="U212" s="28" t="s">
        <v>612</v>
      </c>
      <c r="V212" s="28" t="s">
        <v>1301</v>
      </c>
      <c r="W212" s="28" t="s">
        <v>1301</v>
      </c>
      <c r="X212" s="28" t="s">
        <v>1301</v>
      </c>
      <c r="Y212" s="28" t="s">
        <v>1301</v>
      </c>
      <c r="Z212" s="28" t="s">
        <v>1301</v>
      </c>
      <c r="AA212" s="28" t="s">
        <v>1301</v>
      </c>
      <c r="AB212" s="104" t="s">
        <v>653</v>
      </c>
      <c r="AC212" s="104" t="s">
        <v>645</v>
      </c>
      <c r="AD212" s="9" t="s">
        <v>1269</v>
      </c>
      <c r="AE212" s="9"/>
      <c r="AF212" s="9"/>
      <c r="AG212" s="34"/>
      <c r="AH212" s="9"/>
      <c r="AI212" s="9" t="s">
        <v>2491</v>
      </c>
      <c r="AJ212" s="9"/>
      <c r="AK212" s="45"/>
      <c r="AL212" s="9" t="s">
        <v>2491</v>
      </c>
      <c r="AM212" s="45"/>
      <c r="AN212" s="45"/>
      <c r="AO212" s="45"/>
      <c r="AP212" s="45"/>
      <c r="AQ212" s="45"/>
      <c r="AR212" s="45"/>
      <c r="AS212" s="45"/>
      <c r="AT212" s="45"/>
      <c r="AU212" s="45"/>
      <c r="AV212" s="45"/>
      <c r="AW212" s="9" t="s">
        <v>46</v>
      </c>
      <c r="AX212" s="9" t="s">
        <v>46</v>
      </c>
      <c r="AY212" s="9" t="s">
        <v>46</v>
      </c>
      <c r="AZ212" s="9" t="s">
        <v>46</v>
      </c>
      <c r="BA212" s="10" t="s">
        <v>79</v>
      </c>
      <c r="BB212" s="29" t="s">
        <v>2612</v>
      </c>
      <c r="BC212" s="29" t="s">
        <v>1611</v>
      </c>
      <c r="BD212" s="29" t="s">
        <v>1611</v>
      </c>
      <c r="BE212" s="29" t="s">
        <v>2502</v>
      </c>
      <c r="BF212" s="29" t="s">
        <v>2503</v>
      </c>
      <c r="BG212" s="29" t="s">
        <v>2569</v>
      </c>
      <c r="BH212" s="29" t="s">
        <v>2570</v>
      </c>
      <c r="BI212" s="29" t="s">
        <v>2964</v>
      </c>
      <c r="BJ212" s="29" t="s">
        <v>2965</v>
      </c>
      <c r="BK212" s="29" t="s">
        <v>282</v>
      </c>
      <c r="BL212" s="29" t="s">
        <v>2787</v>
      </c>
      <c r="BM212" s="29" t="s">
        <v>1611</v>
      </c>
      <c r="BN212" s="29" t="s">
        <v>1611</v>
      </c>
      <c r="BO212" s="29" t="s">
        <v>1611</v>
      </c>
      <c r="BP212" s="29" t="s">
        <v>1611</v>
      </c>
      <c r="BQ212" s="29" t="s">
        <v>1611</v>
      </c>
      <c r="BR212" s="29" t="s">
        <v>1611</v>
      </c>
      <c r="BS212" s="29" t="s">
        <v>1611</v>
      </c>
      <c r="BT212" s="29" t="s">
        <v>1611</v>
      </c>
      <c r="BU212" s="29" t="s">
        <v>2366</v>
      </c>
      <c r="BV212" s="29" t="s">
        <v>3745</v>
      </c>
      <c r="BW212" s="29" t="s">
        <v>1611</v>
      </c>
      <c r="BX212" s="29" t="s">
        <v>1611</v>
      </c>
      <c r="BY212" s="29" t="s">
        <v>1611</v>
      </c>
      <c r="BZ212" s="29" t="s">
        <v>1611</v>
      </c>
      <c r="CA212" s="29" t="s">
        <v>1611</v>
      </c>
      <c r="CB212" s="29" t="s">
        <v>1611</v>
      </c>
      <c r="CC212" s="29" t="s">
        <v>1611</v>
      </c>
      <c r="CD212" s="29" t="s">
        <v>1611</v>
      </c>
      <c r="CE212" s="29" t="s">
        <v>1611</v>
      </c>
      <c r="CF212" s="29" t="s">
        <v>1611</v>
      </c>
      <c r="CG212" s="29" t="s">
        <v>1795</v>
      </c>
      <c r="CH212" s="29" t="s">
        <v>1913</v>
      </c>
      <c r="CI212" s="29" t="s">
        <v>1611</v>
      </c>
      <c r="CJ212" s="29" t="s">
        <v>1611</v>
      </c>
      <c r="CK212" s="29" t="s">
        <v>3826</v>
      </c>
      <c r="CL212" s="29" t="s">
        <v>3828</v>
      </c>
      <c r="CM212" s="29" t="s">
        <v>3827</v>
      </c>
      <c r="CN212" s="29" t="s">
        <v>3829</v>
      </c>
      <c r="CO212" s="29" t="s">
        <v>1611</v>
      </c>
      <c r="CP212" s="29" t="s">
        <v>1611</v>
      </c>
      <c r="CQ212" s="29" t="s">
        <v>1611</v>
      </c>
      <c r="CR212" s="29" t="s">
        <v>1611</v>
      </c>
      <c r="CS212" s="29" t="s">
        <v>1611</v>
      </c>
      <c r="CT212" s="29" t="s">
        <v>1611</v>
      </c>
      <c r="CU212" s="29" t="s">
        <v>1611</v>
      </c>
      <c r="CV212" s="29" t="s">
        <v>1611</v>
      </c>
      <c r="CW212" s="29"/>
      <c r="CX212" s="29"/>
      <c r="CY212" s="151"/>
      <c r="CZ212" t="s">
        <v>3628</v>
      </c>
      <c r="DA212" t="s">
        <v>3634</v>
      </c>
      <c r="DD212" s="96" t="str">
        <f t="shared" si="3"/>
        <v/>
      </c>
      <c r="DF212" s="96" t="s">
        <v>3753</v>
      </c>
      <c r="DI212" s="215"/>
    </row>
    <row r="213" spans="1:113" ht="16.5" customHeight="1" x14ac:dyDescent="0.3">
      <c r="C213" s="105">
        <v>1698637</v>
      </c>
      <c r="D213" s="27">
        <v>207</v>
      </c>
      <c r="E213" s="28" t="s">
        <v>656</v>
      </c>
      <c r="F213" s="28">
        <v>1000325313</v>
      </c>
      <c r="G213" s="29" t="s">
        <v>1235</v>
      </c>
      <c r="H213" s="28">
        <v>1698637</v>
      </c>
      <c r="I213" s="29" t="s">
        <v>1236</v>
      </c>
      <c r="J213" s="28" t="s">
        <v>659</v>
      </c>
      <c r="K213" s="7"/>
      <c r="L213" s="104" t="s">
        <v>775</v>
      </c>
      <c r="M213" s="29" t="s">
        <v>3824</v>
      </c>
      <c r="N213" s="29"/>
      <c r="O213" s="127"/>
      <c r="P213" s="28"/>
      <c r="Q213" s="28"/>
      <c r="R213" s="28"/>
      <c r="S213" s="28"/>
      <c r="T213" s="28"/>
      <c r="U213" s="28"/>
      <c r="V213" s="28"/>
      <c r="W213" s="28"/>
      <c r="X213" s="28"/>
      <c r="Y213" s="28"/>
      <c r="Z213" s="28"/>
      <c r="AA213" s="28"/>
      <c r="AB213" s="104"/>
      <c r="AC213" s="28"/>
      <c r="AD213" s="9" t="s">
        <v>1269</v>
      </c>
      <c r="AE213" s="39">
        <v>45870</v>
      </c>
      <c r="AF213" s="9" t="s">
        <v>1276</v>
      </c>
      <c r="AG213" s="108" t="s">
        <v>1312</v>
      </c>
      <c r="AH213" s="9"/>
      <c r="AI213" s="9"/>
      <c r="AJ213" s="9"/>
      <c r="AK213" s="45"/>
      <c r="AL213" s="45" t="s">
        <v>1611</v>
      </c>
      <c r="AM213" s="45"/>
      <c r="AN213" s="45"/>
      <c r="AO213" s="45"/>
      <c r="AP213" s="45"/>
      <c r="AQ213" s="45"/>
      <c r="AR213" s="45"/>
      <c r="AS213" s="45"/>
      <c r="AT213" s="45"/>
      <c r="AU213" s="45"/>
      <c r="AV213" s="45"/>
      <c r="AW213" s="9"/>
      <c r="AX213" s="9"/>
      <c r="AY213" s="9"/>
      <c r="AZ213" s="9"/>
      <c r="BA213" s="10" t="s">
        <v>158</v>
      </c>
      <c r="BB213" s="29" t="s">
        <v>2538</v>
      </c>
      <c r="BC213" s="29" t="s">
        <v>1611</v>
      </c>
      <c r="BD213" s="29" t="s">
        <v>1611</v>
      </c>
      <c r="BE213" s="29" t="s">
        <v>2502</v>
      </c>
      <c r="BF213" s="29" t="s">
        <v>2503</v>
      </c>
      <c r="BG213" s="29" t="s">
        <v>2599</v>
      </c>
      <c r="BH213" s="29" t="s">
        <v>2600</v>
      </c>
      <c r="BI213" s="29" t="s">
        <v>2800</v>
      </c>
      <c r="BJ213" s="29" t="s">
        <v>2801</v>
      </c>
      <c r="BK213" s="29" t="s">
        <v>2653</v>
      </c>
      <c r="BL213" s="29" t="s">
        <v>2654</v>
      </c>
      <c r="BM213" s="29" t="s">
        <v>1611</v>
      </c>
      <c r="BN213" s="29" t="s">
        <v>1611</v>
      </c>
      <c r="BO213" s="29" t="s">
        <v>1611</v>
      </c>
      <c r="BP213" s="29" t="s">
        <v>1611</v>
      </c>
      <c r="BQ213" s="29" t="s">
        <v>1611</v>
      </c>
      <c r="BR213" s="29" t="s">
        <v>1611</v>
      </c>
      <c r="BS213" s="29" t="s">
        <v>1611</v>
      </c>
      <c r="BT213" s="29" t="s">
        <v>1611</v>
      </c>
      <c r="BU213" s="29" t="s">
        <v>2729</v>
      </c>
      <c r="BV213" s="29" t="s">
        <v>2995</v>
      </c>
      <c r="BW213" s="29" t="s">
        <v>1611</v>
      </c>
      <c r="BX213" s="29" t="s">
        <v>1611</v>
      </c>
      <c r="BY213" s="29" t="s">
        <v>1611</v>
      </c>
      <c r="BZ213" s="29" t="s">
        <v>1611</v>
      </c>
      <c r="CA213" s="29" t="s">
        <v>1611</v>
      </c>
      <c r="CB213" s="29" t="s">
        <v>1611</v>
      </c>
      <c r="CC213" s="29" t="s">
        <v>1611</v>
      </c>
      <c r="CD213" s="29" t="s">
        <v>1611</v>
      </c>
      <c r="CE213" s="29" t="s">
        <v>1611</v>
      </c>
      <c r="CF213" s="29" t="s">
        <v>1611</v>
      </c>
      <c r="CG213" s="29" t="s">
        <v>2996</v>
      </c>
      <c r="CH213" s="29" t="s">
        <v>2997</v>
      </c>
      <c r="CI213" s="29" t="s">
        <v>1611</v>
      </c>
      <c r="CJ213" s="29" t="s">
        <v>1611</v>
      </c>
      <c r="CK213" s="29" t="s">
        <v>1611</v>
      </c>
      <c r="CL213" s="29" t="s">
        <v>1611</v>
      </c>
      <c r="CM213" s="29" t="s">
        <v>1611</v>
      </c>
      <c r="CN213" s="29" t="s">
        <v>1611</v>
      </c>
      <c r="CO213" s="29" t="s">
        <v>1611</v>
      </c>
      <c r="CP213" s="29" t="s">
        <v>1611</v>
      </c>
      <c r="CQ213" s="29" t="s">
        <v>1611</v>
      </c>
      <c r="CR213" s="29" t="s">
        <v>1611</v>
      </c>
      <c r="CS213" s="29" t="s">
        <v>1611</v>
      </c>
      <c r="CT213" s="29" t="s">
        <v>1611</v>
      </c>
      <c r="CU213" s="29" t="s">
        <v>1611</v>
      </c>
      <c r="CV213" s="29" t="s">
        <v>1611</v>
      </c>
      <c r="CW213" s="29"/>
      <c r="CX213" s="29"/>
      <c r="CY213" s="151"/>
      <c r="CZ213" t="e">
        <v>#N/A</v>
      </c>
      <c r="DA213" t="e">
        <v>#N/A</v>
      </c>
      <c r="DD213" s="96" t="str">
        <f t="shared" si="3"/>
        <v>V</v>
      </c>
      <c r="DI213" s="215"/>
    </row>
    <row r="214" spans="1:113" ht="16.5" customHeight="1" x14ac:dyDescent="0.3">
      <c r="C214" s="105">
        <v>1685098</v>
      </c>
      <c r="D214" s="27">
        <v>208</v>
      </c>
      <c r="E214" s="28" t="s">
        <v>786</v>
      </c>
      <c r="F214" s="28">
        <v>1000315866</v>
      </c>
      <c r="G214" s="29" t="s">
        <v>1237</v>
      </c>
      <c r="H214" s="28">
        <v>1685098</v>
      </c>
      <c r="I214" s="29" t="s">
        <v>1238</v>
      </c>
      <c r="J214" s="28" t="s">
        <v>854</v>
      </c>
      <c r="K214" s="7"/>
      <c r="L214" s="104" t="s">
        <v>776</v>
      </c>
      <c r="M214" s="29"/>
      <c r="N214" s="29"/>
      <c r="O214" s="127"/>
      <c r="P214" s="28"/>
      <c r="Q214" s="28"/>
      <c r="R214" s="28"/>
      <c r="S214" s="28"/>
      <c r="T214" s="28"/>
      <c r="U214" s="28"/>
      <c r="V214" s="28"/>
      <c r="W214" s="28"/>
      <c r="X214" s="28"/>
      <c r="Y214" s="28"/>
      <c r="Z214" s="28"/>
      <c r="AA214" s="28"/>
      <c r="AB214" s="104"/>
      <c r="AC214" s="104"/>
      <c r="AD214" s="9" t="s">
        <v>1269</v>
      </c>
      <c r="AE214" s="39">
        <v>45985</v>
      </c>
      <c r="AF214" s="9" t="s">
        <v>1276</v>
      </c>
      <c r="AG214" s="34" t="s">
        <v>3655</v>
      </c>
      <c r="AH214" s="9"/>
      <c r="AI214" s="9"/>
      <c r="AJ214" s="9"/>
      <c r="AK214" s="45"/>
      <c r="AL214" s="45" t="s">
        <v>1611</v>
      </c>
      <c r="AM214" s="45"/>
      <c r="AN214" s="45"/>
      <c r="AO214" s="45"/>
      <c r="AP214" s="45"/>
      <c r="AQ214" s="45"/>
      <c r="AR214" s="45"/>
      <c r="AS214" s="45"/>
      <c r="AT214" s="45"/>
      <c r="AU214" s="45"/>
      <c r="AV214" s="45"/>
      <c r="AW214" s="9"/>
      <c r="AX214" s="9"/>
      <c r="AY214" s="9"/>
      <c r="AZ214" s="9"/>
      <c r="BA214" s="10" t="s">
        <v>268</v>
      </c>
      <c r="BB214" s="29" t="s">
        <v>2608</v>
      </c>
      <c r="BC214" s="29" t="s">
        <v>1611</v>
      </c>
      <c r="BD214" s="29" t="s">
        <v>1611</v>
      </c>
      <c r="BE214" s="29" t="s">
        <v>2514</v>
      </c>
      <c r="BF214" s="29" t="s">
        <v>2515</v>
      </c>
      <c r="BG214" s="29" t="s">
        <v>2660</v>
      </c>
      <c r="BH214" s="29" t="s">
        <v>2661</v>
      </c>
      <c r="BI214" s="29" t="s">
        <v>80</v>
      </c>
      <c r="BJ214" s="29" t="s">
        <v>2688</v>
      </c>
      <c r="BK214" s="29" t="s">
        <v>129</v>
      </c>
      <c r="BL214" s="29" t="s">
        <v>2652</v>
      </c>
      <c r="BM214" s="29" t="s">
        <v>1611</v>
      </c>
      <c r="BN214" s="29" t="s">
        <v>1611</v>
      </c>
      <c r="BO214" s="29" t="s">
        <v>1611</v>
      </c>
      <c r="BP214" s="29" t="s">
        <v>1611</v>
      </c>
      <c r="BQ214" s="29" t="s">
        <v>1611</v>
      </c>
      <c r="BR214" s="29" t="s">
        <v>1611</v>
      </c>
      <c r="BS214" s="29" t="s">
        <v>1611</v>
      </c>
      <c r="BT214" s="29" t="s">
        <v>1611</v>
      </c>
      <c r="BU214" s="29" t="s">
        <v>2362</v>
      </c>
      <c r="BV214" s="29" t="s">
        <v>2404</v>
      </c>
      <c r="BW214" s="29" t="s">
        <v>1611</v>
      </c>
      <c r="BX214" s="29" t="s">
        <v>1611</v>
      </c>
      <c r="BY214" s="29" t="s">
        <v>1611</v>
      </c>
      <c r="BZ214" s="29" t="s">
        <v>1611</v>
      </c>
      <c r="CA214" s="29" t="s">
        <v>1611</v>
      </c>
      <c r="CB214" s="29" t="s">
        <v>1611</v>
      </c>
      <c r="CC214" s="29" t="s">
        <v>1611</v>
      </c>
      <c r="CD214" s="29" t="s">
        <v>1611</v>
      </c>
      <c r="CE214" s="29" t="s">
        <v>1611</v>
      </c>
      <c r="CF214" s="29" t="s">
        <v>1611</v>
      </c>
      <c r="CG214" s="29" t="s">
        <v>270</v>
      </c>
      <c r="CH214" s="29" t="s">
        <v>1867</v>
      </c>
      <c r="CI214" s="29" t="s">
        <v>1611</v>
      </c>
      <c r="CJ214" s="29" t="s">
        <v>1611</v>
      </c>
      <c r="CK214" s="29" t="s">
        <v>1611</v>
      </c>
      <c r="CL214" s="29" t="s">
        <v>1611</v>
      </c>
      <c r="CM214" s="29" t="s">
        <v>1611</v>
      </c>
      <c r="CN214" s="29" t="s">
        <v>1611</v>
      </c>
      <c r="CO214" s="29" t="s">
        <v>1611</v>
      </c>
      <c r="CP214" s="29" t="s">
        <v>1611</v>
      </c>
      <c r="CQ214" s="29" t="s">
        <v>1611</v>
      </c>
      <c r="CR214" s="29" t="s">
        <v>1611</v>
      </c>
      <c r="CS214" s="29" t="s">
        <v>1611</v>
      </c>
      <c r="CT214" s="29" t="s">
        <v>1611</v>
      </c>
      <c r="CU214" s="29" t="s">
        <v>1611</v>
      </c>
      <c r="CV214" s="29" t="s">
        <v>1611</v>
      </c>
      <c r="CW214" s="29"/>
      <c r="CX214" s="29"/>
      <c r="CY214" s="151"/>
      <c r="CZ214" t="e">
        <v>#N/A</v>
      </c>
      <c r="DA214" t="e">
        <v>#N/A</v>
      </c>
      <c r="DD214" s="96" t="str">
        <f t="shared" si="3"/>
        <v>V</v>
      </c>
      <c r="DI214" s="215"/>
    </row>
    <row r="215" spans="1:113" ht="16.5" customHeight="1" x14ac:dyDescent="0.3">
      <c r="C215" s="105">
        <v>1683594</v>
      </c>
      <c r="D215" s="27">
        <v>209</v>
      </c>
      <c r="E215" s="28" t="s">
        <v>822</v>
      </c>
      <c r="F215" s="28">
        <v>1000317622</v>
      </c>
      <c r="G215" s="29" t="s">
        <v>2346</v>
      </c>
      <c r="H215" s="28">
        <v>1683594</v>
      </c>
      <c r="I215" s="29" t="s">
        <v>1239</v>
      </c>
      <c r="J215" s="28" t="s">
        <v>659</v>
      </c>
      <c r="K215" s="7"/>
      <c r="L215" s="104" t="s">
        <v>480</v>
      </c>
      <c r="M215" s="29" t="s">
        <v>2355</v>
      </c>
      <c r="N215" s="29" t="s">
        <v>2356</v>
      </c>
      <c r="O215" s="127">
        <v>113883443</v>
      </c>
      <c r="P215" s="113" t="s">
        <v>1960</v>
      </c>
      <c r="Q215" s="28" t="s">
        <v>612</v>
      </c>
      <c r="R215" s="28" t="s">
        <v>1301</v>
      </c>
      <c r="S215" s="28" t="s">
        <v>1301</v>
      </c>
      <c r="T215" s="28" t="s">
        <v>1301</v>
      </c>
      <c r="U215" s="28" t="s">
        <v>1301</v>
      </c>
      <c r="V215" s="28" t="s">
        <v>1301</v>
      </c>
      <c r="W215" s="28" t="s">
        <v>1301</v>
      </c>
      <c r="X215" s="28" t="s">
        <v>1301</v>
      </c>
      <c r="Y215" s="28" t="s">
        <v>1301</v>
      </c>
      <c r="Z215" s="28" t="s">
        <v>1301</v>
      </c>
      <c r="AA215" s="28" t="s">
        <v>1301</v>
      </c>
      <c r="AB215" s="104" t="s">
        <v>663</v>
      </c>
      <c r="AC215" s="104" t="s">
        <v>661</v>
      </c>
      <c r="AD215" s="9" t="s">
        <v>1269</v>
      </c>
      <c r="AE215" s="9"/>
      <c r="AF215" s="9"/>
      <c r="AG215" s="34"/>
      <c r="AH215" s="9"/>
      <c r="AI215" s="45" t="s">
        <v>461</v>
      </c>
      <c r="AJ215" s="9"/>
      <c r="AK215" s="45"/>
      <c r="AL215" s="45" t="s">
        <v>461</v>
      </c>
      <c r="AM215" s="45" t="s">
        <v>461</v>
      </c>
      <c r="AN215" s="45" t="s">
        <v>461</v>
      </c>
      <c r="AO215" s="45" t="s">
        <v>461</v>
      </c>
      <c r="AP215" s="45" t="s">
        <v>461</v>
      </c>
      <c r="AQ215" s="45" t="s">
        <v>461</v>
      </c>
      <c r="AR215" s="45" t="s">
        <v>461</v>
      </c>
      <c r="AS215" s="45" t="s">
        <v>461</v>
      </c>
      <c r="AT215" s="45"/>
      <c r="AU215" s="45"/>
      <c r="AV215" s="45"/>
      <c r="AW215" s="45" t="s">
        <v>461</v>
      </c>
      <c r="AX215" s="45" t="s">
        <v>461</v>
      </c>
      <c r="AY215" s="45" t="s">
        <v>461</v>
      </c>
      <c r="AZ215" s="45" t="s">
        <v>461</v>
      </c>
      <c r="BA215" s="10" t="s">
        <v>1611</v>
      </c>
      <c r="BB215" s="29" t="s">
        <v>1611</v>
      </c>
      <c r="BC215" s="29" t="s">
        <v>1611</v>
      </c>
      <c r="BD215" s="29" t="s">
        <v>1611</v>
      </c>
      <c r="BE215" s="29" t="s">
        <v>1611</v>
      </c>
      <c r="BF215" s="29" t="s">
        <v>1611</v>
      </c>
      <c r="BG215" s="29" t="s">
        <v>1611</v>
      </c>
      <c r="BH215" s="29" t="s">
        <v>1611</v>
      </c>
      <c r="BI215" s="29" t="s">
        <v>276</v>
      </c>
      <c r="BJ215" s="29" t="s">
        <v>2771</v>
      </c>
      <c r="BK215" s="29" t="s">
        <v>243</v>
      </c>
      <c r="BL215" s="29" t="s">
        <v>2757</v>
      </c>
      <c r="BM215" s="29" t="s">
        <v>1611</v>
      </c>
      <c r="BN215" s="29" t="s">
        <v>1611</v>
      </c>
      <c r="BO215" s="29" t="s">
        <v>1611</v>
      </c>
      <c r="BP215" s="29" t="s">
        <v>1611</v>
      </c>
      <c r="BQ215" s="29" t="s">
        <v>1611</v>
      </c>
      <c r="BR215" s="29" t="s">
        <v>1611</v>
      </c>
      <c r="BS215" s="29" t="s">
        <v>1611</v>
      </c>
      <c r="BT215" s="29" t="s">
        <v>1611</v>
      </c>
      <c r="BU215" s="29" t="s">
        <v>319</v>
      </c>
      <c r="BV215" s="29" t="s">
        <v>2758</v>
      </c>
      <c r="BW215" s="29" t="s">
        <v>1611</v>
      </c>
      <c r="BX215" s="29" t="s">
        <v>1611</v>
      </c>
      <c r="BY215" s="29" t="s">
        <v>1611</v>
      </c>
      <c r="BZ215" s="29" t="s">
        <v>1611</v>
      </c>
      <c r="CA215" s="29" t="s">
        <v>1611</v>
      </c>
      <c r="CB215" s="29" t="s">
        <v>1611</v>
      </c>
      <c r="CC215" s="29" t="s">
        <v>1611</v>
      </c>
      <c r="CD215" s="29" t="s">
        <v>1611</v>
      </c>
      <c r="CE215" s="29" t="s">
        <v>1611</v>
      </c>
      <c r="CF215" s="29" t="s">
        <v>1611</v>
      </c>
      <c r="CG215" s="29" t="s">
        <v>320</v>
      </c>
      <c r="CH215" s="29" t="s">
        <v>1835</v>
      </c>
      <c r="CI215" s="29" t="s">
        <v>1611</v>
      </c>
      <c r="CJ215" s="29" t="s">
        <v>1611</v>
      </c>
      <c r="CK215" s="29" t="s">
        <v>2759</v>
      </c>
      <c r="CL215" s="29" t="s">
        <v>2760</v>
      </c>
      <c r="CM215" s="29" t="s">
        <v>2763</v>
      </c>
      <c r="CN215" s="29" t="s">
        <v>2764</v>
      </c>
      <c r="CO215" s="29" t="s">
        <v>1611</v>
      </c>
      <c r="CP215" s="29" t="s">
        <v>1611</v>
      </c>
      <c r="CQ215" s="29" t="s">
        <v>1611</v>
      </c>
      <c r="CR215" s="29" t="s">
        <v>1611</v>
      </c>
      <c r="CS215" s="29" t="s">
        <v>1611</v>
      </c>
      <c r="CT215" s="29" t="s">
        <v>1611</v>
      </c>
      <c r="CU215" s="29" t="s">
        <v>1611</v>
      </c>
      <c r="CV215" s="29" t="s">
        <v>1611</v>
      </c>
      <c r="CW215" s="29"/>
      <c r="CX215" s="29"/>
      <c r="CY215" s="151"/>
      <c r="CZ215" t="s">
        <v>3309</v>
      </c>
      <c r="DA215" t="s">
        <v>3634</v>
      </c>
      <c r="DD215" s="96" t="str">
        <f t="shared" si="3"/>
        <v/>
      </c>
      <c r="DF215" s="96" t="s">
        <v>3753</v>
      </c>
      <c r="DI215" s="215"/>
    </row>
    <row r="216" spans="1:113" ht="16.5" customHeight="1" x14ac:dyDescent="0.3">
      <c r="A216" t="s">
        <v>3798</v>
      </c>
      <c r="B216" t="s">
        <v>3778</v>
      </c>
      <c r="C216" s="105">
        <v>1657787</v>
      </c>
      <c r="D216" s="27">
        <v>210</v>
      </c>
      <c r="E216" s="28" t="s">
        <v>843</v>
      </c>
      <c r="F216" s="28">
        <v>1000317619</v>
      </c>
      <c r="G216" s="29" t="s">
        <v>1240</v>
      </c>
      <c r="H216" s="28">
        <v>1657787</v>
      </c>
      <c r="I216" s="29" t="s">
        <v>1241</v>
      </c>
      <c r="J216" s="28" t="s">
        <v>854</v>
      </c>
      <c r="K216" s="7"/>
      <c r="L216" s="104" t="s">
        <v>777</v>
      </c>
      <c r="M216" s="29" t="s">
        <v>3212</v>
      </c>
      <c r="N216" s="29" t="s">
        <v>3213</v>
      </c>
      <c r="O216" s="127">
        <v>168776</v>
      </c>
      <c r="P216" s="113" t="s">
        <v>1317</v>
      </c>
      <c r="Q216" s="28" t="s">
        <v>612</v>
      </c>
      <c r="R216" s="28" t="s">
        <v>1301</v>
      </c>
      <c r="S216" s="28" t="s">
        <v>1301</v>
      </c>
      <c r="T216" s="28" t="s">
        <v>1301</v>
      </c>
      <c r="U216" s="28" t="s">
        <v>1301</v>
      </c>
      <c r="V216" s="28" t="s">
        <v>1301</v>
      </c>
      <c r="W216" s="28" t="s">
        <v>1301</v>
      </c>
      <c r="X216" s="28" t="s">
        <v>1301</v>
      </c>
      <c r="Y216" s="28" t="s">
        <v>1301</v>
      </c>
      <c r="Z216" s="28" t="s">
        <v>1301</v>
      </c>
      <c r="AA216" s="28" t="s">
        <v>1301</v>
      </c>
      <c r="AB216" s="104" t="s">
        <v>663</v>
      </c>
      <c r="AC216" s="104" t="s">
        <v>661</v>
      </c>
      <c r="AD216" s="9" t="s">
        <v>1269</v>
      </c>
      <c r="AE216" s="9"/>
      <c r="AF216" s="9"/>
      <c r="AG216" s="34"/>
      <c r="AH216" s="9"/>
      <c r="AI216" s="9"/>
      <c r="AJ216" s="45" t="s">
        <v>461</v>
      </c>
      <c r="AK216" s="45"/>
      <c r="AL216" s="45" t="s">
        <v>3059</v>
      </c>
      <c r="AM216" s="45" t="s">
        <v>46</v>
      </c>
      <c r="AN216" s="45" t="s">
        <v>46</v>
      </c>
      <c r="AO216" s="45" t="s">
        <v>46</v>
      </c>
      <c r="AP216" s="45" t="s">
        <v>46</v>
      </c>
      <c r="AQ216" s="45" t="s">
        <v>46</v>
      </c>
      <c r="AR216" s="45" t="s">
        <v>46</v>
      </c>
      <c r="AS216" s="45"/>
      <c r="AT216" s="45"/>
      <c r="AU216" s="45"/>
      <c r="AV216" s="45"/>
      <c r="AW216" s="45" t="s">
        <v>46</v>
      </c>
      <c r="AX216" s="45" t="s">
        <v>46</v>
      </c>
      <c r="AY216" s="45" t="s">
        <v>46</v>
      </c>
      <c r="AZ216" s="45" t="s">
        <v>46</v>
      </c>
      <c r="BA216" s="10" t="s">
        <v>2497</v>
      </c>
      <c r="BB216" s="29" t="s">
        <v>2567</v>
      </c>
      <c r="BC216" s="29" t="s">
        <v>1611</v>
      </c>
      <c r="BD216" s="29" t="s">
        <v>1611</v>
      </c>
      <c r="BE216" s="29" t="s">
        <v>1611</v>
      </c>
      <c r="BF216" s="29" t="s">
        <v>1611</v>
      </c>
      <c r="BG216" s="29" t="s">
        <v>1611</v>
      </c>
      <c r="BH216" s="29" t="s">
        <v>1611</v>
      </c>
      <c r="BI216" s="29" t="s">
        <v>208</v>
      </c>
      <c r="BJ216" s="29" t="s">
        <v>2609</v>
      </c>
      <c r="BK216" s="29" t="s">
        <v>102</v>
      </c>
      <c r="BL216" s="29" t="s">
        <v>2780</v>
      </c>
      <c r="BM216" s="29" t="s">
        <v>1611</v>
      </c>
      <c r="BN216" s="29" t="s">
        <v>1611</v>
      </c>
      <c r="BO216" s="29" t="s">
        <v>1611</v>
      </c>
      <c r="BP216" s="29" t="s">
        <v>1611</v>
      </c>
      <c r="BQ216" s="29" t="s">
        <v>1611</v>
      </c>
      <c r="BR216" s="29" t="s">
        <v>1611</v>
      </c>
      <c r="BS216" s="29" t="s">
        <v>1611</v>
      </c>
      <c r="BT216" s="29" t="s">
        <v>1611</v>
      </c>
      <c r="BU216" s="29" t="s">
        <v>103</v>
      </c>
      <c r="BV216" s="29" t="s">
        <v>2403</v>
      </c>
      <c r="BW216" s="29" t="s">
        <v>1611</v>
      </c>
      <c r="BX216" s="29" t="s">
        <v>1611</v>
      </c>
      <c r="BY216" s="29" t="s">
        <v>1611</v>
      </c>
      <c r="BZ216" s="29" t="s">
        <v>1611</v>
      </c>
      <c r="CA216" s="29" t="s">
        <v>1611</v>
      </c>
      <c r="CB216" s="29" t="s">
        <v>1611</v>
      </c>
      <c r="CC216" s="29" t="s">
        <v>1611</v>
      </c>
      <c r="CD216" s="29" t="s">
        <v>1611</v>
      </c>
      <c r="CE216" s="29" t="s">
        <v>1611</v>
      </c>
      <c r="CF216" s="29" t="s">
        <v>1611</v>
      </c>
      <c r="CG216" s="29" t="s">
        <v>3203</v>
      </c>
      <c r="CH216" s="29" t="s">
        <v>3204</v>
      </c>
      <c r="CI216" s="29" t="s">
        <v>1611</v>
      </c>
      <c r="CJ216" s="29" t="s">
        <v>1611</v>
      </c>
      <c r="CK216" s="29" t="s">
        <v>3205</v>
      </c>
      <c r="CL216" s="29" t="s">
        <v>3206</v>
      </c>
      <c r="CM216" s="29" t="s">
        <v>1611</v>
      </c>
      <c r="CN216" s="29" t="s">
        <v>1611</v>
      </c>
      <c r="CO216" s="29" t="s">
        <v>1611</v>
      </c>
      <c r="CP216" s="29" t="s">
        <v>1611</v>
      </c>
      <c r="CQ216" s="29" t="s">
        <v>1611</v>
      </c>
      <c r="CR216" s="29" t="s">
        <v>1611</v>
      </c>
      <c r="CS216" s="29" t="s">
        <v>1611</v>
      </c>
      <c r="CT216" s="29" t="s">
        <v>1611</v>
      </c>
      <c r="CU216" s="29" t="s">
        <v>1611</v>
      </c>
      <c r="CV216" s="29" t="s">
        <v>1611</v>
      </c>
      <c r="CW216" s="29"/>
      <c r="CX216" s="29"/>
      <c r="CY216" s="151"/>
      <c r="CZ216" t="s">
        <v>3310</v>
      </c>
      <c r="DA216" t="s">
        <v>3634</v>
      </c>
      <c r="DD216" s="96" t="str">
        <f t="shared" si="3"/>
        <v/>
      </c>
      <c r="DF216" s="96" t="s">
        <v>3753</v>
      </c>
      <c r="DI216" s="215"/>
    </row>
    <row r="217" spans="1:113" ht="16.5" customHeight="1" x14ac:dyDescent="0.3">
      <c r="C217" s="105">
        <v>1660502</v>
      </c>
      <c r="D217" s="27">
        <v>211</v>
      </c>
      <c r="E217" s="28" t="s">
        <v>794</v>
      </c>
      <c r="F217" s="28">
        <v>1001248556</v>
      </c>
      <c r="G217" s="29" t="s">
        <v>1242</v>
      </c>
      <c r="H217" s="28">
        <v>1660502</v>
      </c>
      <c r="I217" s="29" t="s">
        <v>1243</v>
      </c>
      <c r="J217" s="28" t="s">
        <v>854</v>
      </c>
      <c r="K217" s="7"/>
      <c r="L217" s="104" t="s">
        <v>34</v>
      </c>
      <c r="M217" s="29"/>
      <c r="N217" s="29"/>
      <c r="O217" s="127"/>
      <c r="P217" s="28"/>
      <c r="Q217" s="28"/>
      <c r="R217" s="28"/>
      <c r="S217" s="28"/>
      <c r="T217" s="28"/>
      <c r="U217" s="28"/>
      <c r="V217" s="28"/>
      <c r="W217" s="28"/>
      <c r="X217" s="28"/>
      <c r="Y217" s="28"/>
      <c r="Z217" s="28"/>
      <c r="AA217" s="28"/>
      <c r="AB217" s="104"/>
      <c r="AC217" s="28"/>
      <c r="AD217" s="9" t="s">
        <v>1269</v>
      </c>
      <c r="AE217" s="39">
        <v>45867</v>
      </c>
      <c r="AF217" s="9" t="s">
        <v>1276</v>
      </c>
      <c r="AG217" s="34" t="s">
        <v>1299</v>
      </c>
      <c r="AH217" s="9"/>
      <c r="AI217" s="9"/>
      <c r="AJ217" s="9"/>
      <c r="AK217" s="45"/>
      <c r="AL217" s="45" t="s">
        <v>1611</v>
      </c>
      <c r="AM217" s="45"/>
      <c r="AN217" s="45"/>
      <c r="AO217" s="45"/>
      <c r="AP217" s="45"/>
      <c r="AQ217" s="45"/>
      <c r="AR217" s="45"/>
      <c r="AS217" s="45"/>
      <c r="AT217" s="45"/>
      <c r="AU217" s="45"/>
      <c r="AV217" s="45"/>
      <c r="AW217" s="9"/>
      <c r="AX217" s="9"/>
      <c r="AY217" s="9"/>
      <c r="AZ217" s="9"/>
      <c r="BA217" s="10" t="s">
        <v>173</v>
      </c>
      <c r="BB217" s="29" t="s">
        <v>2717</v>
      </c>
      <c r="BC217" s="29" t="s">
        <v>1611</v>
      </c>
      <c r="BD217" s="29" t="s">
        <v>1611</v>
      </c>
      <c r="BE217" s="29" t="s">
        <v>2514</v>
      </c>
      <c r="BF217" s="29" t="s">
        <v>2515</v>
      </c>
      <c r="BG217" s="29" t="s">
        <v>2650</v>
      </c>
      <c r="BH217" s="29" t="s">
        <v>2651</v>
      </c>
      <c r="BI217" s="29" t="s">
        <v>2932</v>
      </c>
      <c r="BJ217" s="29" t="s">
        <v>2933</v>
      </c>
      <c r="BK217" s="29" t="s">
        <v>2998</v>
      </c>
      <c r="BL217" s="29" t="s">
        <v>2999</v>
      </c>
      <c r="BM217" s="29" t="s">
        <v>1611</v>
      </c>
      <c r="BN217" s="29" t="s">
        <v>1611</v>
      </c>
      <c r="BO217" s="29" t="s">
        <v>1611</v>
      </c>
      <c r="BP217" s="29" t="s">
        <v>1611</v>
      </c>
      <c r="BQ217" s="29" t="s">
        <v>1611</v>
      </c>
      <c r="BR217" s="29" t="s">
        <v>1611</v>
      </c>
      <c r="BS217" s="29" t="s">
        <v>1611</v>
      </c>
      <c r="BT217" s="29" t="s">
        <v>1611</v>
      </c>
      <c r="BU217" s="29" t="s">
        <v>2618</v>
      </c>
      <c r="BV217" s="29" t="s">
        <v>2619</v>
      </c>
      <c r="BW217" s="29" t="s">
        <v>1611</v>
      </c>
      <c r="BX217" s="29" t="s">
        <v>1611</v>
      </c>
      <c r="BY217" s="29" t="s">
        <v>1611</v>
      </c>
      <c r="BZ217" s="29" t="s">
        <v>1611</v>
      </c>
      <c r="CA217" s="29" t="s">
        <v>1611</v>
      </c>
      <c r="CB217" s="29" t="s">
        <v>1611</v>
      </c>
      <c r="CC217" s="29" t="s">
        <v>1611</v>
      </c>
      <c r="CD217" s="29" t="s">
        <v>1611</v>
      </c>
      <c r="CE217" s="29" t="s">
        <v>1611</v>
      </c>
      <c r="CF217" s="29" t="s">
        <v>1611</v>
      </c>
      <c r="CG217" s="29" t="s">
        <v>3000</v>
      </c>
      <c r="CH217" s="29" t="s">
        <v>3001</v>
      </c>
      <c r="CI217" s="29" t="s">
        <v>1611</v>
      </c>
      <c r="CJ217" s="29" t="s">
        <v>1611</v>
      </c>
      <c r="CK217" s="29" t="s">
        <v>1611</v>
      </c>
      <c r="CL217" s="29" t="s">
        <v>1611</v>
      </c>
      <c r="CM217" s="29" t="s">
        <v>1611</v>
      </c>
      <c r="CN217" s="29" t="s">
        <v>1611</v>
      </c>
      <c r="CO217" s="29" t="s">
        <v>1611</v>
      </c>
      <c r="CP217" s="29" t="s">
        <v>1611</v>
      </c>
      <c r="CQ217" s="29" t="s">
        <v>1611</v>
      </c>
      <c r="CR217" s="29" t="s">
        <v>1611</v>
      </c>
      <c r="CS217" s="29" t="s">
        <v>1611</v>
      </c>
      <c r="CT217" s="29" t="s">
        <v>1611</v>
      </c>
      <c r="CU217" s="29" t="s">
        <v>1611</v>
      </c>
      <c r="CV217" s="29" t="s">
        <v>1611</v>
      </c>
      <c r="CW217" s="29"/>
      <c r="CX217" s="29"/>
      <c r="CY217" s="151"/>
      <c r="CZ217" t="e">
        <v>#N/A</v>
      </c>
      <c r="DA217" t="e">
        <v>#N/A</v>
      </c>
      <c r="DD217" s="96" t="str">
        <f t="shared" si="3"/>
        <v>V</v>
      </c>
      <c r="DI217" s="215"/>
    </row>
    <row r="218" spans="1:113" ht="16.5" customHeight="1" x14ac:dyDescent="0.3">
      <c r="C218" s="105">
        <v>1666203</v>
      </c>
      <c r="D218" s="27">
        <v>212</v>
      </c>
      <c r="E218" s="28" t="s">
        <v>808</v>
      </c>
      <c r="F218" s="28">
        <v>1000638810</v>
      </c>
      <c r="G218" s="29" t="s">
        <v>1244</v>
      </c>
      <c r="H218" s="28">
        <v>1666203</v>
      </c>
      <c r="I218" s="29" t="s">
        <v>1245</v>
      </c>
      <c r="J218" s="28" t="s">
        <v>854</v>
      </c>
      <c r="K218" s="7"/>
      <c r="L218" s="104" t="s">
        <v>683</v>
      </c>
      <c r="M218" s="29"/>
      <c r="N218" s="29"/>
      <c r="O218" s="127"/>
      <c r="P218" s="28"/>
      <c r="Q218" s="28"/>
      <c r="R218" s="28"/>
      <c r="S218" s="28"/>
      <c r="T218" s="28"/>
      <c r="U218" s="28"/>
      <c r="V218" s="28"/>
      <c r="W218" s="28"/>
      <c r="X218" s="28"/>
      <c r="Y218" s="28"/>
      <c r="Z218" s="28"/>
      <c r="AA218" s="28"/>
      <c r="AB218" s="104"/>
      <c r="AC218" s="104"/>
      <c r="AD218" s="9" t="s">
        <v>1269</v>
      </c>
      <c r="AE218" s="39">
        <v>46058</v>
      </c>
      <c r="AF218" s="9" t="s">
        <v>1276</v>
      </c>
      <c r="AG218" s="34" t="s">
        <v>3754</v>
      </c>
      <c r="AH218" s="9"/>
      <c r="AI218" s="9"/>
      <c r="AJ218" s="9"/>
      <c r="AK218" s="45"/>
      <c r="AL218" s="45"/>
      <c r="AM218" s="45"/>
      <c r="AN218" s="45"/>
      <c r="AO218" s="45"/>
      <c r="AP218" s="45"/>
      <c r="AQ218" s="45"/>
      <c r="AR218" s="45"/>
      <c r="AS218" s="45"/>
      <c r="AT218" s="45"/>
      <c r="AU218" s="45"/>
      <c r="AV218" s="45"/>
      <c r="AW218" s="9"/>
      <c r="AX218" s="9"/>
      <c r="AY218" s="9"/>
      <c r="AZ218" s="9"/>
      <c r="BA218" s="10" t="s">
        <v>173</v>
      </c>
      <c r="BB218" s="29" t="s">
        <v>2717</v>
      </c>
      <c r="BC218" s="29" t="s">
        <v>2496</v>
      </c>
      <c r="BD218" s="29" t="s">
        <v>2550</v>
      </c>
      <c r="BE218" s="29" t="s">
        <v>2514</v>
      </c>
      <c r="BF218" s="29" t="s">
        <v>2515</v>
      </c>
      <c r="BG218" s="29" t="s">
        <v>2650</v>
      </c>
      <c r="BH218" s="29" t="s">
        <v>2651</v>
      </c>
      <c r="BI218" s="29" t="s">
        <v>408</v>
      </c>
      <c r="BJ218" s="29" t="s">
        <v>2601</v>
      </c>
      <c r="BK218" s="29" t="s">
        <v>2785</v>
      </c>
      <c r="BL218" s="29" t="s">
        <v>2786</v>
      </c>
      <c r="BM218" s="29" t="s">
        <v>1611</v>
      </c>
      <c r="BN218" s="29" t="s">
        <v>1611</v>
      </c>
      <c r="BO218" s="29" t="s">
        <v>1611</v>
      </c>
      <c r="BP218" s="29" t="s">
        <v>1611</v>
      </c>
      <c r="BQ218" s="29" t="s">
        <v>1611</v>
      </c>
      <c r="BR218" s="29" t="s">
        <v>1611</v>
      </c>
      <c r="BS218" s="29" t="s">
        <v>1611</v>
      </c>
      <c r="BT218" s="29" t="s">
        <v>1611</v>
      </c>
      <c r="BU218" s="29" t="s">
        <v>2392</v>
      </c>
      <c r="BV218" s="29" t="s">
        <v>2440</v>
      </c>
      <c r="BW218" s="29" t="s">
        <v>1611</v>
      </c>
      <c r="BX218" s="29" t="s">
        <v>1611</v>
      </c>
      <c r="BY218" s="29" t="s">
        <v>1611</v>
      </c>
      <c r="BZ218" s="29" t="s">
        <v>1611</v>
      </c>
      <c r="CA218" s="29" t="s">
        <v>1611</v>
      </c>
      <c r="CB218" s="29" t="s">
        <v>1611</v>
      </c>
      <c r="CC218" s="29" t="s">
        <v>1611</v>
      </c>
      <c r="CD218" s="29" t="s">
        <v>1611</v>
      </c>
      <c r="CE218" s="29" t="s">
        <v>1611</v>
      </c>
      <c r="CF218" s="29" t="s">
        <v>1611</v>
      </c>
      <c r="CG218" s="29" t="s">
        <v>1779</v>
      </c>
      <c r="CH218" s="29" t="s">
        <v>1897</v>
      </c>
      <c r="CI218" s="29" t="s">
        <v>1611</v>
      </c>
      <c r="CJ218" s="29" t="s">
        <v>1611</v>
      </c>
      <c r="CK218" s="29" t="s">
        <v>1611</v>
      </c>
      <c r="CL218" s="29" t="s">
        <v>1611</v>
      </c>
      <c r="CM218" s="29" t="s">
        <v>1611</v>
      </c>
      <c r="CN218" s="29" t="s">
        <v>1611</v>
      </c>
      <c r="CO218" s="29" t="s">
        <v>1611</v>
      </c>
      <c r="CP218" s="29" t="s">
        <v>1611</v>
      </c>
      <c r="CQ218" s="29" t="s">
        <v>1611</v>
      </c>
      <c r="CR218" s="29" t="s">
        <v>1611</v>
      </c>
      <c r="CS218" s="29" t="s">
        <v>1611</v>
      </c>
      <c r="CT218" s="29" t="s">
        <v>1611</v>
      </c>
      <c r="CU218" s="29" t="s">
        <v>1611</v>
      </c>
      <c r="CV218" s="29" t="s">
        <v>1611</v>
      </c>
      <c r="CW218" s="29"/>
      <c r="CX218" s="29"/>
      <c r="CY218" s="151"/>
      <c r="CZ218" t="e">
        <v>#N/A</v>
      </c>
      <c r="DA218" t="e">
        <v>#N/A</v>
      </c>
      <c r="DC218" s="96" t="s">
        <v>3700</v>
      </c>
      <c r="DD218" s="96" t="str">
        <f t="shared" si="3"/>
        <v>V</v>
      </c>
      <c r="DI218" s="215"/>
    </row>
    <row r="219" spans="1:113" ht="16.5" customHeight="1" x14ac:dyDescent="0.3">
      <c r="C219" s="105">
        <v>1683457</v>
      </c>
      <c r="D219" s="27">
        <v>214</v>
      </c>
      <c r="E219" s="28" t="s">
        <v>808</v>
      </c>
      <c r="F219" s="28">
        <v>1001370449</v>
      </c>
      <c r="G219" s="29" t="s">
        <v>1246</v>
      </c>
      <c r="H219" s="28">
        <v>1683457</v>
      </c>
      <c r="I219" s="29" t="s">
        <v>1247</v>
      </c>
      <c r="J219" s="28" t="s">
        <v>854</v>
      </c>
      <c r="K219" s="7"/>
      <c r="L219" s="104" t="s">
        <v>34</v>
      </c>
      <c r="M219" s="29"/>
      <c r="N219" s="29"/>
      <c r="O219" s="127">
        <v>456138</v>
      </c>
      <c r="P219" s="28" t="s">
        <v>1301</v>
      </c>
      <c r="Q219" s="28" t="s">
        <v>1301</v>
      </c>
      <c r="R219" s="28" t="s">
        <v>1301</v>
      </c>
      <c r="S219" s="28" t="s">
        <v>1301</v>
      </c>
      <c r="T219" s="28" t="s">
        <v>1329</v>
      </c>
      <c r="U219" s="28" t="s">
        <v>612</v>
      </c>
      <c r="V219" s="28" t="s">
        <v>1301</v>
      </c>
      <c r="W219" s="28" t="s">
        <v>1301</v>
      </c>
      <c r="X219" s="28" t="s">
        <v>1301</v>
      </c>
      <c r="Y219" s="28" t="s">
        <v>1301</v>
      </c>
      <c r="Z219" s="28" t="s">
        <v>1301</v>
      </c>
      <c r="AA219" s="28" t="s">
        <v>1301</v>
      </c>
      <c r="AB219" s="104" t="s">
        <v>663</v>
      </c>
      <c r="AC219" s="104" t="s">
        <v>661</v>
      </c>
      <c r="AD219" s="9" t="s">
        <v>1269</v>
      </c>
      <c r="AE219" s="39">
        <v>45876</v>
      </c>
      <c r="AF219" s="9" t="s">
        <v>1276</v>
      </c>
      <c r="AG219" s="34" t="s">
        <v>1605</v>
      </c>
      <c r="AH219" s="9"/>
      <c r="AI219" s="9" t="s">
        <v>1303</v>
      </c>
      <c r="AJ219" s="9"/>
      <c r="AK219" s="45"/>
      <c r="AL219" s="45" t="s">
        <v>461</v>
      </c>
      <c r="AM219" s="45" t="s">
        <v>1303</v>
      </c>
      <c r="AN219" s="45" t="s">
        <v>1303</v>
      </c>
      <c r="AO219" s="45" t="s">
        <v>46</v>
      </c>
      <c r="AP219" s="45" t="s">
        <v>46</v>
      </c>
      <c r="AQ219" s="45" t="s">
        <v>46</v>
      </c>
      <c r="AR219" s="45" t="s">
        <v>46</v>
      </c>
      <c r="AS219" s="45"/>
      <c r="AT219" s="45"/>
      <c r="AU219" s="45"/>
      <c r="AV219" s="45"/>
      <c r="AW219" s="9"/>
      <c r="AX219" s="9"/>
      <c r="AY219" s="9"/>
      <c r="AZ219" s="9"/>
      <c r="BA219" s="10" t="s">
        <v>2497</v>
      </c>
      <c r="BB219" s="29" t="s">
        <v>2567</v>
      </c>
      <c r="BC219" s="29" t="s">
        <v>1611</v>
      </c>
      <c r="BD219" s="29" t="s">
        <v>1611</v>
      </c>
      <c r="BE219" s="29" t="s">
        <v>1611</v>
      </c>
      <c r="BF219" s="29" t="s">
        <v>1611</v>
      </c>
      <c r="BG219" s="29" t="s">
        <v>1762</v>
      </c>
      <c r="BH219" s="29" t="s">
        <v>2504</v>
      </c>
      <c r="BI219" s="29" t="s">
        <v>80</v>
      </c>
      <c r="BJ219" s="29" t="s">
        <v>2688</v>
      </c>
      <c r="BK219" s="29" t="s">
        <v>2828</v>
      </c>
      <c r="BL219" s="29" t="s">
        <v>2829</v>
      </c>
      <c r="BM219" s="29" t="s">
        <v>1611</v>
      </c>
      <c r="BN219" s="29" t="s">
        <v>1611</v>
      </c>
      <c r="BO219" s="29" t="s">
        <v>1611</v>
      </c>
      <c r="BP219" s="29" t="s">
        <v>1611</v>
      </c>
      <c r="BQ219" s="29" t="s">
        <v>1611</v>
      </c>
      <c r="BR219" s="29" t="s">
        <v>1611</v>
      </c>
      <c r="BS219" s="29" t="s">
        <v>1611</v>
      </c>
      <c r="BT219" s="29" t="s">
        <v>1611</v>
      </c>
      <c r="BU219" s="29" t="s">
        <v>2363</v>
      </c>
      <c r="BV219" s="29" t="s">
        <v>2405</v>
      </c>
      <c r="BW219" s="29" t="s">
        <v>1611</v>
      </c>
      <c r="BX219" s="29" t="s">
        <v>1611</v>
      </c>
      <c r="BY219" s="29" t="s">
        <v>1611</v>
      </c>
      <c r="BZ219" s="29" t="s">
        <v>1611</v>
      </c>
      <c r="CA219" s="29" t="s">
        <v>1611</v>
      </c>
      <c r="CB219" s="29" t="s">
        <v>1611</v>
      </c>
      <c r="CC219" s="29" t="s">
        <v>1611</v>
      </c>
      <c r="CD219" s="29" t="s">
        <v>1611</v>
      </c>
      <c r="CE219" s="29" t="s">
        <v>1611</v>
      </c>
      <c r="CF219" s="29" t="s">
        <v>1611</v>
      </c>
      <c r="CG219" s="29" t="s">
        <v>3002</v>
      </c>
      <c r="CH219" s="29" t="s">
        <v>3003</v>
      </c>
      <c r="CI219" s="29" t="s">
        <v>1611</v>
      </c>
      <c r="CJ219" s="29" t="s">
        <v>1611</v>
      </c>
      <c r="CK219" s="29" t="s">
        <v>3004</v>
      </c>
      <c r="CL219" s="29" t="s">
        <v>3005</v>
      </c>
      <c r="CM219" s="29" t="s">
        <v>3006</v>
      </c>
      <c r="CN219" s="29" t="s">
        <v>3007</v>
      </c>
      <c r="CO219" s="29" t="s">
        <v>1611</v>
      </c>
      <c r="CP219" s="29" t="s">
        <v>1611</v>
      </c>
      <c r="CQ219" s="29" t="s">
        <v>1611</v>
      </c>
      <c r="CR219" s="29" t="s">
        <v>1611</v>
      </c>
      <c r="CS219" s="29" t="s">
        <v>1611</v>
      </c>
      <c r="CT219" s="29" t="s">
        <v>1611</v>
      </c>
      <c r="CU219" s="29" t="s">
        <v>1611</v>
      </c>
      <c r="CV219" s="29" t="s">
        <v>1611</v>
      </c>
      <c r="CW219" s="29"/>
      <c r="CX219" s="29"/>
      <c r="CY219" s="151"/>
      <c r="CZ219" t="s">
        <v>2263</v>
      </c>
      <c r="DA219" t="s">
        <v>3634</v>
      </c>
      <c r="DD219" s="96" t="str">
        <f t="shared" si="3"/>
        <v>V</v>
      </c>
      <c r="DI219" s="215"/>
    </row>
    <row r="220" spans="1:113" ht="16.5" customHeight="1" x14ac:dyDescent="0.3">
      <c r="C220" s="105">
        <v>1683474</v>
      </c>
      <c r="D220" s="27">
        <v>215</v>
      </c>
      <c r="E220" s="28" t="s">
        <v>843</v>
      </c>
      <c r="F220" s="28">
        <v>1001468444</v>
      </c>
      <c r="G220" s="29" t="s">
        <v>1248</v>
      </c>
      <c r="H220" s="28">
        <v>1683474</v>
      </c>
      <c r="I220" s="29" t="s">
        <v>1249</v>
      </c>
      <c r="J220" s="28" t="s">
        <v>854</v>
      </c>
      <c r="K220" s="7"/>
      <c r="L220" s="104" t="s">
        <v>90</v>
      </c>
      <c r="M220" s="29"/>
      <c r="N220" s="29"/>
      <c r="O220" s="127"/>
      <c r="P220" s="28"/>
      <c r="Q220" s="28"/>
      <c r="R220" s="28"/>
      <c r="S220" s="28"/>
      <c r="T220" s="28"/>
      <c r="U220" s="28"/>
      <c r="V220" s="28"/>
      <c r="W220" s="28"/>
      <c r="X220" s="28"/>
      <c r="Y220" s="28"/>
      <c r="Z220" s="28"/>
      <c r="AA220" s="28"/>
      <c r="AB220" s="104" t="s">
        <v>663</v>
      </c>
      <c r="AC220" s="104" t="s">
        <v>661</v>
      </c>
      <c r="AD220" s="9" t="s">
        <v>1269</v>
      </c>
      <c r="AE220" s="9"/>
      <c r="AF220" s="9" t="s">
        <v>3784</v>
      </c>
      <c r="AG220" s="34"/>
      <c r="AH220" s="9"/>
      <c r="AI220" s="9"/>
      <c r="AJ220" s="9"/>
      <c r="AK220" s="45"/>
      <c r="AL220" s="45" t="s">
        <v>2278</v>
      </c>
      <c r="AM220" s="45" t="s">
        <v>46</v>
      </c>
      <c r="AN220" s="45"/>
      <c r="AO220" s="45"/>
      <c r="AP220" s="45"/>
      <c r="AQ220" s="45"/>
      <c r="AR220" s="45"/>
      <c r="AS220" s="45"/>
      <c r="AT220" s="45"/>
      <c r="AU220" s="45"/>
      <c r="AV220" s="45" t="s">
        <v>46</v>
      </c>
      <c r="AW220" s="9"/>
      <c r="AX220" s="9"/>
      <c r="AY220" s="9"/>
      <c r="AZ220" s="9"/>
      <c r="BA220" s="10" t="s">
        <v>184</v>
      </c>
      <c r="BB220" s="29" t="s">
        <v>2568</v>
      </c>
      <c r="BC220" s="29" t="s">
        <v>1611</v>
      </c>
      <c r="BD220" s="29" t="s">
        <v>1611</v>
      </c>
      <c r="BE220" s="29" t="s">
        <v>2502</v>
      </c>
      <c r="BF220" s="29" t="s">
        <v>2503</v>
      </c>
      <c r="BG220" s="29" t="s">
        <v>2660</v>
      </c>
      <c r="BH220" s="29" t="s">
        <v>2661</v>
      </c>
      <c r="BI220" s="29" t="s">
        <v>94</v>
      </c>
      <c r="BJ220" s="29" t="s">
        <v>2630</v>
      </c>
      <c r="BK220" s="29" t="s">
        <v>2723</v>
      </c>
      <c r="BL220" s="29" t="s">
        <v>2724</v>
      </c>
      <c r="BM220" s="29" t="s">
        <v>1611</v>
      </c>
      <c r="BN220" s="29" t="s">
        <v>1611</v>
      </c>
      <c r="BO220" s="29" t="s">
        <v>1611</v>
      </c>
      <c r="BP220" s="29" t="s">
        <v>1611</v>
      </c>
      <c r="BQ220" s="29" t="s">
        <v>1611</v>
      </c>
      <c r="BR220" s="29" t="s">
        <v>1611</v>
      </c>
      <c r="BS220" s="29" t="s">
        <v>1611</v>
      </c>
      <c r="BT220" s="29" t="s">
        <v>1611</v>
      </c>
      <c r="BU220" s="29" t="s">
        <v>2705</v>
      </c>
      <c r="BV220" s="29" t="s">
        <v>2706</v>
      </c>
      <c r="BW220" s="29" t="s">
        <v>1611</v>
      </c>
      <c r="BX220" s="29" t="s">
        <v>1611</v>
      </c>
      <c r="BY220" s="29" t="s">
        <v>1611</v>
      </c>
      <c r="BZ220" s="29" t="s">
        <v>1611</v>
      </c>
      <c r="CA220" s="29" t="s">
        <v>1611</v>
      </c>
      <c r="CB220" s="29" t="s">
        <v>1611</v>
      </c>
      <c r="CC220" s="29" t="s">
        <v>1611</v>
      </c>
      <c r="CD220" s="29" t="s">
        <v>1611</v>
      </c>
      <c r="CE220" s="29" t="s">
        <v>1611</v>
      </c>
      <c r="CF220" s="29" t="s">
        <v>1611</v>
      </c>
      <c r="CG220" s="29" t="s">
        <v>1727</v>
      </c>
      <c r="CH220" s="29" t="s">
        <v>1836</v>
      </c>
      <c r="CI220" s="29" t="s">
        <v>1611</v>
      </c>
      <c r="CJ220" s="29" t="s">
        <v>1611</v>
      </c>
      <c r="CK220" s="29" t="s">
        <v>1611</v>
      </c>
      <c r="CL220" s="29" t="s">
        <v>1611</v>
      </c>
      <c r="CM220" s="29" t="s">
        <v>1611</v>
      </c>
      <c r="CN220" s="29" t="s">
        <v>1611</v>
      </c>
      <c r="CO220" s="29" t="s">
        <v>1611</v>
      </c>
      <c r="CP220" s="29" t="s">
        <v>1611</v>
      </c>
      <c r="CQ220" s="29" t="s">
        <v>1611</v>
      </c>
      <c r="CR220" s="29" t="s">
        <v>1611</v>
      </c>
      <c r="CS220" s="29" t="s">
        <v>1611</v>
      </c>
      <c r="CT220" s="29" t="s">
        <v>1611</v>
      </c>
      <c r="CU220" s="29" t="s">
        <v>1611</v>
      </c>
      <c r="CV220" s="29" t="s">
        <v>1611</v>
      </c>
      <c r="CW220" s="29"/>
      <c r="CX220" s="29"/>
      <c r="CY220" s="151"/>
      <c r="CZ220" t="s">
        <v>3629</v>
      </c>
      <c r="DA220" t="s">
        <v>3594</v>
      </c>
      <c r="DC220" s="96" t="s">
        <v>3700</v>
      </c>
      <c r="DD220" s="96" t="str">
        <f t="shared" si="3"/>
        <v/>
      </c>
      <c r="DF220" s="96" t="s">
        <v>46</v>
      </c>
      <c r="DI220" s="215"/>
    </row>
    <row r="221" spans="1:113" ht="16.5" customHeight="1" x14ac:dyDescent="0.3">
      <c r="C221" s="105">
        <v>1683794</v>
      </c>
      <c r="D221" s="27">
        <v>216</v>
      </c>
      <c r="E221" s="28" t="s">
        <v>843</v>
      </c>
      <c r="F221" s="28">
        <v>1000771643</v>
      </c>
      <c r="G221" s="29" t="s">
        <v>2327</v>
      </c>
      <c r="H221" s="28">
        <v>1683794</v>
      </c>
      <c r="I221" s="29" t="s">
        <v>1250</v>
      </c>
      <c r="J221" s="28" t="s">
        <v>854</v>
      </c>
      <c r="K221" s="7"/>
      <c r="L221" s="104" t="s">
        <v>749</v>
      </c>
      <c r="M221" s="29" t="s">
        <v>3131</v>
      </c>
      <c r="N221" s="29" t="s">
        <v>3132</v>
      </c>
      <c r="O221" s="127">
        <v>57167</v>
      </c>
      <c r="P221" s="28" t="s">
        <v>1301</v>
      </c>
      <c r="Q221" s="28" t="s">
        <v>1301</v>
      </c>
      <c r="R221" s="28" t="s">
        <v>1301</v>
      </c>
      <c r="S221" s="28" t="s">
        <v>1301</v>
      </c>
      <c r="T221" s="28" t="s">
        <v>1329</v>
      </c>
      <c r="U221" s="28" t="s">
        <v>612</v>
      </c>
      <c r="V221" s="28" t="s">
        <v>1301</v>
      </c>
      <c r="W221" s="28" t="s">
        <v>1301</v>
      </c>
      <c r="X221" s="28" t="s">
        <v>1301</v>
      </c>
      <c r="Y221" s="28" t="s">
        <v>1301</v>
      </c>
      <c r="Z221" s="28" t="s">
        <v>1301</v>
      </c>
      <c r="AA221" s="28" t="s">
        <v>1301</v>
      </c>
      <c r="AB221" s="104" t="s">
        <v>2328</v>
      </c>
      <c r="AC221" s="104" t="s">
        <v>2329</v>
      </c>
      <c r="AD221" s="9" t="s">
        <v>1269</v>
      </c>
      <c r="AE221" s="39">
        <v>46062</v>
      </c>
      <c r="AF221" s="9" t="s">
        <v>1276</v>
      </c>
      <c r="AG221" s="34" t="s">
        <v>3760</v>
      </c>
      <c r="AH221" s="9"/>
      <c r="AI221" s="9" t="s">
        <v>46</v>
      </c>
      <c r="AJ221" s="9"/>
      <c r="AK221" s="45"/>
      <c r="AL221" s="45" t="s">
        <v>46</v>
      </c>
      <c r="AM221" s="45" t="s">
        <v>46</v>
      </c>
      <c r="AN221" s="45" t="s">
        <v>46</v>
      </c>
      <c r="AO221" s="45" t="s">
        <v>46</v>
      </c>
      <c r="AP221" s="45" t="s">
        <v>46</v>
      </c>
      <c r="AQ221" s="45" t="s">
        <v>46</v>
      </c>
      <c r="AR221" s="45" t="s">
        <v>46</v>
      </c>
      <c r="AS221" s="45"/>
      <c r="AT221" s="45"/>
      <c r="AU221" s="45"/>
      <c r="AV221" s="45"/>
      <c r="AW221" s="9"/>
      <c r="AX221" s="9"/>
      <c r="AY221" s="9"/>
      <c r="AZ221" s="9"/>
      <c r="BA221" s="10" t="s">
        <v>173</v>
      </c>
      <c r="BB221" s="29" t="s">
        <v>2717</v>
      </c>
      <c r="BC221" s="29" t="s">
        <v>1611</v>
      </c>
      <c r="BD221" s="29" t="s">
        <v>1611</v>
      </c>
      <c r="BE221" s="29" t="s">
        <v>2502</v>
      </c>
      <c r="BF221" s="29" t="s">
        <v>2503</v>
      </c>
      <c r="BG221" s="29" t="s">
        <v>2660</v>
      </c>
      <c r="BH221" s="29" t="s">
        <v>2661</v>
      </c>
      <c r="BI221" s="29" t="s">
        <v>191</v>
      </c>
      <c r="BJ221" s="29" t="s">
        <v>2685</v>
      </c>
      <c r="BK221" s="29" t="s">
        <v>2723</v>
      </c>
      <c r="BL221" s="29" t="s">
        <v>2724</v>
      </c>
      <c r="BM221" s="29" t="s">
        <v>1611</v>
      </c>
      <c r="BN221" s="29" t="s">
        <v>1611</v>
      </c>
      <c r="BO221" s="29" t="s">
        <v>1611</v>
      </c>
      <c r="BP221" s="29" t="s">
        <v>1611</v>
      </c>
      <c r="BQ221" s="29" t="s">
        <v>1611</v>
      </c>
      <c r="BR221" s="29" t="s">
        <v>1611</v>
      </c>
      <c r="BS221" s="29" t="s">
        <v>1611</v>
      </c>
      <c r="BT221" s="29" t="s">
        <v>1611</v>
      </c>
      <c r="BU221" s="29" t="s">
        <v>3082</v>
      </c>
      <c r="BV221" s="29" t="s">
        <v>3083</v>
      </c>
      <c r="BW221" s="29" t="s">
        <v>1611</v>
      </c>
      <c r="BX221" s="29" t="s">
        <v>1611</v>
      </c>
      <c r="BY221" s="29" t="s">
        <v>1611</v>
      </c>
      <c r="BZ221" s="29" t="s">
        <v>1611</v>
      </c>
      <c r="CA221" s="29" t="s">
        <v>1611</v>
      </c>
      <c r="CB221" s="29" t="s">
        <v>1611</v>
      </c>
      <c r="CC221" s="29" t="s">
        <v>1611</v>
      </c>
      <c r="CD221" s="29" t="s">
        <v>1611</v>
      </c>
      <c r="CE221" s="29" t="s">
        <v>1611</v>
      </c>
      <c r="CF221" s="29" t="s">
        <v>1611</v>
      </c>
      <c r="CG221" s="29" t="s">
        <v>3081</v>
      </c>
      <c r="CH221" s="29" t="s">
        <v>3080</v>
      </c>
      <c r="CI221" s="29" t="s">
        <v>1611</v>
      </c>
      <c r="CJ221" s="29" t="s">
        <v>1611</v>
      </c>
      <c r="CK221" s="29" t="s">
        <v>3133</v>
      </c>
      <c r="CL221" s="29" t="s">
        <v>3135</v>
      </c>
      <c r="CM221" s="29" t="s">
        <v>3134</v>
      </c>
      <c r="CN221" s="29" t="s">
        <v>3136</v>
      </c>
      <c r="CO221" s="29" t="s">
        <v>1611</v>
      </c>
      <c r="CP221" s="29" t="s">
        <v>1611</v>
      </c>
      <c r="CQ221" s="29" t="s">
        <v>1611</v>
      </c>
      <c r="CR221" s="29" t="s">
        <v>1611</v>
      </c>
      <c r="CS221" s="29" t="s">
        <v>1611</v>
      </c>
      <c r="CT221" s="29" t="s">
        <v>1611</v>
      </c>
      <c r="CU221" s="29" t="s">
        <v>1611</v>
      </c>
      <c r="CV221" s="29" t="s">
        <v>1611</v>
      </c>
      <c r="CW221" s="29"/>
      <c r="CX221" s="29"/>
      <c r="CY221" s="151"/>
      <c r="CZ221" t="s">
        <v>3311</v>
      </c>
      <c r="DA221" t="s">
        <v>3634</v>
      </c>
      <c r="DC221" s="96" t="s">
        <v>46</v>
      </c>
      <c r="DD221" s="96" t="str">
        <f t="shared" si="3"/>
        <v>V</v>
      </c>
      <c r="DI221" s="215"/>
    </row>
    <row r="222" spans="1:113" ht="16.5" customHeight="1" x14ac:dyDescent="0.3">
      <c r="C222" s="105">
        <v>1683977</v>
      </c>
      <c r="D222" s="27">
        <v>217</v>
      </c>
      <c r="E222" s="28" t="s">
        <v>784</v>
      </c>
      <c r="F222" s="28">
        <v>1001149648</v>
      </c>
      <c r="G222" s="29" t="s">
        <v>1251</v>
      </c>
      <c r="H222" s="28">
        <v>1683977</v>
      </c>
      <c r="I222" s="29" t="s">
        <v>1252</v>
      </c>
      <c r="J222" s="28" t="s">
        <v>659</v>
      </c>
      <c r="K222" s="7"/>
      <c r="L222" s="104" t="s">
        <v>778</v>
      </c>
      <c r="M222" s="29"/>
      <c r="N222" s="29"/>
      <c r="O222" s="127"/>
      <c r="P222" s="28"/>
      <c r="Q222" s="28"/>
      <c r="R222" s="28"/>
      <c r="S222" s="28"/>
      <c r="T222" s="28"/>
      <c r="U222" s="28"/>
      <c r="V222" s="28"/>
      <c r="W222" s="28"/>
      <c r="X222" s="28"/>
      <c r="Y222" s="28"/>
      <c r="Z222" s="28"/>
      <c r="AA222" s="28"/>
      <c r="AB222" s="104"/>
      <c r="AC222" s="104"/>
      <c r="AD222" s="9" t="s">
        <v>1269</v>
      </c>
      <c r="AE222" s="39">
        <v>45694</v>
      </c>
      <c r="AF222" s="9" t="s">
        <v>1276</v>
      </c>
      <c r="AG222" s="34" t="s">
        <v>3759</v>
      </c>
      <c r="AH222" s="9"/>
      <c r="AI222" s="9" t="s">
        <v>2491</v>
      </c>
      <c r="AJ222" s="9"/>
      <c r="AK222" s="45"/>
      <c r="AL222" s="9" t="s">
        <v>2491</v>
      </c>
      <c r="AM222" s="45"/>
      <c r="AN222" s="45"/>
      <c r="AO222" s="45"/>
      <c r="AP222" s="45"/>
      <c r="AQ222" s="45"/>
      <c r="AR222" s="45"/>
      <c r="AS222" s="45"/>
      <c r="AT222" s="45"/>
      <c r="AU222" s="45"/>
      <c r="AV222" s="45"/>
      <c r="AW222" s="9"/>
      <c r="AX222" s="9"/>
      <c r="AY222" s="9"/>
      <c r="AZ222" s="9"/>
      <c r="BA222" s="10" t="s">
        <v>1611</v>
      </c>
      <c r="BB222" s="29" t="s">
        <v>1611</v>
      </c>
      <c r="BC222" s="29" t="s">
        <v>1611</v>
      </c>
      <c r="BD222" s="29" t="s">
        <v>1611</v>
      </c>
      <c r="BE222" s="29" t="s">
        <v>1611</v>
      </c>
      <c r="BF222" s="29" t="s">
        <v>1611</v>
      </c>
      <c r="BG222" s="29" t="s">
        <v>1611</v>
      </c>
      <c r="BH222" s="29" t="s">
        <v>1611</v>
      </c>
      <c r="BI222" s="29" t="s">
        <v>2806</v>
      </c>
      <c r="BJ222" s="29" t="s">
        <v>2807</v>
      </c>
      <c r="BK222" s="29" t="s">
        <v>2932</v>
      </c>
      <c r="BL222" s="29" t="s">
        <v>2933</v>
      </c>
      <c r="BM222" s="29" t="s">
        <v>1611</v>
      </c>
      <c r="BN222" s="29" t="s">
        <v>1611</v>
      </c>
      <c r="BO222" s="29" t="s">
        <v>1611</v>
      </c>
      <c r="BP222" s="29" t="s">
        <v>1611</v>
      </c>
      <c r="BQ222" s="29" t="s">
        <v>1611</v>
      </c>
      <c r="BR222" s="29" t="s">
        <v>1611</v>
      </c>
      <c r="BS222" s="29" t="s">
        <v>1611</v>
      </c>
      <c r="BT222" s="29" t="s">
        <v>1611</v>
      </c>
      <c r="BU222" s="29" t="s">
        <v>2390</v>
      </c>
      <c r="BV222" s="29" t="s">
        <v>2438</v>
      </c>
      <c r="BW222" s="29" t="s">
        <v>1611</v>
      </c>
      <c r="BX222" s="29" t="s">
        <v>1611</v>
      </c>
      <c r="BY222" s="29" t="s">
        <v>1611</v>
      </c>
      <c r="BZ222" s="29" t="s">
        <v>1611</v>
      </c>
      <c r="CA222" s="29" t="s">
        <v>1611</v>
      </c>
      <c r="CB222" s="29" t="s">
        <v>1611</v>
      </c>
      <c r="CC222" s="29" t="s">
        <v>1611</v>
      </c>
      <c r="CD222" s="29" t="s">
        <v>1611</v>
      </c>
      <c r="CE222" s="29" t="s">
        <v>1611</v>
      </c>
      <c r="CF222" s="29" t="s">
        <v>1611</v>
      </c>
      <c r="CG222" s="29" t="s">
        <v>1797</v>
      </c>
      <c r="CH222" s="29" t="s">
        <v>3703</v>
      </c>
      <c r="CI222" s="29" t="s">
        <v>1611</v>
      </c>
      <c r="CJ222" s="29" t="s">
        <v>1611</v>
      </c>
      <c r="CK222" s="29" t="s">
        <v>1611</v>
      </c>
      <c r="CL222" s="29" t="s">
        <v>1611</v>
      </c>
      <c r="CM222" s="29" t="s">
        <v>1611</v>
      </c>
      <c r="CN222" s="29" t="s">
        <v>1611</v>
      </c>
      <c r="CO222" s="29" t="s">
        <v>1611</v>
      </c>
      <c r="CP222" s="29" t="s">
        <v>1611</v>
      </c>
      <c r="CQ222" s="29" t="s">
        <v>1611</v>
      </c>
      <c r="CR222" s="29" t="s">
        <v>1611</v>
      </c>
      <c r="CS222" s="29" t="s">
        <v>1611</v>
      </c>
      <c r="CT222" s="29" t="s">
        <v>1611</v>
      </c>
      <c r="CU222" s="29" t="s">
        <v>1611</v>
      </c>
      <c r="CV222" s="29" t="s">
        <v>1611</v>
      </c>
      <c r="CW222" s="29"/>
      <c r="CX222" s="29"/>
      <c r="CY222" s="151"/>
      <c r="CZ222" t="s">
        <v>3630</v>
      </c>
      <c r="DA222" t="s">
        <v>3587</v>
      </c>
      <c r="DC222" s="96" t="s">
        <v>3700</v>
      </c>
      <c r="DD222" s="96" t="str">
        <f t="shared" si="3"/>
        <v>V</v>
      </c>
      <c r="DI222" s="215"/>
    </row>
    <row r="223" spans="1:113" ht="16.5" customHeight="1" x14ac:dyDescent="0.3">
      <c r="C223" s="105">
        <v>1707994</v>
      </c>
      <c r="D223" s="27">
        <v>218</v>
      </c>
      <c r="E223" s="28" t="s">
        <v>818</v>
      </c>
      <c r="F223" s="28">
        <v>1001212855</v>
      </c>
      <c r="G223" s="29" t="s">
        <v>1254</v>
      </c>
      <c r="H223" s="28">
        <v>1707994</v>
      </c>
      <c r="I223" s="29" t="s">
        <v>1255</v>
      </c>
      <c r="J223" s="28" t="s">
        <v>659</v>
      </c>
      <c r="K223" s="7"/>
      <c r="L223" s="104" t="s">
        <v>779</v>
      </c>
      <c r="M223" s="29"/>
      <c r="N223" s="29"/>
      <c r="O223" s="127"/>
      <c r="P223" s="28"/>
      <c r="Q223" s="28"/>
      <c r="R223" s="28"/>
      <c r="S223" s="28"/>
      <c r="T223" s="28"/>
      <c r="U223" s="28"/>
      <c r="V223" s="28"/>
      <c r="W223" s="28"/>
      <c r="X223" s="28"/>
      <c r="Y223" s="28"/>
      <c r="Z223" s="28"/>
      <c r="AA223" s="28"/>
      <c r="AB223" s="104"/>
      <c r="AC223" s="104"/>
      <c r="AD223" s="9" t="s">
        <v>1269</v>
      </c>
      <c r="AE223" s="39">
        <v>46059</v>
      </c>
      <c r="AF223" s="9" t="s">
        <v>1276</v>
      </c>
      <c r="AG223" s="34" t="s">
        <v>3511</v>
      </c>
      <c r="AH223" s="9"/>
      <c r="AI223" s="9"/>
      <c r="AJ223" s="9"/>
      <c r="AK223" s="45"/>
      <c r="AL223" s="45"/>
      <c r="AM223" s="45"/>
      <c r="AN223" s="45"/>
      <c r="AO223" s="45"/>
      <c r="AP223" s="45"/>
      <c r="AQ223" s="45"/>
      <c r="AR223" s="45"/>
      <c r="AS223" s="45"/>
      <c r="AT223" s="45"/>
      <c r="AU223" s="45"/>
      <c r="AV223" s="45"/>
      <c r="AW223" s="9"/>
      <c r="AX223" s="9"/>
      <c r="AY223" s="9"/>
      <c r="AZ223" s="9"/>
      <c r="BA223" s="10" t="s">
        <v>147</v>
      </c>
      <c r="BB223" s="29" t="s">
        <v>2695</v>
      </c>
      <c r="BC223" s="29" t="s">
        <v>1611</v>
      </c>
      <c r="BD223" s="29" t="s">
        <v>1611</v>
      </c>
      <c r="BE223" s="29" t="s">
        <v>1611</v>
      </c>
      <c r="BF223" s="29" t="s">
        <v>1611</v>
      </c>
      <c r="BG223" s="29" t="s">
        <v>1762</v>
      </c>
      <c r="BH223" s="29" t="s">
        <v>2504</v>
      </c>
      <c r="BI223" s="29" t="s">
        <v>81</v>
      </c>
      <c r="BJ223" s="29" t="s">
        <v>2799</v>
      </c>
      <c r="BK223" s="29" t="s">
        <v>2748</v>
      </c>
      <c r="BL223" s="29" t="s">
        <v>2749</v>
      </c>
      <c r="BM223" s="29" t="s">
        <v>1611</v>
      </c>
      <c r="BN223" s="29" t="s">
        <v>1611</v>
      </c>
      <c r="BO223" s="29" t="s">
        <v>1611</v>
      </c>
      <c r="BP223" s="29" t="s">
        <v>1611</v>
      </c>
      <c r="BQ223" s="29" t="s">
        <v>1611</v>
      </c>
      <c r="BR223" s="29" t="s">
        <v>1611</v>
      </c>
      <c r="BS223" s="29" t="s">
        <v>1611</v>
      </c>
      <c r="BT223" s="29" t="s">
        <v>1611</v>
      </c>
      <c r="BU223" s="29" t="s">
        <v>2376</v>
      </c>
      <c r="BV223" s="29" t="s">
        <v>2420</v>
      </c>
      <c r="BW223" s="29" t="s">
        <v>1611</v>
      </c>
      <c r="BX223" s="29" t="s">
        <v>1611</v>
      </c>
      <c r="BY223" s="29" t="s">
        <v>1611</v>
      </c>
      <c r="BZ223" s="29" t="s">
        <v>1611</v>
      </c>
      <c r="CA223" s="29" t="s">
        <v>1611</v>
      </c>
      <c r="CB223" s="29" t="s">
        <v>1611</v>
      </c>
      <c r="CC223" s="29" t="s">
        <v>1611</v>
      </c>
      <c r="CD223" s="29" t="s">
        <v>1611</v>
      </c>
      <c r="CE223" s="29" t="s">
        <v>1611</v>
      </c>
      <c r="CF223" s="29" t="s">
        <v>1611</v>
      </c>
      <c r="CG223" s="29" t="s">
        <v>246</v>
      </c>
      <c r="CH223" s="29" t="s">
        <v>1820</v>
      </c>
      <c r="CI223" s="29" t="s">
        <v>1611</v>
      </c>
      <c r="CJ223" s="29" t="s">
        <v>1611</v>
      </c>
      <c r="CK223" s="29" t="s">
        <v>1611</v>
      </c>
      <c r="CL223" s="29" t="s">
        <v>1611</v>
      </c>
      <c r="CM223" s="29" t="s">
        <v>1611</v>
      </c>
      <c r="CN223" s="29" t="s">
        <v>1611</v>
      </c>
      <c r="CO223" s="29" t="s">
        <v>1611</v>
      </c>
      <c r="CP223" s="29" t="s">
        <v>1611</v>
      </c>
      <c r="CQ223" s="29" t="s">
        <v>1611</v>
      </c>
      <c r="CR223" s="29" t="s">
        <v>1611</v>
      </c>
      <c r="CS223" s="29" t="s">
        <v>1611</v>
      </c>
      <c r="CT223" s="29" t="s">
        <v>1611</v>
      </c>
      <c r="CU223" s="29" t="s">
        <v>1611</v>
      </c>
      <c r="CV223" s="29" t="s">
        <v>1611</v>
      </c>
      <c r="CW223" s="29"/>
      <c r="CX223" s="29"/>
      <c r="CY223" s="151"/>
      <c r="CZ223" t="e">
        <v>#N/A</v>
      </c>
      <c r="DA223" t="e">
        <v>#N/A</v>
      </c>
      <c r="DD223" s="96" t="str">
        <f t="shared" si="3"/>
        <v>V</v>
      </c>
      <c r="DI223" s="215"/>
    </row>
    <row r="224" spans="1:113" ht="16.5" customHeight="1" x14ac:dyDescent="0.3">
      <c r="A224" t="s">
        <v>3912</v>
      </c>
      <c r="B224" t="s">
        <v>3778</v>
      </c>
      <c r="C224" s="105">
        <v>1682798</v>
      </c>
      <c r="D224" s="27">
        <v>219</v>
      </c>
      <c r="E224" s="28" t="s">
        <v>808</v>
      </c>
      <c r="F224" s="28">
        <v>1000316316</v>
      </c>
      <c r="G224" s="29" t="s">
        <v>1256</v>
      </c>
      <c r="H224" s="28">
        <v>1682798</v>
      </c>
      <c r="I224" s="29" t="s">
        <v>1257</v>
      </c>
      <c r="J224" s="28" t="s">
        <v>659</v>
      </c>
      <c r="K224" s="7"/>
      <c r="L224" s="104" t="s">
        <v>472</v>
      </c>
      <c r="M224" s="29"/>
      <c r="N224" s="29"/>
      <c r="O224" s="127">
        <v>318295</v>
      </c>
      <c r="P224" s="113" t="s">
        <v>1627</v>
      </c>
      <c r="Q224" s="28" t="s">
        <v>612</v>
      </c>
      <c r="R224" s="28" t="s">
        <v>1301</v>
      </c>
      <c r="S224" s="28" t="s">
        <v>1301</v>
      </c>
      <c r="T224" s="28" t="s">
        <v>1329</v>
      </c>
      <c r="U224" s="28" t="s">
        <v>612</v>
      </c>
      <c r="V224" s="28" t="s">
        <v>1301</v>
      </c>
      <c r="W224" s="28" t="s">
        <v>1301</v>
      </c>
      <c r="X224" s="28" t="s">
        <v>1301</v>
      </c>
      <c r="Y224" s="28" t="s">
        <v>1301</v>
      </c>
      <c r="Z224" s="28" t="s">
        <v>1301</v>
      </c>
      <c r="AA224" s="28" t="s">
        <v>1301</v>
      </c>
      <c r="AB224" s="104" t="s">
        <v>663</v>
      </c>
      <c r="AC224" s="104" t="s">
        <v>661</v>
      </c>
      <c r="AD224" s="9" t="s">
        <v>1269</v>
      </c>
      <c r="AE224" s="9"/>
      <c r="AF224" s="9"/>
      <c r="AG224" s="34"/>
      <c r="AH224" s="9"/>
      <c r="AI224" s="9" t="s">
        <v>2491</v>
      </c>
      <c r="AJ224" s="9"/>
      <c r="AK224" s="45"/>
      <c r="AL224" s="9" t="s">
        <v>2491</v>
      </c>
      <c r="AM224" s="9" t="s">
        <v>46</v>
      </c>
      <c r="AN224" s="9" t="s">
        <v>46</v>
      </c>
      <c r="AO224" s="9" t="s">
        <v>46</v>
      </c>
      <c r="AP224" s="9" t="s">
        <v>46</v>
      </c>
      <c r="AQ224" s="9" t="s">
        <v>46</v>
      </c>
      <c r="AR224" s="9" t="s">
        <v>46</v>
      </c>
      <c r="AS224" s="45"/>
      <c r="AT224" s="45"/>
      <c r="AU224" s="45"/>
      <c r="AV224" s="45"/>
      <c r="AW224" s="9" t="s">
        <v>461</v>
      </c>
      <c r="AX224" s="9" t="s">
        <v>461</v>
      </c>
      <c r="AY224" s="9" t="s">
        <v>461</v>
      </c>
      <c r="AZ224" s="9" t="s">
        <v>461</v>
      </c>
      <c r="BA224" s="10" t="s">
        <v>1611</v>
      </c>
      <c r="BB224" s="29" t="s">
        <v>1611</v>
      </c>
      <c r="BC224" s="29" t="s">
        <v>1611</v>
      </c>
      <c r="BD224" s="29" t="s">
        <v>1611</v>
      </c>
      <c r="BE224" s="29" t="s">
        <v>1611</v>
      </c>
      <c r="BF224" s="29" t="s">
        <v>1611</v>
      </c>
      <c r="BG224" s="29" t="s">
        <v>1611</v>
      </c>
      <c r="BH224" s="29" t="s">
        <v>1611</v>
      </c>
      <c r="BI224" s="29" t="s">
        <v>140</v>
      </c>
      <c r="BJ224" s="29" t="s">
        <v>2674</v>
      </c>
      <c r="BK224" s="29" t="s">
        <v>512</v>
      </c>
      <c r="BL224" s="29" t="s">
        <v>2770</v>
      </c>
      <c r="BM224" s="29" t="s">
        <v>1611</v>
      </c>
      <c r="BN224" s="29" t="s">
        <v>1611</v>
      </c>
      <c r="BO224" s="29" t="s">
        <v>1611</v>
      </c>
      <c r="BP224" s="29" t="s">
        <v>1611</v>
      </c>
      <c r="BQ224" s="29" t="s">
        <v>1611</v>
      </c>
      <c r="BR224" s="29" t="s">
        <v>1611</v>
      </c>
      <c r="BS224" s="29" t="s">
        <v>1611</v>
      </c>
      <c r="BT224" s="29" t="s">
        <v>1611</v>
      </c>
      <c r="BU224" s="29" t="s">
        <v>2392</v>
      </c>
      <c r="BV224" s="29" t="s">
        <v>2440</v>
      </c>
      <c r="BW224" s="29" t="s">
        <v>1611</v>
      </c>
      <c r="BX224" s="29" t="s">
        <v>1611</v>
      </c>
      <c r="BY224" s="29" t="s">
        <v>1611</v>
      </c>
      <c r="BZ224" s="29" t="s">
        <v>1611</v>
      </c>
      <c r="CA224" s="29" t="s">
        <v>1611</v>
      </c>
      <c r="CB224" s="29" t="s">
        <v>1611</v>
      </c>
      <c r="CC224" s="29" t="s">
        <v>1611</v>
      </c>
      <c r="CD224" s="29" t="s">
        <v>1611</v>
      </c>
      <c r="CE224" s="29" t="s">
        <v>1611</v>
      </c>
      <c r="CF224" s="29" t="s">
        <v>1611</v>
      </c>
      <c r="CG224" s="29" t="s">
        <v>3914</v>
      </c>
      <c r="CH224" s="29" t="s">
        <v>3913</v>
      </c>
      <c r="CI224" s="29" t="s">
        <v>1611</v>
      </c>
      <c r="CJ224" s="29" t="s">
        <v>1611</v>
      </c>
      <c r="CK224" s="29" t="s">
        <v>3315</v>
      </c>
      <c r="CL224" s="29" t="s">
        <v>3316</v>
      </c>
      <c r="CM224" s="29"/>
      <c r="CN224" s="29"/>
      <c r="CO224" s="29" t="s">
        <v>1611</v>
      </c>
      <c r="CP224" s="29" t="s">
        <v>1611</v>
      </c>
      <c r="CQ224" s="29" t="s">
        <v>1611</v>
      </c>
      <c r="CR224" s="29" t="s">
        <v>1611</v>
      </c>
      <c r="CS224" s="29" t="s">
        <v>1611</v>
      </c>
      <c r="CT224" s="29" t="s">
        <v>1611</v>
      </c>
      <c r="CU224" s="29" t="s">
        <v>1611</v>
      </c>
      <c r="CV224" s="29" t="s">
        <v>1611</v>
      </c>
      <c r="CW224" s="29"/>
      <c r="CX224" s="29"/>
      <c r="CY224" s="151"/>
      <c r="CZ224" t="s">
        <v>3631</v>
      </c>
      <c r="DA224" t="s">
        <v>3634</v>
      </c>
      <c r="DD224" s="96" t="str">
        <f t="shared" si="3"/>
        <v/>
      </c>
      <c r="DF224" s="96" t="s">
        <v>3753</v>
      </c>
      <c r="DI224" s="215"/>
    </row>
    <row r="225" spans="1:113" ht="16.5" customHeight="1" x14ac:dyDescent="0.3">
      <c r="C225" s="105">
        <v>1669081</v>
      </c>
      <c r="D225" s="27">
        <v>220</v>
      </c>
      <c r="E225" s="28" t="s">
        <v>786</v>
      </c>
      <c r="F225" s="28">
        <v>1001304267</v>
      </c>
      <c r="G225" s="29" t="s">
        <v>1259</v>
      </c>
      <c r="H225" s="28">
        <v>1669081</v>
      </c>
      <c r="I225" s="29" t="s">
        <v>1260</v>
      </c>
      <c r="J225" s="28" t="s">
        <v>659</v>
      </c>
      <c r="K225" s="7"/>
      <c r="L225" s="104" t="s">
        <v>733</v>
      </c>
      <c r="M225" s="29"/>
      <c r="N225" s="29"/>
      <c r="O225" s="127"/>
      <c r="P225" s="28"/>
      <c r="Q225" s="28"/>
      <c r="R225" s="28"/>
      <c r="S225" s="28"/>
      <c r="T225" s="28"/>
      <c r="U225" s="28"/>
      <c r="V225" s="28"/>
      <c r="W225" s="28"/>
      <c r="X225" s="28"/>
      <c r="Y225" s="28"/>
      <c r="Z225" s="28"/>
      <c r="AA225" s="28"/>
      <c r="AB225" s="104"/>
      <c r="AC225" s="104"/>
      <c r="AD225" s="9" t="s">
        <v>1269</v>
      </c>
      <c r="AE225" s="39">
        <v>45961</v>
      </c>
      <c r="AF225" s="9" t="s">
        <v>1276</v>
      </c>
      <c r="AG225" s="34" t="s">
        <v>3011</v>
      </c>
      <c r="AH225" s="9"/>
      <c r="AI225" s="9"/>
      <c r="AJ225" s="9"/>
      <c r="AK225" s="45"/>
      <c r="AL225" s="45" t="s">
        <v>1611</v>
      </c>
      <c r="AM225" s="45"/>
      <c r="AN225" s="45"/>
      <c r="AO225" s="45"/>
      <c r="AP225" s="45"/>
      <c r="AQ225" s="45"/>
      <c r="AR225" s="45"/>
      <c r="AS225" s="45"/>
      <c r="AT225" s="45"/>
      <c r="AU225" s="45"/>
      <c r="AV225" s="45"/>
      <c r="AW225" s="9"/>
      <c r="AX225" s="9"/>
      <c r="AY225" s="9"/>
      <c r="AZ225" s="9"/>
      <c r="BA225" s="10" t="s">
        <v>1611</v>
      </c>
      <c r="BB225" s="29" t="s">
        <v>1611</v>
      </c>
      <c r="BC225" s="29" t="s">
        <v>1611</v>
      </c>
      <c r="BD225" s="29" t="s">
        <v>1611</v>
      </c>
      <c r="BE225" s="29" t="s">
        <v>1611</v>
      </c>
      <c r="BF225" s="29" t="s">
        <v>1611</v>
      </c>
      <c r="BG225" s="29" t="s">
        <v>1611</v>
      </c>
      <c r="BH225" s="29" t="s">
        <v>1611</v>
      </c>
      <c r="BI225" s="29" t="s">
        <v>330</v>
      </c>
      <c r="BJ225" s="29" t="s">
        <v>2520</v>
      </c>
      <c r="BK225" s="29" t="s">
        <v>575</v>
      </c>
      <c r="BL225" s="29" t="s">
        <v>2676</v>
      </c>
      <c r="BM225" s="29" t="s">
        <v>1611</v>
      </c>
      <c r="BN225" s="29" t="s">
        <v>1611</v>
      </c>
      <c r="BO225" s="29" t="s">
        <v>1611</v>
      </c>
      <c r="BP225" s="29" t="s">
        <v>1611</v>
      </c>
      <c r="BQ225" s="29" t="s">
        <v>1611</v>
      </c>
      <c r="BR225" s="29" t="s">
        <v>1611</v>
      </c>
      <c r="BS225" s="29" t="s">
        <v>1611</v>
      </c>
      <c r="BT225" s="29" t="s">
        <v>1611</v>
      </c>
      <c r="BU225" s="29" t="s">
        <v>2372</v>
      </c>
      <c r="BV225" s="29" t="s">
        <v>2415</v>
      </c>
      <c r="BW225" s="29" t="s">
        <v>1611</v>
      </c>
      <c r="BX225" s="29" t="s">
        <v>1611</v>
      </c>
      <c r="BY225" s="29" t="s">
        <v>1611</v>
      </c>
      <c r="BZ225" s="29" t="s">
        <v>1611</v>
      </c>
      <c r="CA225" s="29" t="s">
        <v>1611</v>
      </c>
      <c r="CB225" s="29" t="s">
        <v>1611</v>
      </c>
      <c r="CC225" s="29" t="s">
        <v>1611</v>
      </c>
      <c r="CD225" s="29" t="s">
        <v>1611</v>
      </c>
      <c r="CE225" s="29" t="s">
        <v>1611</v>
      </c>
      <c r="CF225" s="29" t="s">
        <v>1611</v>
      </c>
      <c r="CG225" s="29" t="s">
        <v>254</v>
      </c>
      <c r="CH225" s="29" t="s">
        <v>1875</v>
      </c>
      <c r="CI225" s="29" t="s">
        <v>1611</v>
      </c>
      <c r="CJ225" s="29" t="s">
        <v>1611</v>
      </c>
      <c r="CK225" s="29" t="s">
        <v>1611</v>
      </c>
      <c r="CL225" s="29" t="s">
        <v>1611</v>
      </c>
      <c r="CM225" s="29" t="s">
        <v>1611</v>
      </c>
      <c r="CN225" s="29" t="s">
        <v>1611</v>
      </c>
      <c r="CO225" s="29" t="s">
        <v>1611</v>
      </c>
      <c r="CP225" s="29" t="s">
        <v>1611</v>
      </c>
      <c r="CQ225" s="29" t="s">
        <v>1611</v>
      </c>
      <c r="CR225" s="29" t="s">
        <v>1611</v>
      </c>
      <c r="CS225" s="29" t="s">
        <v>1611</v>
      </c>
      <c r="CT225" s="29" t="s">
        <v>1611</v>
      </c>
      <c r="CU225" s="29" t="s">
        <v>1611</v>
      </c>
      <c r="CV225" s="29" t="s">
        <v>1611</v>
      </c>
      <c r="CW225" s="29"/>
      <c r="CX225" s="29"/>
      <c r="CY225" s="151"/>
      <c r="CZ225" t="e">
        <v>#N/A</v>
      </c>
      <c r="DA225" t="e">
        <v>#N/A</v>
      </c>
      <c r="DD225" s="96" t="str">
        <f t="shared" si="3"/>
        <v>V</v>
      </c>
      <c r="DI225" s="215"/>
    </row>
    <row r="226" spans="1:113" ht="16.5" customHeight="1" x14ac:dyDescent="0.3">
      <c r="A226" t="s">
        <v>3893</v>
      </c>
      <c r="B226" t="s">
        <v>3778</v>
      </c>
      <c r="C226" s="105">
        <v>1682797</v>
      </c>
      <c r="D226" s="27">
        <v>221</v>
      </c>
      <c r="E226" s="28" t="s">
        <v>808</v>
      </c>
      <c r="F226" s="28">
        <v>1000567248</v>
      </c>
      <c r="G226" s="29" t="s">
        <v>1261</v>
      </c>
      <c r="H226" s="28">
        <v>1682797</v>
      </c>
      <c r="I226" s="29" t="s">
        <v>1262</v>
      </c>
      <c r="J226" s="28" t="s">
        <v>659</v>
      </c>
      <c r="K226" s="7"/>
      <c r="L226" s="104" t="s">
        <v>3907</v>
      </c>
      <c r="M226" s="29" t="s">
        <v>3908</v>
      </c>
      <c r="N226" s="29" t="s">
        <v>382</v>
      </c>
      <c r="O226" s="127">
        <v>519040</v>
      </c>
      <c r="P226" s="113" t="s">
        <v>1317</v>
      </c>
      <c r="Q226" s="28" t="s">
        <v>612</v>
      </c>
      <c r="R226" s="28" t="s">
        <v>1301</v>
      </c>
      <c r="S226" s="28" t="s">
        <v>1301</v>
      </c>
      <c r="T226" s="28" t="s">
        <v>1329</v>
      </c>
      <c r="U226" s="28" t="s">
        <v>607</v>
      </c>
      <c r="V226" s="28" t="s">
        <v>1301</v>
      </c>
      <c r="W226" s="28" t="s">
        <v>1301</v>
      </c>
      <c r="X226" s="28" t="s">
        <v>1301</v>
      </c>
      <c r="Y226" s="28" t="s">
        <v>1301</v>
      </c>
      <c r="Z226" s="28" t="s">
        <v>1301</v>
      </c>
      <c r="AA226" s="28" t="s">
        <v>1301</v>
      </c>
      <c r="AB226" s="104" t="s">
        <v>663</v>
      </c>
      <c r="AC226" s="104" t="s">
        <v>661</v>
      </c>
      <c r="AD226" s="9" t="s">
        <v>1269</v>
      </c>
      <c r="AE226" s="9"/>
      <c r="AF226" s="9" t="s">
        <v>3780</v>
      </c>
      <c r="AG226" s="34"/>
      <c r="AH226" s="9"/>
      <c r="AI226" s="9" t="s">
        <v>1938</v>
      </c>
      <c r="AJ226" s="9"/>
      <c r="AK226" s="45"/>
      <c r="AL226" s="45" t="s">
        <v>2278</v>
      </c>
      <c r="AM226" s="45" t="s">
        <v>46</v>
      </c>
      <c r="AN226" s="45"/>
      <c r="AO226" s="45"/>
      <c r="AP226" s="45"/>
      <c r="AQ226" s="45"/>
      <c r="AR226" s="45"/>
      <c r="AS226" s="45"/>
      <c r="AT226" s="45"/>
      <c r="AU226" s="45"/>
      <c r="AV226" s="45"/>
      <c r="AW226" s="9" t="s">
        <v>461</v>
      </c>
      <c r="AX226" s="9" t="s">
        <v>461</v>
      </c>
      <c r="AY226" s="9" t="s">
        <v>461</v>
      </c>
      <c r="AZ226" s="9" t="s">
        <v>461</v>
      </c>
      <c r="BA226" s="10" t="s">
        <v>1611</v>
      </c>
      <c r="BB226" s="29" t="s">
        <v>1611</v>
      </c>
      <c r="BC226" s="29" t="s">
        <v>1611</v>
      </c>
      <c r="BD226" s="29" t="s">
        <v>1611</v>
      </c>
      <c r="BE226" s="29" t="s">
        <v>1611</v>
      </c>
      <c r="BF226" s="29" t="s">
        <v>1611</v>
      </c>
      <c r="BG226" s="29" t="s">
        <v>1611</v>
      </c>
      <c r="BH226" s="29" t="s">
        <v>1611</v>
      </c>
      <c r="BI226" s="29" t="s">
        <v>1611</v>
      </c>
      <c r="BJ226" s="29" t="s">
        <v>1611</v>
      </c>
      <c r="BK226" s="29" t="s">
        <v>283</v>
      </c>
      <c r="BL226" s="29" t="s">
        <v>2788</v>
      </c>
      <c r="BM226" s="29" t="s">
        <v>1611</v>
      </c>
      <c r="BN226" s="29" t="s">
        <v>1611</v>
      </c>
      <c r="BO226" s="29" t="s">
        <v>1611</v>
      </c>
      <c r="BP226" s="29" t="s">
        <v>1611</v>
      </c>
      <c r="BQ226" s="29" t="s">
        <v>1611</v>
      </c>
      <c r="BR226" s="29" t="s">
        <v>1611</v>
      </c>
      <c r="BS226" s="29" t="s">
        <v>1611</v>
      </c>
      <c r="BT226" s="29" t="s">
        <v>1611</v>
      </c>
      <c r="BU226" s="29" t="s">
        <v>2981</v>
      </c>
      <c r="BV226" s="29" t="s">
        <v>2982</v>
      </c>
      <c r="BW226" s="29" t="s">
        <v>1611</v>
      </c>
      <c r="BX226" s="29" t="s">
        <v>1611</v>
      </c>
      <c r="BY226" s="29" t="s">
        <v>1611</v>
      </c>
      <c r="BZ226" s="29" t="s">
        <v>1611</v>
      </c>
      <c r="CA226" s="29" t="s">
        <v>1611</v>
      </c>
      <c r="CB226" s="29" t="s">
        <v>1611</v>
      </c>
      <c r="CC226" s="29" t="s">
        <v>1611</v>
      </c>
      <c r="CD226" s="29" t="s">
        <v>1611</v>
      </c>
      <c r="CE226" s="29" t="s">
        <v>1611</v>
      </c>
      <c r="CF226" s="29" t="s">
        <v>1611</v>
      </c>
      <c r="CG226" s="29" t="s">
        <v>3492</v>
      </c>
      <c r="CH226" s="29" t="s">
        <v>3491</v>
      </c>
      <c r="CI226" s="29" t="s">
        <v>1611</v>
      </c>
      <c r="CJ226" s="29" t="s">
        <v>1611</v>
      </c>
      <c r="CK226" s="29" t="s">
        <v>3901</v>
      </c>
      <c r="CL226" s="29" t="s">
        <v>3902</v>
      </c>
      <c r="CM226" s="29" t="s">
        <v>1611</v>
      </c>
      <c r="CN226" s="29" t="s">
        <v>1611</v>
      </c>
      <c r="CO226" s="29" t="s">
        <v>1611</v>
      </c>
      <c r="CP226" s="29" t="s">
        <v>1611</v>
      </c>
      <c r="CQ226" s="29" t="s">
        <v>1611</v>
      </c>
      <c r="CR226" s="29" t="s">
        <v>1611</v>
      </c>
      <c r="CS226" s="29" t="s">
        <v>1611</v>
      </c>
      <c r="CT226" s="29" t="s">
        <v>1611</v>
      </c>
      <c r="CU226" s="29" t="s">
        <v>1611</v>
      </c>
      <c r="CV226" s="29" t="s">
        <v>1611</v>
      </c>
      <c r="CW226" s="29"/>
      <c r="CX226" s="29"/>
      <c r="CY226" s="151"/>
      <c r="CZ226" t="s">
        <v>3742</v>
      </c>
      <c r="DA226" t="s">
        <v>3634</v>
      </c>
      <c r="DC226" s="96" t="s">
        <v>3700</v>
      </c>
      <c r="DD226" s="96" t="str">
        <f t="shared" si="3"/>
        <v/>
      </c>
      <c r="DF226" s="96" t="s">
        <v>3753</v>
      </c>
      <c r="DI226" s="215"/>
    </row>
    <row r="227" spans="1:113" ht="16.5" customHeight="1" x14ac:dyDescent="0.3">
      <c r="C227" s="105">
        <v>1684885</v>
      </c>
      <c r="D227" s="27">
        <v>222</v>
      </c>
      <c r="E227" s="28" t="s">
        <v>794</v>
      </c>
      <c r="F227" s="28">
        <v>1000315925</v>
      </c>
      <c r="G227" s="29" t="s">
        <v>1263</v>
      </c>
      <c r="H227" s="28">
        <v>1684885</v>
      </c>
      <c r="I227" s="29" t="s">
        <v>1264</v>
      </c>
      <c r="J227" s="28" t="s">
        <v>659</v>
      </c>
      <c r="K227" s="7"/>
      <c r="L227" s="104"/>
      <c r="M227" s="29" t="s">
        <v>3909</v>
      </c>
      <c r="N227" s="29"/>
      <c r="O227" s="127"/>
      <c r="P227" s="28"/>
      <c r="Q227" s="28"/>
      <c r="R227" s="28"/>
      <c r="S227" s="28"/>
      <c r="T227" s="28"/>
      <c r="U227" s="28"/>
      <c r="V227" s="28"/>
      <c r="W227" s="28"/>
      <c r="X227" s="28"/>
      <c r="Y227" s="28"/>
      <c r="Z227" s="28"/>
      <c r="AA227" s="28"/>
      <c r="AB227" s="104"/>
      <c r="AC227" s="28"/>
      <c r="AD227" s="9" t="s">
        <v>1269</v>
      </c>
      <c r="AE227" s="39">
        <v>45867</v>
      </c>
      <c r="AF227" s="9" t="s">
        <v>1276</v>
      </c>
      <c r="AG227" s="108" t="s">
        <v>1300</v>
      </c>
      <c r="AH227" s="9"/>
      <c r="AI227" s="9"/>
      <c r="AJ227" s="9"/>
      <c r="AK227" s="45"/>
      <c r="AL227" s="45" t="s">
        <v>1611</v>
      </c>
      <c r="AM227" s="45"/>
      <c r="AN227" s="45"/>
      <c r="AO227" s="45"/>
      <c r="AP227" s="45"/>
      <c r="AQ227" s="45"/>
      <c r="AR227" s="45"/>
      <c r="AS227" s="45"/>
      <c r="AT227" s="45"/>
      <c r="AU227" s="45"/>
      <c r="AV227" s="45"/>
      <c r="AW227" s="9"/>
      <c r="AX227" s="9"/>
      <c r="AY227" s="9"/>
      <c r="AZ227" s="9"/>
      <c r="BA227" s="10" t="s">
        <v>1611</v>
      </c>
      <c r="BB227" s="29" t="s">
        <v>1611</v>
      </c>
      <c r="BC227" s="29" t="s">
        <v>1611</v>
      </c>
      <c r="BD227" s="29" t="s">
        <v>1611</v>
      </c>
      <c r="BE227" s="29" t="s">
        <v>1611</v>
      </c>
      <c r="BF227" s="29" t="s">
        <v>1611</v>
      </c>
      <c r="BG227" s="29" t="s">
        <v>1611</v>
      </c>
      <c r="BH227" s="29" t="s">
        <v>1611</v>
      </c>
      <c r="BI227" s="29" t="s">
        <v>1611</v>
      </c>
      <c r="BJ227" s="29" t="s">
        <v>1611</v>
      </c>
      <c r="BK227" s="29" t="s">
        <v>2998</v>
      </c>
      <c r="BL227" s="29" t="s">
        <v>2999</v>
      </c>
      <c r="BM227" s="29" t="s">
        <v>1611</v>
      </c>
      <c r="BN227" s="29" t="s">
        <v>1611</v>
      </c>
      <c r="BO227" s="29" t="s">
        <v>1611</v>
      </c>
      <c r="BP227" s="29" t="s">
        <v>1611</v>
      </c>
      <c r="BQ227" s="29" t="s">
        <v>1611</v>
      </c>
      <c r="BR227" s="29" t="s">
        <v>1611</v>
      </c>
      <c r="BS227" s="29" t="s">
        <v>1611</v>
      </c>
      <c r="BT227" s="29" t="s">
        <v>1611</v>
      </c>
      <c r="BU227" s="29" t="s">
        <v>2618</v>
      </c>
      <c r="BV227" s="29" t="s">
        <v>2619</v>
      </c>
      <c r="BW227" s="29" t="s">
        <v>1611</v>
      </c>
      <c r="BX227" s="29" t="s">
        <v>1611</v>
      </c>
      <c r="BY227" s="29" t="s">
        <v>1611</v>
      </c>
      <c r="BZ227" s="29" t="s">
        <v>1611</v>
      </c>
      <c r="CA227" s="29" t="s">
        <v>1611</v>
      </c>
      <c r="CB227" s="29" t="s">
        <v>1611</v>
      </c>
      <c r="CC227" s="29" t="s">
        <v>1611</v>
      </c>
      <c r="CD227" s="29" t="s">
        <v>1611</v>
      </c>
      <c r="CE227" s="29" t="s">
        <v>1611</v>
      </c>
      <c r="CF227" s="29" t="s">
        <v>1611</v>
      </c>
      <c r="CG227" s="29" t="s">
        <v>2937</v>
      </c>
      <c r="CH227" s="29" t="s">
        <v>2938</v>
      </c>
      <c r="CI227" s="29" t="s">
        <v>1611</v>
      </c>
      <c r="CJ227" s="29" t="s">
        <v>1611</v>
      </c>
      <c r="CK227" s="29" t="s">
        <v>1611</v>
      </c>
      <c r="CL227" s="29" t="s">
        <v>1611</v>
      </c>
      <c r="CM227" s="29" t="s">
        <v>1611</v>
      </c>
      <c r="CN227" s="29" t="s">
        <v>1611</v>
      </c>
      <c r="CO227" s="29" t="s">
        <v>1611</v>
      </c>
      <c r="CP227" s="29" t="s">
        <v>1611</v>
      </c>
      <c r="CQ227" s="29" t="s">
        <v>1611</v>
      </c>
      <c r="CR227" s="29" t="s">
        <v>1611</v>
      </c>
      <c r="CS227" s="29" t="s">
        <v>1611</v>
      </c>
      <c r="CT227" s="29" t="s">
        <v>1611</v>
      </c>
      <c r="CU227" s="29" t="s">
        <v>1611</v>
      </c>
      <c r="CV227" s="29" t="s">
        <v>1611</v>
      </c>
      <c r="CW227" s="29"/>
      <c r="CX227" s="29"/>
      <c r="CY227" s="151"/>
      <c r="CZ227" t="e">
        <v>#N/A</v>
      </c>
      <c r="DA227" t="e">
        <v>#N/A</v>
      </c>
      <c r="DD227" s="96" t="str">
        <f t="shared" si="3"/>
        <v>V</v>
      </c>
      <c r="DI227" s="215"/>
    </row>
    <row r="228" spans="1:113" ht="16.5" customHeight="1" x14ac:dyDescent="0.3">
      <c r="C228" s="105">
        <v>1681496</v>
      </c>
      <c r="D228" s="27">
        <v>223</v>
      </c>
      <c r="E228" s="28" t="s">
        <v>818</v>
      </c>
      <c r="F228" s="28">
        <v>1000315759</v>
      </c>
      <c r="G228" s="29" t="s">
        <v>1265</v>
      </c>
      <c r="H228" s="28">
        <v>1681496</v>
      </c>
      <c r="I228" s="29" t="s">
        <v>3190</v>
      </c>
      <c r="J228" s="28" t="s">
        <v>659</v>
      </c>
      <c r="K228" s="7"/>
      <c r="L228" s="104" t="s">
        <v>780</v>
      </c>
      <c r="M228" s="29"/>
      <c r="N228" s="29"/>
      <c r="O228" s="127"/>
      <c r="P228" s="28"/>
      <c r="Q228" s="28"/>
      <c r="R228" s="28"/>
      <c r="S228" s="28"/>
      <c r="T228" s="28"/>
      <c r="U228" s="28"/>
      <c r="V228" s="28"/>
      <c r="W228" s="28"/>
      <c r="X228" s="28"/>
      <c r="Y228" s="28"/>
      <c r="Z228" s="28"/>
      <c r="AA228" s="28"/>
      <c r="AB228" s="104"/>
      <c r="AC228" s="104"/>
      <c r="AD228" s="9" t="s">
        <v>1269</v>
      </c>
      <c r="AE228" s="39">
        <v>45903</v>
      </c>
      <c r="AF228" s="9" t="s">
        <v>1941</v>
      </c>
      <c r="AG228" s="34" t="s">
        <v>1942</v>
      </c>
      <c r="AH228" s="9"/>
      <c r="AI228" s="9"/>
      <c r="AJ228" s="9"/>
      <c r="AK228" s="45"/>
      <c r="AL228" s="45" t="s">
        <v>1611</v>
      </c>
      <c r="AM228" s="45"/>
      <c r="AN228" s="45"/>
      <c r="AO228" s="45"/>
      <c r="AP228" s="45"/>
      <c r="AQ228" s="45"/>
      <c r="AR228" s="45"/>
      <c r="AS228" s="45"/>
      <c r="AT228" s="45"/>
      <c r="AU228" s="45"/>
      <c r="AV228" s="45"/>
      <c r="AW228" s="9"/>
      <c r="AX228" s="9"/>
      <c r="AY228" s="9"/>
      <c r="AZ228" s="9"/>
      <c r="BA228" s="10" t="s">
        <v>1611</v>
      </c>
      <c r="BB228" s="29" t="s">
        <v>1611</v>
      </c>
      <c r="BC228" s="29" t="s">
        <v>1611</v>
      </c>
      <c r="BD228" s="29" t="s">
        <v>1611</v>
      </c>
      <c r="BE228" s="29" t="s">
        <v>1611</v>
      </c>
      <c r="BF228" s="29" t="s">
        <v>1611</v>
      </c>
      <c r="BG228" s="29" t="s">
        <v>1611</v>
      </c>
      <c r="BH228" s="29" t="s">
        <v>1611</v>
      </c>
      <c r="BI228" s="29" t="s">
        <v>1611</v>
      </c>
      <c r="BJ228" s="29" t="s">
        <v>1611</v>
      </c>
      <c r="BK228" s="29" t="s">
        <v>598</v>
      </c>
      <c r="BL228" s="29" t="s">
        <v>2752</v>
      </c>
      <c r="BM228" s="29" t="s">
        <v>1611</v>
      </c>
      <c r="BN228" s="29" t="s">
        <v>1611</v>
      </c>
      <c r="BO228" s="29" t="s">
        <v>1611</v>
      </c>
      <c r="BP228" s="29" t="s">
        <v>1611</v>
      </c>
      <c r="BQ228" s="29" t="s">
        <v>1611</v>
      </c>
      <c r="BR228" s="29" t="s">
        <v>1611</v>
      </c>
      <c r="BS228" s="29" t="s">
        <v>1611</v>
      </c>
      <c r="BT228" s="29" t="s">
        <v>1611</v>
      </c>
      <c r="BU228" s="29" t="s">
        <v>2376</v>
      </c>
      <c r="BV228" s="29" t="s">
        <v>2420</v>
      </c>
      <c r="BW228" s="29" t="s">
        <v>1611</v>
      </c>
      <c r="BX228" s="29" t="s">
        <v>1611</v>
      </c>
      <c r="BY228" s="29" t="s">
        <v>1611</v>
      </c>
      <c r="BZ228" s="29" t="s">
        <v>1611</v>
      </c>
      <c r="CA228" s="29" t="s">
        <v>1611</v>
      </c>
      <c r="CB228" s="29" t="s">
        <v>1611</v>
      </c>
      <c r="CC228" s="29" t="s">
        <v>1611</v>
      </c>
      <c r="CD228" s="29" t="s">
        <v>1611</v>
      </c>
      <c r="CE228" s="29" t="s">
        <v>1611</v>
      </c>
      <c r="CF228" s="29" t="s">
        <v>1611</v>
      </c>
      <c r="CG228" s="29" t="s">
        <v>1611</v>
      </c>
      <c r="CH228" s="29" t="s">
        <v>1611</v>
      </c>
      <c r="CI228" s="29" t="s">
        <v>1611</v>
      </c>
      <c r="CJ228" s="29" t="s">
        <v>1611</v>
      </c>
      <c r="CK228" s="29" t="s">
        <v>1611</v>
      </c>
      <c r="CL228" s="29" t="s">
        <v>1611</v>
      </c>
      <c r="CM228" s="29" t="s">
        <v>1611</v>
      </c>
      <c r="CN228" s="29" t="s">
        <v>1611</v>
      </c>
      <c r="CO228" s="29" t="s">
        <v>1611</v>
      </c>
      <c r="CP228" s="29" t="s">
        <v>1611</v>
      </c>
      <c r="CQ228" s="29" t="s">
        <v>1611</v>
      </c>
      <c r="CR228" s="29" t="s">
        <v>1611</v>
      </c>
      <c r="CS228" s="29" t="s">
        <v>1611</v>
      </c>
      <c r="CT228" s="29" t="s">
        <v>1611</v>
      </c>
      <c r="CU228" s="29" t="s">
        <v>1611</v>
      </c>
      <c r="CV228" s="29" t="s">
        <v>1611</v>
      </c>
      <c r="CW228" s="29"/>
      <c r="CX228" s="29"/>
      <c r="CY228" s="151"/>
      <c r="CZ228" t="e">
        <v>#N/A</v>
      </c>
      <c r="DA228" t="e">
        <v>#N/A</v>
      </c>
      <c r="DD228" s="96" t="str">
        <f t="shared" si="3"/>
        <v>V</v>
      </c>
      <c r="DI228" s="215"/>
    </row>
    <row r="229" spans="1:113" ht="16.5" customHeight="1" x14ac:dyDescent="0.3">
      <c r="C229" s="105">
        <v>1683669</v>
      </c>
      <c r="D229" s="27">
        <v>224</v>
      </c>
      <c r="E229" s="28" t="s">
        <v>808</v>
      </c>
      <c r="F229" s="28">
        <v>1000695209</v>
      </c>
      <c r="G229" s="29" t="s">
        <v>1266</v>
      </c>
      <c r="H229" s="28">
        <v>1683669</v>
      </c>
      <c r="I229" s="29" t="s">
        <v>1267</v>
      </c>
      <c r="J229" s="28" t="s">
        <v>659</v>
      </c>
      <c r="K229" s="7"/>
      <c r="L229" s="104" t="s">
        <v>781</v>
      </c>
      <c r="M229" s="29"/>
      <c r="N229" s="29"/>
      <c r="O229" s="127"/>
      <c r="P229" s="28"/>
      <c r="Q229" s="28"/>
      <c r="R229" s="28"/>
      <c r="S229" s="28"/>
      <c r="T229" s="28"/>
      <c r="U229" s="28"/>
      <c r="V229" s="28"/>
      <c r="W229" s="28"/>
      <c r="X229" s="28"/>
      <c r="Y229" s="28"/>
      <c r="Z229" s="28"/>
      <c r="AA229" s="28"/>
      <c r="AB229" s="104"/>
      <c r="AC229" s="104"/>
      <c r="AD229" s="9" t="s">
        <v>1269</v>
      </c>
      <c r="AE229" s="39">
        <v>46036</v>
      </c>
      <c r="AF229" s="9" t="s">
        <v>1276</v>
      </c>
      <c r="AG229" s="34" t="s">
        <v>3655</v>
      </c>
      <c r="AH229" s="9"/>
      <c r="AI229" s="9"/>
      <c r="AJ229" s="9"/>
      <c r="AK229" s="45"/>
      <c r="AL229" s="45" t="s">
        <v>1611</v>
      </c>
      <c r="AM229" s="45"/>
      <c r="AN229" s="45"/>
      <c r="AO229" s="45"/>
      <c r="AP229" s="45"/>
      <c r="AQ229" s="45"/>
      <c r="AR229" s="45"/>
      <c r="AS229" s="45"/>
      <c r="AT229" s="45"/>
      <c r="AU229" s="45"/>
      <c r="AV229" s="45"/>
      <c r="AW229" s="9"/>
      <c r="AX229" s="9"/>
      <c r="AY229" s="9"/>
      <c r="AZ229" s="9"/>
      <c r="BA229" s="10" t="s">
        <v>1611</v>
      </c>
      <c r="BB229" s="29" t="s">
        <v>1611</v>
      </c>
      <c r="BC229" s="29" t="s">
        <v>1611</v>
      </c>
      <c r="BD229" s="29" t="s">
        <v>1611</v>
      </c>
      <c r="BE229" s="29" t="s">
        <v>1611</v>
      </c>
      <c r="BF229" s="29" t="s">
        <v>1611</v>
      </c>
      <c r="BG229" s="29" t="s">
        <v>1611</v>
      </c>
      <c r="BH229" s="29" t="s">
        <v>1611</v>
      </c>
      <c r="BI229" s="29" t="s">
        <v>1611</v>
      </c>
      <c r="BJ229" s="29" t="s">
        <v>1611</v>
      </c>
      <c r="BK229" s="29" t="s">
        <v>584</v>
      </c>
      <c r="BL229" s="29" t="s">
        <v>2711</v>
      </c>
      <c r="BM229" s="29" t="s">
        <v>1611</v>
      </c>
      <c r="BN229" s="29" t="s">
        <v>1611</v>
      </c>
      <c r="BO229" s="29" t="s">
        <v>1611</v>
      </c>
      <c r="BP229" s="29" t="s">
        <v>1611</v>
      </c>
      <c r="BQ229" s="29" t="s">
        <v>1611</v>
      </c>
      <c r="BR229" s="29" t="s">
        <v>1611</v>
      </c>
      <c r="BS229" s="29" t="s">
        <v>1611</v>
      </c>
      <c r="BT229" s="29" t="s">
        <v>1611</v>
      </c>
      <c r="BU229" s="29" t="s">
        <v>3683</v>
      </c>
      <c r="BV229" s="29" t="s">
        <v>3684</v>
      </c>
      <c r="BW229" s="29" t="s">
        <v>1611</v>
      </c>
      <c r="BX229" s="29" t="s">
        <v>1611</v>
      </c>
      <c r="BY229" s="29" t="s">
        <v>1611</v>
      </c>
      <c r="BZ229" s="29" t="s">
        <v>1611</v>
      </c>
      <c r="CA229" s="29" t="s">
        <v>1611</v>
      </c>
      <c r="CB229" s="29" t="s">
        <v>1611</v>
      </c>
      <c r="CC229" s="29" t="s">
        <v>1611</v>
      </c>
      <c r="CD229" s="29" t="s">
        <v>1611</v>
      </c>
      <c r="CE229" s="29" t="s">
        <v>1611</v>
      </c>
      <c r="CF229" s="29" t="s">
        <v>1611</v>
      </c>
      <c r="CG229" s="29" t="s">
        <v>3495</v>
      </c>
      <c r="CH229" s="29" t="s">
        <v>3496</v>
      </c>
      <c r="CI229" s="29" t="s">
        <v>1611</v>
      </c>
      <c r="CJ229" s="29" t="s">
        <v>1611</v>
      </c>
      <c r="CK229" s="29" t="s">
        <v>1611</v>
      </c>
      <c r="CL229" s="29" t="s">
        <v>1611</v>
      </c>
      <c r="CM229" s="29" t="s">
        <v>1611</v>
      </c>
      <c r="CN229" s="29" t="s">
        <v>1611</v>
      </c>
      <c r="CO229" s="29" t="s">
        <v>1611</v>
      </c>
      <c r="CP229" s="29" t="s">
        <v>1611</v>
      </c>
      <c r="CQ229" s="29" t="s">
        <v>1611</v>
      </c>
      <c r="CR229" s="29" t="s">
        <v>1611</v>
      </c>
      <c r="CS229" s="29" t="s">
        <v>1611</v>
      </c>
      <c r="CT229" s="29" t="s">
        <v>1611</v>
      </c>
      <c r="CU229" s="29" t="s">
        <v>1611</v>
      </c>
      <c r="CV229" s="29" t="s">
        <v>1611</v>
      </c>
      <c r="CW229" s="29"/>
      <c r="CX229" s="29"/>
      <c r="CY229" s="151"/>
      <c r="CZ229" t="e">
        <v>#N/A</v>
      </c>
      <c r="DA229" t="e">
        <v>#N/A</v>
      </c>
      <c r="DD229" s="96" t="str">
        <f t="shared" si="3"/>
        <v>V</v>
      </c>
      <c r="DI229" s="215"/>
    </row>
    <row r="230" spans="1:113" ht="16.5" customHeight="1" x14ac:dyDescent="0.3">
      <c r="C230" s="105"/>
      <c r="D230" s="27">
        <v>225</v>
      </c>
      <c r="E230" s="28" t="s">
        <v>808</v>
      </c>
      <c r="F230" s="28">
        <v>1000682032</v>
      </c>
      <c r="G230" s="29" t="s">
        <v>1283</v>
      </c>
      <c r="H230" s="28">
        <v>1659410</v>
      </c>
      <c r="I230" s="29" t="s">
        <v>1284</v>
      </c>
      <c r="J230" s="28" t="s">
        <v>1285</v>
      </c>
      <c r="K230" s="7"/>
      <c r="L230" s="104" t="s">
        <v>679</v>
      </c>
      <c r="M230" s="29" t="s">
        <v>3186</v>
      </c>
      <c r="N230" s="29" t="s">
        <v>3187</v>
      </c>
      <c r="O230" s="127">
        <v>21167</v>
      </c>
      <c r="P230" s="113" t="s">
        <v>1624</v>
      </c>
      <c r="Q230" s="28" t="s">
        <v>607</v>
      </c>
      <c r="R230" s="28" t="s">
        <v>1301</v>
      </c>
      <c r="S230" s="28" t="s">
        <v>1301</v>
      </c>
      <c r="T230" s="28" t="s">
        <v>1329</v>
      </c>
      <c r="U230" s="28" t="s">
        <v>607</v>
      </c>
      <c r="V230" s="28" t="s">
        <v>1301</v>
      </c>
      <c r="W230" s="28" t="s">
        <v>1301</v>
      </c>
      <c r="X230" s="28" t="s">
        <v>1301</v>
      </c>
      <c r="Y230" s="28" t="s">
        <v>1301</v>
      </c>
      <c r="Z230" s="28" t="s">
        <v>1301</v>
      </c>
      <c r="AA230" s="28" t="s">
        <v>1301</v>
      </c>
      <c r="AB230" s="104" t="s">
        <v>663</v>
      </c>
      <c r="AC230" s="104" t="s">
        <v>661</v>
      </c>
      <c r="AD230" s="9" t="s">
        <v>1269</v>
      </c>
      <c r="AE230" s="39">
        <v>46048</v>
      </c>
      <c r="AF230" s="9" t="s">
        <v>1276</v>
      </c>
      <c r="AG230" s="108" t="s">
        <v>3715</v>
      </c>
      <c r="AH230" s="9"/>
      <c r="AI230" s="9"/>
      <c r="AJ230" s="9" t="s">
        <v>46</v>
      </c>
      <c r="AK230" s="45"/>
      <c r="AL230" s="9" t="s">
        <v>2491</v>
      </c>
      <c r="AM230" s="9" t="s">
        <v>46</v>
      </c>
      <c r="AN230" s="9" t="s">
        <v>46</v>
      </c>
      <c r="AO230" s="9" t="s">
        <v>46</v>
      </c>
      <c r="AP230" s="9" t="s">
        <v>46</v>
      </c>
      <c r="AQ230" s="9" t="s">
        <v>46</v>
      </c>
      <c r="AR230" s="9" t="s">
        <v>46</v>
      </c>
      <c r="AS230" s="45"/>
      <c r="AT230" s="45"/>
      <c r="AU230" s="45"/>
      <c r="AV230" s="45"/>
      <c r="AW230" s="9"/>
      <c r="AX230" s="9"/>
      <c r="AY230" s="9"/>
      <c r="AZ230" s="9"/>
      <c r="BA230" s="10" t="s">
        <v>268</v>
      </c>
      <c r="BB230" s="29" t="s">
        <v>2608</v>
      </c>
      <c r="BC230" s="29" t="s">
        <v>1611</v>
      </c>
      <c r="BD230" s="29" t="s">
        <v>1611</v>
      </c>
      <c r="BE230" s="29" t="s">
        <v>2502</v>
      </c>
      <c r="BF230" s="29" t="s">
        <v>2503</v>
      </c>
      <c r="BG230" s="29" t="s">
        <v>2569</v>
      </c>
      <c r="BH230" s="29" t="s">
        <v>2570</v>
      </c>
      <c r="BI230" s="29" t="s">
        <v>130</v>
      </c>
      <c r="BJ230" s="29" t="s">
        <v>2850</v>
      </c>
      <c r="BK230" s="29" t="s">
        <v>584</v>
      </c>
      <c r="BL230" s="29" t="s">
        <v>3068</v>
      </c>
      <c r="BM230" s="29" t="s">
        <v>1611</v>
      </c>
      <c r="BN230" s="29" t="s">
        <v>1611</v>
      </c>
      <c r="BO230" s="29" t="s">
        <v>1611</v>
      </c>
      <c r="BP230" s="29" t="s">
        <v>1611</v>
      </c>
      <c r="BQ230" s="29" t="s">
        <v>1611</v>
      </c>
      <c r="BR230" s="29" t="s">
        <v>1611</v>
      </c>
      <c r="BS230" s="29" t="s">
        <v>1611</v>
      </c>
      <c r="BT230" s="29" t="s">
        <v>1611</v>
      </c>
      <c r="BU230" s="29" t="s">
        <v>2394</v>
      </c>
      <c r="BV230" s="29" t="s">
        <v>2442</v>
      </c>
      <c r="BW230" s="29" t="s">
        <v>1611</v>
      </c>
      <c r="BX230" s="29" t="s">
        <v>1611</v>
      </c>
      <c r="BY230" s="29" t="s">
        <v>1611</v>
      </c>
      <c r="BZ230" s="29" t="s">
        <v>1611</v>
      </c>
      <c r="CA230" s="29" t="s">
        <v>1611</v>
      </c>
      <c r="CB230" s="29" t="s">
        <v>1611</v>
      </c>
      <c r="CC230" s="29" t="s">
        <v>1611</v>
      </c>
      <c r="CD230" s="29" t="s">
        <v>1611</v>
      </c>
      <c r="CE230" s="29" t="s">
        <v>1611</v>
      </c>
      <c r="CF230" s="29" t="s">
        <v>1611</v>
      </c>
      <c r="CG230" s="29" t="s">
        <v>1800</v>
      </c>
      <c r="CH230" s="29" t="s">
        <v>1918</v>
      </c>
      <c r="CI230" s="29" t="s">
        <v>1611</v>
      </c>
      <c r="CJ230" s="29" t="s">
        <v>1611</v>
      </c>
      <c r="CK230" s="29" t="s">
        <v>3188</v>
      </c>
      <c r="CL230" s="29" t="s">
        <v>3189</v>
      </c>
      <c r="CM230" s="29" t="s">
        <v>1611</v>
      </c>
      <c r="CN230" s="29" t="s">
        <v>1611</v>
      </c>
      <c r="CO230" s="29" t="s">
        <v>1611</v>
      </c>
      <c r="CP230" s="29" t="s">
        <v>1611</v>
      </c>
      <c r="CQ230" s="29" t="s">
        <v>1611</v>
      </c>
      <c r="CR230" s="29" t="s">
        <v>1611</v>
      </c>
      <c r="CS230" s="29" t="s">
        <v>1611</v>
      </c>
      <c r="CT230" s="29" t="s">
        <v>1611</v>
      </c>
      <c r="CU230" s="29" t="s">
        <v>1611</v>
      </c>
      <c r="CV230" s="29" t="s">
        <v>1611</v>
      </c>
      <c r="CW230" s="29"/>
      <c r="CX230" s="29"/>
      <c r="CY230" s="151"/>
      <c r="CZ230" s="29" t="s">
        <v>1284</v>
      </c>
      <c r="DA230" t="s">
        <v>3636</v>
      </c>
      <c r="DD230" s="96" t="str">
        <f t="shared" si="3"/>
        <v>V</v>
      </c>
      <c r="DI230" s="215"/>
    </row>
    <row r="231" spans="1:113" ht="16.5" customHeight="1" x14ac:dyDescent="0.3">
      <c r="C231" s="105"/>
      <c r="D231" s="27">
        <v>226</v>
      </c>
      <c r="E231" s="28" t="s">
        <v>822</v>
      </c>
      <c r="F231" s="28">
        <v>1000359179</v>
      </c>
      <c r="G231" s="29" t="s">
        <v>1288</v>
      </c>
      <c r="H231" s="28">
        <v>1685492</v>
      </c>
      <c r="I231" s="29" t="s">
        <v>1289</v>
      </c>
      <c r="J231" s="28" t="s">
        <v>1290</v>
      </c>
      <c r="K231" s="7"/>
      <c r="L231" s="104" t="s">
        <v>1291</v>
      </c>
      <c r="M231" s="29"/>
      <c r="N231" s="29"/>
      <c r="O231" s="127">
        <v>3728145</v>
      </c>
      <c r="P231" s="113" t="s">
        <v>1643</v>
      </c>
      <c r="Q231" s="28" t="s">
        <v>1644</v>
      </c>
      <c r="R231" s="28" t="s">
        <v>1645</v>
      </c>
      <c r="S231" s="28" t="s">
        <v>1645</v>
      </c>
      <c r="T231" s="28" t="s">
        <v>1645</v>
      </c>
      <c r="U231" s="28" t="s">
        <v>1645</v>
      </c>
      <c r="V231" s="28" t="s">
        <v>1645</v>
      </c>
      <c r="W231" s="28" t="s">
        <v>1645</v>
      </c>
      <c r="X231" s="28" t="s">
        <v>1645</v>
      </c>
      <c r="Y231" s="28" t="s">
        <v>1645</v>
      </c>
      <c r="Z231" s="28" t="s">
        <v>1645</v>
      </c>
      <c r="AA231" s="28" t="s">
        <v>1645</v>
      </c>
      <c r="AB231" s="104" t="s">
        <v>663</v>
      </c>
      <c r="AC231" s="104" t="s">
        <v>1920</v>
      </c>
      <c r="AD231" s="9" t="s">
        <v>1269</v>
      </c>
      <c r="AE231" s="39"/>
      <c r="AF231" s="9"/>
      <c r="AG231" s="34"/>
      <c r="AH231" s="9"/>
      <c r="AI231" s="9" t="s">
        <v>1919</v>
      </c>
      <c r="AJ231" s="9"/>
      <c r="AK231" s="45"/>
      <c r="AL231" s="45" t="s">
        <v>46</v>
      </c>
      <c r="AM231" s="45" t="s">
        <v>46</v>
      </c>
      <c r="AN231" s="45" t="s">
        <v>46</v>
      </c>
      <c r="AO231" s="45" t="s">
        <v>46</v>
      </c>
      <c r="AP231" s="45" t="s">
        <v>46</v>
      </c>
      <c r="AQ231" s="45" t="s">
        <v>46</v>
      </c>
      <c r="AR231" s="45" t="s">
        <v>46</v>
      </c>
      <c r="AS231" s="45"/>
      <c r="AT231" s="45"/>
      <c r="AU231" s="45"/>
      <c r="AV231" s="45"/>
      <c r="AW231" s="45" t="s">
        <v>46</v>
      </c>
      <c r="AX231" s="45" t="s">
        <v>46</v>
      </c>
      <c r="AY231" s="45" t="s">
        <v>46</v>
      </c>
      <c r="AZ231" s="45" t="s">
        <v>46</v>
      </c>
      <c r="BA231" s="10" t="s">
        <v>2500</v>
      </c>
      <c r="BB231" s="29" t="s">
        <v>2817</v>
      </c>
      <c r="BC231" s="29" t="s">
        <v>1611</v>
      </c>
      <c r="BD231" s="29" t="s">
        <v>1611</v>
      </c>
      <c r="BE231" s="29" t="s">
        <v>2514</v>
      </c>
      <c r="BF231" s="29" t="s">
        <v>2515</v>
      </c>
      <c r="BG231" s="29" t="s">
        <v>40</v>
      </c>
      <c r="BH231" s="29" t="s">
        <v>2572</v>
      </c>
      <c r="BI231" s="29" t="s">
        <v>1611</v>
      </c>
      <c r="BJ231" s="29" t="s">
        <v>1611</v>
      </c>
      <c r="BK231" s="29" t="s">
        <v>2754</v>
      </c>
      <c r="BL231" s="29" t="s">
        <v>2755</v>
      </c>
      <c r="BM231" s="29" t="s">
        <v>1611</v>
      </c>
      <c r="BN231" s="29" t="s">
        <v>1611</v>
      </c>
      <c r="BO231" s="29" t="s">
        <v>1611</v>
      </c>
      <c r="BP231" s="29" t="s">
        <v>1611</v>
      </c>
      <c r="BQ231" s="29" t="s">
        <v>1611</v>
      </c>
      <c r="BR231" s="29" t="s">
        <v>1611</v>
      </c>
      <c r="BS231" s="29" t="s">
        <v>1611</v>
      </c>
      <c r="BT231" s="29" t="s">
        <v>1611</v>
      </c>
      <c r="BU231" s="29" t="s">
        <v>2746</v>
      </c>
      <c r="BV231" s="29" t="s">
        <v>2747</v>
      </c>
      <c r="BW231" s="29" t="s">
        <v>1611</v>
      </c>
      <c r="BX231" s="29" t="s">
        <v>1611</v>
      </c>
      <c r="BY231" s="29" t="s">
        <v>1611</v>
      </c>
      <c r="BZ231" s="29" t="s">
        <v>1611</v>
      </c>
      <c r="CA231" s="29" t="s">
        <v>1611</v>
      </c>
      <c r="CB231" s="29" t="s">
        <v>1611</v>
      </c>
      <c r="CC231" s="29" t="s">
        <v>1611</v>
      </c>
      <c r="CD231" s="29" t="s">
        <v>1611</v>
      </c>
      <c r="CE231" s="29" t="s">
        <v>1611</v>
      </c>
      <c r="CF231" s="29" t="s">
        <v>1611</v>
      </c>
      <c r="CG231" s="29" t="s">
        <v>432</v>
      </c>
      <c r="CH231" s="29" t="s">
        <v>1871</v>
      </c>
      <c r="CI231" s="29" t="s">
        <v>1611</v>
      </c>
      <c r="CJ231" s="29" t="s">
        <v>1611</v>
      </c>
      <c r="CK231" s="29"/>
      <c r="CL231" s="29"/>
      <c r="CM231" s="29" t="s">
        <v>1611</v>
      </c>
      <c r="CN231" s="29" t="s">
        <v>1611</v>
      </c>
      <c r="CO231" s="29" t="s">
        <v>1611</v>
      </c>
      <c r="CP231" s="29" t="s">
        <v>1611</v>
      </c>
      <c r="CQ231" s="29" t="s">
        <v>1611</v>
      </c>
      <c r="CR231" s="29" t="s">
        <v>1611</v>
      </c>
      <c r="CS231" s="29" t="s">
        <v>1611</v>
      </c>
      <c r="CT231" s="29" t="s">
        <v>1611</v>
      </c>
      <c r="CU231" s="29" t="s">
        <v>1611</v>
      </c>
      <c r="CV231" s="29" t="s">
        <v>1611</v>
      </c>
      <c r="CW231" s="29"/>
      <c r="CX231" s="29"/>
      <c r="CY231" s="151"/>
      <c r="CZ231" t="s">
        <v>2264</v>
      </c>
      <c r="DA231" t="s">
        <v>3634</v>
      </c>
      <c r="DD231" s="96" t="str">
        <f t="shared" si="3"/>
        <v/>
      </c>
      <c r="DF231" s="96" t="s">
        <v>3753</v>
      </c>
      <c r="DI231" s="215"/>
    </row>
    <row r="232" spans="1:113" ht="16.5" customHeight="1" x14ac:dyDescent="0.3">
      <c r="A232" t="s">
        <v>3910</v>
      </c>
      <c r="B232" t="s">
        <v>3778</v>
      </c>
      <c r="C232" s="105"/>
      <c r="D232" s="27">
        <v>227</v>
      </c>
      <c r="E232" s="28" t="s">
        <v>784</v>
      </c>
      <c r="F232" s="28">
        <v>1000325872</v>
      </c>
      <c r="G232" s="29" t="s">
        <v>1635</v>
      </c>
      <c r="H232" s="28">
        <v>1684336</v>
      </c>
      <c r="I232" s="29" t="s">
        <v>1636</v>
      </c>
      <c r="J232" s="28" t="s">
        <v>854</v>
      </c>
      <c r="K232" s="7"/>
      <c r="L232" s="104"/>
      <c r="M232" s="29"/>
      <c r="N232" s="29"/>
      <c r="O232" s="127">
        <v>17840794</v>
      </c>
      <c r="P232" s="28" t="s">
        <v>3223</v>
      </c>
      <c r="Q232" s="28" t="s">
        <v>612</v>
      </c>
      <c r="R232" s="28" t="s">
        <v>1301</v>
      </c>
      <c r="S232" s="28" t="s">
        <v>1301</v>
      </c>
      <c r="T232" s="28" t="s">
        <v>1301</v>
      </c>
      <c r="U232" s="28" t="s">
        <v>1301</v>
      </c>
      <c r="V232" s="28" t="s">
        <v>1301</v>
      </c>
      <c r="W232" s="28" t="s">
        <v>1301</v>
      </c>
      <c r="X232" s="28" t="s">
        <v>1301</v>
      </c>
      <c r="Y232" s="28" t="s">
        <v>1301</v>
      </c>
      <c r="Z232" s="28" t="s">
        <v>1301</v>
      </c>
      <c r="AA232" s="28" t="s">
        <v>1301</v>
      </c>
      <c r="AB232" s="104" t="s">
        <v>663</v>
      </c>
      <c r="AC232" s="104" t="s">
        <v>661</v>
      </c>
      <c r="AD232" s="9" t="s">
        <v>1269</v>
      </c>
      <c r="AE232" s="39">
        <v>45891</v>
      </c>
      <c r="AF232" s="9"/>
      <c r="AG232" s="34"/>
      <c r="AH232" s="9"/>
      <c r="AI232" s="9"/>
      <c r="AJ232" s="9"/>
      <c r="AK232" s="45"/>
      <c r="AL232" s="45" t="s">
        <v>2278</v>
      </c>
      <c r="AM232" s="45" t="s">
        <v>46</v>
      </c>
      <c r="AN232" s="45" t="s">
        <v>46</v>
      </c>
      <c r="AO232" s="45" t="s">
        <v>46</v>
      </c>
      <c r="AP232" s="45" t="s">
        <v>46</v>
      </c>
      <c r="AQ232" s="45" t="s">
        <v>46</v>
      </c>
      <c r="AR232" s="45" t="s">
        <v>46</v>
      </c>
      <c r="AS232" s="45"/>
      <c r="AT232" s="45"/>
      <c r="AU232" s="45"/>
      <c r="AV232" s="45"/>
      <c r="AW232" s="9" t="s">
        <v>461</v>
      </c>
      <c r="AX232" s="9" t="s">
        <v>461</v>
      </c>
      <c r="AY232" s="9" t="s">
        <v>461</v>
      </c>
      <c r="AZ232" s="9" t="s">
        <v>461</v>
      </c>
      <c r="BA232" s="10" t="s">
        <v>1611</v>
      </c>
      <c r="BB232" s="29" t="s">
        <v>1611</v>
      </c>
      <c r="BC232" s="29" t="s">
        <v>1611</v>
      </c>
      <c r="BD232" s="29" t="s">
        <v>1611</v>
      </c>
      <c r="BE232" s="29" t="s">
        <v>1611</v>
      </c>
      <c r="BF232" s="29" t="s">
        <v>1611</v>
      </c>
      <c r="BG232" s="29" t="s">
        <v>1611</v>
      </c>
      <c r="BH232" s="29" t="s">
        <v>1611</v>
      </c>
      <c r="BI232" s="29" t="s">
        <v>2575</v>
      </c>
      <c r="BJ232" s="29" t="s">
        <v>2576</v>
      </c>
      <c r="BK232" s="29" t="s">
        <v>409</v>
      </c>
      <c r="BL232" s="29" t="s">
        <v>2640</v>
      </c>
      <c r="BM232" s="29" t="s">
        <v>1611</v>
      </c>
      <c r="BN232" s="29" t="s">
        <v>1611</v>
      </c>
      <c r="BO232" s="29" t="s">
        <v>1611</v>
      </c>
      <c r="BP232" s="29" t="s">
        <v>1611</v>
      </c>
      <c r="BQ232" s="29" t="s">
        <v>1611</v>
      </c>
      <c r="BR232" s="29" t="s">
        <v>1611</v>
      </c>
      <c r="BS232" s="29" t="s">
        <v>1611</v>
      </c>
      <c r="BT232" s="29" t="s">
        <v>1611</v>
      </c>
      <c r="BU232" s="29" t="s">
        <v>2589</v>
      </c>
      <c r="BV232" s="29" t="s">
        <v>2590</v>
      </c>
      <c r="BW232" s="29" t="s">
        <v>1611</v>
      </c>
      <c r="BX232" s="29" t="s">
        <v>1611</v>
      </c>
      <c r="BY232" s="29" t="s">
        <v>1611</v>
      </c>
      <c r="BZ232" s="29" t="s">
        <v>1611</v>
      </c>
      <c r="CA232" s="29" t="s">
        <v>1611</v>
      </c>
      <c r="CB232" s="29" t="s">
        <v>1611</v>
      </c>
      <c r="CC232" s="29" t="s">
        <v>1611</v>
      </c>
      <c r="CD232" s="29" t="s">
        <v>1611</v>
      </c>
      <c r="CE232" s="29" t="s">
        <v>1611</v>
      </c>
      <c r="CF232" s="29" t="s">
        <v>1611</v>
      </c>
      <c r="CG232" s="29" t="s">
        <v>3222</v>
      </c>
      <c r="CH232" s="29" t="s">
        <v>3221</v>
      </c>
      <c r="CI232" s="29"/>
      <c r="CJ232" s="29" t="s">
        <v>1611</v>
      </c>
      <c r="CK232" s="29" t="s">
        <v>3219</v>
      </c>
      <c r="CL232" s="29" t="s">
        <v>3220</v>
      </c>
      <c r="CM232" s="29" t="s">
        <v>1611</v>
      </c>
      <c r="CN232" s="29" t="s">
        <v>1611</v>
      </c>
      <c r="CO232" s="29" t="s">
        <v>1611</v>
      </c>
      <c r="CP232" s="29" t="s">
        <v>1611</v>
      </c>
      <c r="CQ232" s="29" t="s">
        <v>1611</v>
      </c>
      <c r="CR232" s="29" t="s">
        <v>1611</v>
      </c>
      <c r="CS232" s="29" t="s">
        <v>1611</v>
      </c>
      <c r="CT232" s="29" t="s">
        <v>1611</v>
      </c>
      <c r="CU232" s="29" t="s">
        <v>1611</v>
      </c>
      <c r="CV232" s="29" t="s">
        <v>1611</v>
      </c>
      <c r="CW232" s="29"/>
      <c r="CX232" s="29"/>
      <c r="CY232" s="151"/>
      <c r="CZ232" t="s">
        <v>3632</v>
      </c>
      <c r="DA232" t="s">
        <v>3634</v>
      </c>
      <c r="DD232" s="96" t="str">
        <f t="shared" si="3"/>
        <v/>
      </c>
      <c r="DF232" s="96" t="s">
        <v>3753</v>
      </c>
      <c r="DI232" s="215"/>
    </row>
    <row r="233" spans="1:113" ht="16.5" customHeight="1" x14ac:dyDescent="0.3">
      <c r="C233" s="105"/>
      <c r="D233" s="27">
        <v>228</v>
      </c>
      <c r="E233" s="28" t="s">
        <v>426</v>
      </c>
      <c r="F233" s="28">
        <v>1000509483</v>
      </c>
      <c r="G233" s="29" t="s">
        <v>3091</v>
      </c>
      <c r="H233" s="28">
        <v>1684035</v>
      </c>
      <c r="I233" s="29" t="s">
        <v>3092</v>
      </c>
      <c r="J233" s="28" t="s">
        <v>659</v>
      </c>
      <c r="K233" s="7"/>
      <c r="L233" s="104" t="s">
        <v>3122</v>
      </c>
      <c r="M233" s="29" t="s">
        <v>3123</v>
      </c>
      <c r="N233" s="29" t="s">
        <v>3124</v>
      </c>
      <c r="O233" s="127">
        <v>356135</v>
      </c>
      <c r="P233" s="113" t="s">
        <v>1346</v>
      </c>
      <c r="Q233" s="28" t="s">
        <v>607</v>
      </c>
      <c r="R233" s="28" t="s">
        <v>1301</v>
      </c>
      <c r="S233" s="28" t="s">
        <v>1301</v>
      </c>
      <c r="T233" s="28" t="s">
        <v>1329</v>
      </c>
      <c r="U233" s="28" t="s">
        <v>612</v>
      </c>
      <c r="V233" s="28" t="s">
        <v>1301</v>
      </c>
      <c r="W233" s="28" t="s">
        <v>1301</v>
      </c>
      <c r="X233" s="28" t="s">
        <v>1301</v>
      </c>
      <c r="Y233" s="28" t="s">
        <v>1301</v>
      </c>
      <c r="Z233" s="28" t="s">
        <v>1301</v>
      </c>
      <c r="AA233" s="28" t="s">
        <v>1301</v>
      </c>
      <c r="AB233" s="104" t="s">
        <v>663</v>
      </c>
      <c r="AC233" s="104" t="s">
        <v>661</v>
      </c>
      <c r="AD233" s="9" t="s">
        <v>1269</v>
      </c>
      <c r="AE233" s="39"/>
      <c r="AF233" s="9"/>
      <c r="AG233" s="34"/>
      <c r="AH233" s="9"/>
      <c r="AI233" s="9"/>
      <c r="AJ233" s="45" t="s">
        <v>46</v>
      </c>
      <c r="AK233" s="45"/>
      <c r="AL233" s="45" t="s">
        <v>3100</v>
      </c>
      <c r="AM233" s="45" t="s">
        <v>46</v>
      </c>
      <c r="AN233" s="45" t="s">
        <v>46</v>
      </c>
      <c r="AO233" s="45" t="s">
        <v>46</v>
      </c>
      <c r="AP233" s="45" t="s">
        <v>46</v>
      </c>
      <c r="AQ233" s="45" t="s">
        <v>46</v>
      </c>
      <c r="AR233" s="45" t="s">
        <v>46</v>
      </c>
      <c r="AS233" s="45" t="s">
        <v>46</v>
      </c>
      <c r="AT233" s="45"/>
      <c r="AU233" s="45"/>
      <c r="AV233" s="45"/>
      <c r="AW233" s="45" t="s">
        <v>46</v>
      </c>
      <c r="AX233" s="45" t="s">
        <v>46</v>
      </c>
      <c r="AY233" s="45" t="s">
        <v>46</v>
      </c>
      <c r="AZ233" s="45" t="s">
        <v>46</v>
      </c>
      <c r="BA233" s="10"/>
      <c r="BB233" s="29"/>
      <c r="BC233" s="29"/>
      <c r="BD233" s="29"/>
      <c r="BE233" s="29"/>
      <c r="BF233" s="29"/>
      <c r="BG233" s="29"/>
      <c r="BH233" s="29"/>
      <c r="BI233" s="29"/>
      <c r="BJ233" s="29"/>
      <c r="BK233" s="29" t="s">
        <v>3093</v>
      </c>
      <c r="BL233" s="29" t="s">
        <v>3094</v>
      </c>
      <c r="BM233" s="29"/>
      <c r="BN233" s="29"/>
      <c r="BO233" s="29"/>
      <c r="BP233" s="29"/>
      <c r="BQ233" s="29"/>
      <c r="BR233" s="29"/>
      <c r="BS233" s="29"/>
      <c r="BT233" s="29"/>
      <c r="BU233" s="29" t="s">
        <v>3095</v>
      </c>
      <c r="BV233" s="29" t="s">
        <v>3096</v>
      </c>
      <c r="BW233" s="29"/>
      <c r="BX233" s="29"/>
      <c r="BY233" s="29"/>
      <c r="BZ233" s="29"/>
      <c r="CA233" s="29"/>
      <c r="CB233" s="29"/>
      <c r="CC233" s="29"/>
      <c r="CD233" s="29"/>
      <c r="CE233" s="29"/>
      <c r="CF233" s="29"/>
      <c r="CG233" s="29" t="s">
        <v>3097</v>
      </c>
      <c r="CH233" s="29" t="s">
        <v>3098</v>
      </c>
      <c r="CI233" s="29"/>
      <c r="CJ233" s="29"/>
      <c r="CK233" s="29" t="s">
        <v>3125</v>
      </c>
      <c r="CL233" s="29" t="s">
        <v>3126</v>
      </c>
      <c r="CM233" s="29"/>
      <c r="CN233" s="29"/>
      <c r="CO233" s="29"/>
      <c r="CP233" s="29"/>
      <c r="CQ233" s="29"/>
      <c r="CR233" s="29"/>
      <c r="CS233" s="29"/>
      <c r="CT233" s="29"/>
      <c r="CU233" s="29"/>
      <c r="CV233" s="29"/>
      <c r="CW233" s="29"/>
      <c r="CX233" s="29"/>
      <c r="CY233" s="151"/>
      <c r="CZ233" t="s">
        <v>3313</v>
      </c>
      <c r="DA233" t="s">
        <v>3634</v>
      </c>
      <c r="DD233" s="96" t="str">
        <f t="shared" si="3"/>
        <v/>
      </c>
      <c r="DF233" s="96" t="s">
        <v>3753</v>
      </c>
      <c r="DI233" s="215"/>
    </row>
    <row r="234" spans="1:113" x14ac:dyDescent="0.3">
      <c r="C234" s="105"/>
      <c r="D234" s="27">
        <v>229</v>
      </c>
      <c r="E234" s="28" t="s">
        <v>434</v>
      </c>
      <c r="F234" s="28">
        <v>1000317103</v>
      </c>
      <c r="G234" s="29" t="s">
        <v>3103</v>
      </c>
      <c r="H234" s="28">
        <v>1668671</v>
      </c>
      <c r="I234" s="29" t="s">
        <v>3104</v>
      </c>
      <c r="J234" s="28" t="s">
        <v>3152</v>
      </c>
      <c r="K234" s="7"/>
      <c r="L234" s="104" t="s">
        <v>3153</v>
      </c>
      <c r="M234" s="29" t="s">
        <v>3154</v>
      </c>
      <c r="N234" s="29" t="s">
        <v>3155</v>
      </c>
      <c r="O234" s="127">
        <v>29972033</v>
      </c>
      <c r="P234" s="113" t="s">
        <v>1960</v>
      </c>
      <c r="Q234" s="28" t="s">
        <v>612</v>
      </c>
      <c r="R234" s="28" t="s">
        <v>1301</v>
      </c>
      <c r="S234" s="28" t="s">
        <v>1301</v>
      </c>
      <c r="T234" s="28" t="s">
        <v>1301</v>
      </c>
      <c r="U234" s="28" t="s">
        <v>1301</v>
      </c>
      <c r="V234" s="28" t="s">
        <v>1301</v>
      </c>
      <c r="W234" s="28" t="s">
        <v>1301</v>
      </c>
      <c r="X234" s="28" t="s">
        <v>1301</v>
      </c>
      <c r="Y234" s="28" t="s">
        <v>1301</v>
      </c>
      <c r="Z234" s="28" t="s">
        <v>1301</v>
      </c>
      <c r="AA234" s="28" t="s">
        <v>1301</v>
      </c>
      <c r="AB234" s="104" t="s">
        <v>663</v>
      </c>
      <c r="AC234" s="104" t="s">
        <v>661</v>
      </c>
      <c r="AD234" s="9" t="s">
        <v>3105</v>
      </c>
      <c r="AE234" s="39"/>
      <c r="AF234" s="9"/>
      <c r="AG234" s="34"/>
      <c r="AH234" s="9"/>
      <c r="AI234" s="9" t="s">
        <v>46</v>
      </c>
      <c r="AJ234" s="9"/>
      <c r="AK234" s="45"/>
      <c r="AL234" s="45" t="s">
        <v>46</v>
      </c>
      <c r="AM234" s="45" t="s">
        <v>46</v>
      </c>
      <c r="AN234" s="45" t="s">
        <v>46</v>
      </c>
      <c r="AO234" s="45" t="s">
        <v>46</v>
      </c>
      <c r="AP234" s="45" t="s">
        <v>46</v>
      </c>
      <c r="AQ234" s="45" t="s">
        <v>46</v>
      </c>
      <c r="AR234" s="45" t="s">
        <v>46</v>
      </c>
      <c r="AS234" s="45" t="s">
        <v>46</v>
      </c>
      <c r="AT234" s="45"/>
      <c r="AU234" s="45"/>
      <c r="AV234" s="45"/>
      <c r="AW234" s="45" t="s">
        <v>46</v>
      </c>
      <c r="AX234" s="45" t="s">
        <v>46</v>
      </c>
      <c r="AY234" s="45" t="s">
        <v>46</v>
      </c>
      <c r="AZ234" s="9" t="s">
        <v>46</v>
      </c>
      <c r="BA234" s="10"/>
      <c r="BB234" s="29"/>
      <c r="BC234" s="29"/>
      <c r="BD234" s="29"/>
      <c r="BE234" s="29"/>
      <c r="BF234" s="29"/>
      <c r="BG234" s="29"/>
      <c r="BH234" s="29"/>
      <c r="BI234" s="29" t="s">
        <v>3110</v>
      </c>
      <c r="BJ234" s="29" t="s">
        <v>3111</v>
      </c>
      <c r="BK234" s="29" t="s">
        <v>3106</v>
      </c>
      <c r="BL234" s="29" t="s">
        <v>3107</v>
      </c>
      <c r="BM234" s="29"/>
      <c r="BN234" s="29"/>
      <c r="BO234" s="29"/>
      <c r="BP234" s="29"/>
      <c r="BQ234" s="29"/>
      <c r="BR234" s="29"/>
      <c r="BS234" s="29"/>
      <c r="BT234" s="29"/>
      <c r="BU234" s="29" t="s">
        <v>3108</v>
      </c>
      <c r="BV234" s="29" t="s">
        <v>3109</v>
      </c>
      <c r="BW234" s="29"/>
      <c r="BX234" s="29"/>
      <c r="BY234" s="29"/>
      <c r="BZ234" s="29"/>
      <c r="CA234" s="29"/>
      <c r="CB234" s="29"/>
      <c r="CC234" s="29"/>
      <c r="CD234" s="29"/>
      <c r="CE234" s="29"/>
      <c r="CF234" s="29"/>
      <c r="CG234" s="29" t="s">
        <v>442</v>
      </c>
      <c r="CH234" s="29" t="s">
        <v>3565</v>
      </c>
      <c r="CI234" s="29"/>
      <c r="CJ234" s="29"/>
      <c r="CK234" s="29"/>
      <c r="CL234" s="29"/>
      <c r="CM234" s="29"/>
      <c r="CN234" s="29"/>
      <c r="CO234" s="29"/>
      <c r="CP234" s="29"/>
      <c r="CQ234" s="29"/>
      <c r="CR234" s="29"/>
      <c r="CS234" s="29"/>
      <c r="CT234" s="29"/>
      <c r="CU234" s="29"/>
      <c r="CV234" s="29"/>
      <c r="CW234" s="29"/>
      <c r="CX234" s="29"/>
      <c r="CY234" s="151"/>
      <c r="CZ234" t="s">
        <v>3314</v>
      </c>
      <c r="DA234" t="s">
        <v>3634</v>
      </c>
      <c r="DD234" s="96" t="str">
        <f t="shared" si="3"/>
        <v/>
      </c>
      <c r="DF234" s="96" t="s">
        <v>3753</v>
      </c>
      <c r="DI234" s="215"/>
    </row>
    <row r="235" spans="1:113" ht="16.5" customHeight="1" x14ac:dyDescent="0.3">
      <c r="C235" s="105"/>
      <c r="D235" s="27">
        <v>230</v>
      </c>
      <c r="E235" s="28" t="s">
        <v>637</v>
      </c>
      <c r="F235" s="28">
        <v>1000317450</v>
      </c>
      <c r="G235" s="29" t="s">
        <v>3229</v>
      </c>
      <c r="H235" s="28">
        <v>1669150</v>
      </c>
      <c r="I235" s="29" t="s">
        <v>3230</v>
      </c>
      <c r="J235" s="28" t="s">
        <v>429</v>
      </c>
      <c r="K235" s="7"/>
      <c r="L235" s="104" t="s">
        <v>3460</v>
      </c>
      <c r="M235" s="29" t="s">
        <v>3461</v>
      </c>
      <c r="N235" s="29" t="s">
        <v>3462</v>
      </c>
      <c r="O235" s="127">
        <v>87977286</v>
      </c>
      <c r="P235" s="113" t="s">
        <v>3463</v>
      </c>
      <c r="Q235" s="28" t="s">
        <v>612</v>
      </c>
      <c r="R235" s="28" t="s">
        <v>1301</v>
      </c>
      <c r="S235" s="28" t="s">
        <v>1301</v>
      </c>
      <c r="T235" s="28" t="s">
        <v>1329</v>
      </c>
      <c r="U235" s="28" t="s">
        <v>612</v>
      </c>
      <c r="V235" s="28" t="s">
        <v>1301</v>
      </c>
      <c r="W235" s="28" t="s">
        <v>1301</v>
      </c>
      <c r="X235" s="28" t="s">
        <v>1301</v>
      </c>
      <c r="Y235" s="28" t="s">
        <v>1301</v>
      </c>
      <c r="Z235" s="28" t="s">
        <v>1301</v>
      </c>
      <c r="AA235" s="28" t="s">
        <v>1301</v>
      </c>
      <c r="AB235" s="104" t="s">
        <v>663</v>
      </c>
      <c r="AC235" s="104" t="s">
        <v>661</v>
      </c>
      <c r="AD235" s="9" t="s">
        <v>1269</v>
      </c>
      <c r="AE235" s="39"/>
      <c r="AF235" s="9"/>
      <c r="AG235" s="34"/>
      <c r="AH235" s="9"/>
      <c r="AI235" s="9"/>
      <c r="AJ235" s="9" t="s">
        <v>46</v>
      </c>
      <c r="AK235" s="45"/>
      <c r="AL235" s="45" t="s">
        <v>46</v>
      </c>
      <c r="AM235" s="45" t="s">
        <v>46</v>
      </c>
      <c r="AN235" s="45" t="s">
        <v>46</v>
      </c>
      <c r="AO235" s="45" t="s">
        <v>46</v>
      </c>
      <c r="AP235" s="45" t="s">
        <v>46</v>
      </c>
      <c r="AQ235" s="45" t="s">
        <v>46</v>
      </c>
      <c r="AR235" s="45" t="s">
        <v>46</v>
      </c>
      <c r="AS235" s="45"/>
      <c r="AT235" s="45"/>
      <c r="AU235" s="45"/>
      <c r="AV235" s="45"/>
      <c r="AW235" s="9" t="s">
        <v>3543</v>
      </c>
      <c r="AX235" s="9" t="s">
        <v>3543</v>
      </c>
      <c r="AY235" s="9" t="s">
        <v>3543</v>
      </c>
      <c r="AZ235" s="9" t="s">
        <v>46</v>
      </c>
      <c r="BA235" s="10"/>
      <c r="BB235" s="29"/>
      <c r="BC235" s="29"/>
      <c r="BD235" s="29"/>
      <c r="BE235" s="29"/>
      <c r="BF235" s="29"/>
      <c r="BG235" s="29"/>
      <c r="BH235" s="29"/>
      <c r="BI235" s="29" t="s">
        <v>3235</v>
      </c>
      <c r="BJ235" s="29" t="s">
        <v>2531</v>
      </c>
      <c r="BK235" s="29" t="s">
        <v>3231</v>
      </c>
      <c r="BL235" s="29" t="s">
        <v>3232</v>
      </c>
      <c r="BM235" s="29"/>
      <c r="BN235" s="29"/>
      <c r="BO235" s="29"/>
      <c r="BP235" s="29"/>
      <c r="BQ235" s="29"/>
      <c r="BR235" s="29"/>
      <c r="BS235" s="29"/>
      <c r="BT235" s="29"/>
      <c r="BU235" s="29" t="s">
        <v>3233</v>
      </c>
      <c r="BV235" s="29" t="s">
        <v>3234</v>
      </c>
      <c r="BW235" s="29" t="s">
        <v>3236</v>
      </c>
      <c r="BX235" s="29" t="s">
        <v>3237</v>
      </c>
      <c r="BY235" s="29"/>
      <c r="BZ235" s="29"/>
      <c r="CA235" s="29"/>
      <c r="CB235" s="29"/>
      <c r="CC235" s="29"/>
      <c r="CD235" s="29"/>
      <c r="CE235" s="29"/>
      <c r="CF235" s="29"/>
      <c r="CG235" s="29" t="s">
        <v>3238</v>
      </c>
      <c r="CH235" s="29" t="s">
        <v>3239</v>
      </c>
      <c r="CI235" s="29" t="s">
        <v>3240</v>
      </c>
      <c r="CJ235" s="29" t="s">
        <v>3241</v>
      </c>
      <c r="CK235" s="29"/>
      <c r="CL235" s="29"/>
      <c r="CM235" s="29" t="s">
        <v>3464</v>
      </c>
      <c r="CN235" s="29" t="s">
        <v>3465</v>
      </c>
      <c r="CO235" s="29"/>
      <c r="CP235" s="29"/>
      <c r="CQ235" s="29"/>
      <c r="CR235" s="29"/>
      <c r="CS235" s="29"/>
      <c r="CT235" s="29"/>
      <c r="CU235" s="29"/>
      <c r="CV235" s="29"/>
      <c r="CW235" s="29"/>
      <c r="CX235" s="29"/>
      <c r="CY235" s="151"/>
      <c r="CZ235" t="s">
        <v>3633</v>
      </c>
      <c r="DA235" t="s">
        <v>3634</v>
      </c>
      <c r="DD235" s="96" t="str">
        <f t="shared" si="3"/>
        <v/>
      </c>
      <c r="DF235" s="96" t="s">
        <v>3753</v>
      </c>
      <c r="DI235" s="215"/>
    </row>
    <row r="236" spans="1:113" ht="16.5" customHeight="1" x14ac:dyDescent="0.3">
      <c r="C236" s="105"/>
      <c r="D236" s="27">
        <v>231</v>
      </c>
      <c r="E236" s="28" t="s">
        <v>829</v>
      </c>
      <c r="F236" s="28">
        <v>1001258313</v>
      </c>
      <c r="G236" s="29" t="s">
        <v>3523</v>
      </c>
      <c r="H236" s="28">
        <v>1683484</v>
      </c>
      <c r="I236" s="29" t="s">
        <v>3524</v>
      </c>
      <c r="J236" s="28" t="s">
        <v>3566</v>
      </c>
      <c r="K236" s="7"/>
      <c r="L236" s="104" t="s">
        <v>3567</v>
      </c>
      <c r="M236" s="29" t="s">
        <v>3568</v>
      </c>
      <c r="N236" s="29" t="s">
        <v>3569</v>
      </c>
      <c r="O236" s="127">
        <v>551833</v>
      </c>
      <c r="P236" s="28" t="s">
        <v>1301</v>
      </c>
      <c r="Q236" s="28" t="s">
        <v>1301</v>
      </c>
      <c r="R236" s="28" t="s">
        <v>1301</v>
      </c>
      <c r="S236" s="28" t="s">
        <v>1301</v>
      </c>
      <c r="T236" s="28" t="s">
        <v>1329</v>
      </c>
      <c r="U236" s="28" t="s">
        <v>612</v>
      </c>
      <c r="V236" s="28" t="s">
        <v>1301</v>
      </c>
      <c r="W236" s="28" t="s">
        <v>1301</v>
      </c>
      <c r="X236" s="28" t="s">
        <v>1301</v>
      </c>
      <c r="Y236" s="28" t="s">
        <v>1301</v>
      </c>
      <c r="Z236" s="28" t="s">
        <v>1301</v>
      </c>
      <c r="AA236" s="28" t="s">
        <v>1301</v>
      </c>
      <c r="AB236" s="104" t="s">
        <v>663</v>
      </c>
      <c r="AC236" s="104" t="s">
        <v>661</v>
      </c>
      <c r="AD236" s="9" t="s">
        <v>1269</v>
      </c>
      <c r="AE236" s="39"/>
      <c r="AF236" s="9"/>
      <c r="AG236" s="34"/>
      <c r="AH236" s="9"/>
      <c r="AI236" s="9"/>
      <c r="AJ236" s="9"/>
      <c r="AK236" s="45" t="s">
        <v>46</v>
      </c>
      <c r="AL236" s="45" t="s">
        <v>3542</v>
      </c>
      <c r="AM236" s="45" t="s">
        <v>46</v>
      </c>
      <c r="AN236" s="45" t="s">
        <v>46</v>
      </c>
      <c r="AO236" s="45" t="s">
        <v>46</v>
      </c>
      <c r="AP236" s="45" t="s">
        <v>46</v>
      </c>
      <c r="AQ236" s="45" t="s">
        <v>46</v>
      </c>
      <c r="AR236" s="45" t="s">
        <v>46</v>
      </c>
      <c r="AS236" s="45"/>
      <c r="AT236" s="45"/>
      <c r="AU236" s="45"/>
      <c r="AV236" s="45"/>
      <c r="AW236" s="9" t="s">
        <v>46</v>
      </c>
      <c r="AX236" s="9" t="s">
        <v>46</v>
      </c>
      <c r="AY236" s="9" t="s">
        <v>46</v>
      </c>
      <c r="AZ236" s="9" t="s">
        <v>46</v>
      </c>
      <c r="BA236" s="10"/>
      <c r="BB236" s="29"/>
      <c r="BC236" s="29"/>
      <c r="BD236" s="29"/>
      <c r="BE236" s="29"/>
      <c r="BF236" s="29"/>
      <c r="BG236" s="29"/>
      <c r="BH236" s="29"/>
      <c r="BI236" s="29" t="s">
        <v>3528</v>
      </c>
      <c r="BJ236" s="29" t="s">
        <v>3529</v>
      </c>
      <c r="BK236" s="29" t="s">
        <v>3525</v>
      </c>
      <c r="BL236" s="29" t="s">
        <v>3530</v>
      </c>
      <c r="BM236" s="29"/>
      <c r="BN236" s="29"/>
      <c r="BO236" s="29"/>
      <c r="BP236" s="29"/>
      <c r="BQ236" s="29"/>
      <c r="BR236" s="29"/>
      <c r="BS236" s="29"/>
      <c r="BT236" s="29"/>
      <c r="BU236" s="29" t="s">
        <v>3526</v>
      </c>
      <c r="BV236" s="29" t="s">
        <v>3531</v>
      </c>
      <c r="BW236" s="29"/>
      <c r="BX236" s="29"/>
      <c r="BY236" s="29"/>
      <c r="BZ236" s="29"/>
      <c r="CA236" s="29"/>
      <c r="CB236" s="29"/>
      <c r="CC236" s="29"/>
      <c r="CD236" s="29"/>
      <c r="CE236" s="29"/>
      <c r="CF236" s="29"/>
      <c r="CG236" s="29" t="s">
        <v>3527</v>
      </c>
      <c r="CH236" s="29" t="s">
        <v>3532</v>
      </c>
      <c r="CI236" s="29"/>
      <c r="CJ236" s="29"/>
      <c r="CK236" s="29" t="s">
        <v>3570</v>
      </c>
      <c r="CL236" s="29" t="s">
        <v>3571</v>
      </c>
      <c r="CM236" s="29"/>
      <c r="CN236" s="29"/>
      <c r="CO236" s="29"/>
      <c r="CP236" s="29"/>
      <c r="CQ236" s="29"/>
      <c r="CR236" s="29"/>
      <c r="CS236" s="29"/>
      <c r="CT236" s="29"/>
      <c r="CU236" s="29"/>
      <c r="CV236" s="29"/>
      <c r="CW236" s="29"/>
      <c r="CX236" s="29"/>
      <c r="CY236" s="151"/>
      <c r="CZ236" t="s">
        <v>3572</v>
      </c>
      <c r="DA236" t="s">
        <v>3634</v>
      </c>
      <c r="DD236" s="96" t="str">
        <f t="shared" si="3"/>
        <v/>
      </c>
      <c r="DF236" s="96" t="s">
        <v>3753</v>
      </c>
      <c r="DI236" s="215"/>
    </row>
    <row r="237" spans="1:113" ht="16.5" customHeight="1" x14ac:dyDescent="0.3">
      <c r="C237" s="9">
        <v>1684734</v>
      </c>
      <c r="D237" s="27">
        <v>232</v>
      </c>
      <c r="E237" s="28" t="s">
        <v>637</v>
      </c>
      <c r="F237" s="28">
        <v>1000814524</v>
      </c>
      <c r="G237" s="29" t="s">
        <v>3554</v>
      </c>
      <c r="H237" s="28">
        <v>1684734</v>
      </c>
      <c r="I237" s="29" t="s">
        <v>3555</v>
      </c>
      <c r="J237" s="28" t="s">
        <v>625</v>
      </c>
      <c r="K237" s="7"/>
      <c r="L237" s="104" t="s">
        <v>3573</v>
      </c>
      <c r="M237" s="29" t="s">
        <v>3574</v>
      </c>
      <c r="N237" s="29" t="s">
        <v>3575</v>
      </c>
      <c r="O237" s="127"/>
      <c r="P237" s="113" t="s">
        <v>1346</v>
      </c>
      <c r="Q237" s="28" t="s">
        <v>612</v>
      </c>
      <c r="R237" s="28" t="s">
        <v>1301</v>
      </c>
      <c r="S237" s="28" t="s">
        <v>1301</v>
      </c>
      <c r="T237" s="28" t="s">
        <v>1301</v>
      </c>
      <c r="U237" s="28" t="s">
        <v>1301</v>
      </c>
      <c r="V237" s="28" t="s">
        <v>1301</v>
      </c>
      <c r="W237" s="28" t="s">
        <v>1301</v>
      </c>
      <c r="X237" s="28" t="s">
        <v>1301</v>
      </c>
      <c r="Y237" s="28" t="s">
        <v>1301</v>
      </c>
      <c r="Z237" s="28" t="s">
        <v>1301</v>
      </c>
      <c r="AA237" s="28" t="s">
        <v>1301</v>
      </c>
      <c r="AB237" s="104" t="s">
        <v>1306</v>
      </c>
      <c r="AC237" s="104" t="s">
        <v>1307</v>
      </c>
      <c r="AD237" s="9" t="s">
        <v>1269</v>
      </c>
      <c r="AE237" s="39">
        <v>46049</v>
      </c>
      <c r="AF237" s="9" t="s">
        <v>1276</v>
      </c>
      <c r="AG237" s="34" t="s">
        <v>3562</v>
      </c>
      <c r="AH237" s="9"/>
      <c r="AI237" s="45"/>
      <c r="AJ237" s="9"/>
      <c r="AK237" s="45" t="s">
        <v>46</v>
      </c>
      <c r="AL237" s="45" t="s">
        <v>46</v>
      </c>
      <c r="AM237" s="45" t="s">
        <v>46</v>
      </c>
      <c r="AN237" s="45" t="s">
        <v>46</v>
      </c>
      <c r="AO237" s="45" t="s">
        <v>46</v>
      </c>
      <c r="AP237" s="45" t="s">
        <v>46</v>
      </c>
      <c r="AQ237" s="45" t="s">
        <v>46</v>
      </c>
      <c r="AR237" s="45"/>
      <c r="AS237" s="45"/>
      <c r="AT237" s="45"/>
      <c r="AU237" s="45"/>
      <c r="AV237" s="9" t="s">
        <v>46</v>
      </c>
      <c r="AW237" s="9"/>
      <c r="AX237" s="9"/>
      <c r="AY237" s="9"/>
      <c r="AZ237" s="9"/>
      <c r="BA237" s="10"/>
      <c r="BB237" s="29"/>
      <c r="BC237" s="29"/>
      <c r="BD237" s="29"/>
      <c r="BE237" s="29"/>
      <c r="BF237" s="29"/>
      <c r="BG237" s="29"/>
      <c r="BH237" s="29"/>
      <c r="BI237" s="29" t="s">
        <v>3556</v>
      </c>
      <c r="BJ237" s="29" t="s">
        <v>3559</v>
      </c>
      <c r="BK237" s="29" t="s">
        <v>3557</v>
      </c>
      <c r="BL237" s="29" t="s">
        <v>3560</v>
      </c>
      <c r="BM237" s="29"/>
      <c r="BN237" s="29"/>
      <c r="BO237" s="29"/>
      <c r="BP237" s="29"/>
      <c r="BQ237" s="29"/>
      <c r="BR237" s="29"/>
      <c r="BS237" s="29"/>
      <c r="BT237" s="29"/>
      <c r="BU237" s="29" t="s">
        <v>3024</v>
      </c>
      <c r="BV237" s="29" t="s">
        <v>3025</v>
      </c>
      <c r="BW237" s="29"/>
      <c r="BX237" s="29"/>
      <c r="BY237" s="29"/>
      <c r="BZ237" s="29"/>
      <c r="CA237" s="29"/>
      <c r="CB237" s="29"/>
      <c r="CC237" s="29"/>
      <c r="CD237" s="29"/>
      <c r="CE237" s="29"/>
      <c r="CF237" s="29"/>
      <c r="CG237" s="29" t="s">
        <v>3558</v>
      </c>
      <c r="CH237" s="29" t="s">
        <v>3561</v>
      </c>
      <c r="CI237" s="29"/>
      <c r="CJ237" s="29"/>
      <c r="CK237" s="29" t="s">
        <v>3576</v>
      </c>
      <c r="CL237" s="29" t="s">
        <v>3197</v>
      </c>
      <c r="CM237" s="29" t="s">
        <v>3577</v>
      </c>
      <c r="CN237" s="29" t="s">
        <v>3578</v>
      </c>
      <c r="CO237" s="29"/>
      <c r="CP237" s="29"/>
      <c r="CQ237" s="29"/>
      <c r="CR237" s="29"/>
      <c r="CS237" s="29"/>
      <c r="CT237" s="29"/>
      <c r="CU237" s="29"/>
      <c r="CV237" s="29"/>
      <c r="CW237" s="29"/>
      <c r="CX237" s="29"/>
      <c r="CY237" s="151" t="s">
        <v>3099</v>
      </c>
      <c r="CZ237" t="s">
        <v>3744</v>
      </c>
      <c r="DA237" t="s">
        <v>3587</v>
      </c>
      <c r="DD237" s="96" t="str">
        <f t="shared" si="3"/>
        <v>V</v>
      </c>
      <c r="DI237" s="215"/>
    </row>
    <row r="238" spans="1:113" ht="16.5" customHeight="1" x14ac:dyDescent="0.3">
      <c r="A238" t="s">
        <v>3761</v>
      </c>
      <c r="B238" t="s">
        <v>3778</v>
      </c>
      <c r="C238" s="9"/>
      <c r="D238" s="27">
        <v>233</v>
      </c>
      <c r="E238" s="28" t="s">
        <v>829</v>
      </c>
      <c r="F238" s="28">
        <v>1000316242</v>
      </c>
      <c r="G238" s="29" t="s">
        <v>3676</v>
      </c>
      <c r="H238" s="28">
        <v>1689529</v>
      </c>
      <c r="I238" s="29" t="s">
        <v>3677</v>
      </c>
      <c r="J238" s="28" t="s">
        <v>854</v>
      </c>
      <c r="K238" s="7"/>
      <c r="L238" s="104" t="s">
        <v>698</v>
      </c>
      <c r="M238" s="29" t="s">
        <v>3768</v>
      </c>
      <c r="N238" s="29" t="s">
        <v>69</v>
      </c>
      <c r="O238" s="127">
        <v>949644</v>
      </c>
      <c r="P238" s="28" t="s">
        <v>1301</v>
      </c>
      <c r="Q238" s="28" t="s">
        <v>1301</v>
      </c>
      <c r="R238" s="28" t="s">
        <v>1301</v>
      </c>
      <c r="S238" s="28" t="s">
        <v>1301</v>
      </c>
      <c r="T238" s="28" t="s">
        <v>3769</v>
      </c>
      <c r="U238" s="28" t="s">
        <v>612</v>
      </c>
      <c r="V238" s="28" t="s">
        <v>1301</v>
      </c>
      <c r="W238" s="28" t="s">
        <v>1301</v>
      </c>
      <c r="X238" s="28" t="s">
        <v>1301</v>
      </c>
      <c r="Y238" s="28" t="s">
        <v>1301</v>
      </c>
      <c r="Z238" s="28" t="s">
        <v>1301</v>
      </c>
      <c r="AA238" s="28" t="s">
        <v>1301</v>
      </c>
      <c r="AB238" s="104" t="s">
        <v>663</v>
      </c>
      <c r="AC238" s="104" t="s">
        <v>1340</v>
      </c>
      <c r="AD238" s="9" t="s">
        <v>1269</v>
      </c>
      <c r="AE238" s="39">
        <v>46063</v>
      </c>
      <c r="AF238" s="9" t="s">
        <v>1276</v>
      </c>
      <c r="AG238" s="34" t="s">
        <v>3797</v>
      </c>
      <c r="AH238" s="9"/>
      <c r="AI238" s="45"/>
      <c r="AJ238" s="9"/>
      <c r="AK238" s="45" t="s">
        <v>46</v>
      </c>
      <c r="AL238" s="45" t="s">
        <v>46</v>
      </c>
      <c r="AM238" s="45" t="s">
        <v>46</v>
      </c>
      <c r="AN238" s="45" t="s">
        <v>46</v>
      </c>
      <c r="AO238" s="45" t="s">
        <v>46</v>
      </c>
      <c r="AP238" s="45" t="s">
        <v>46</v>
      </c>
      <c r="AQ238" s="45" t="s">
        <v>46</v>
      </c>
      <c r="AR238" s="45" t="s">
        <v>46</v>
      </c>
      <c r="AS238" s="45" t="s">
        <v>46</v>
      </c>
      <c r="AT238" s="45"/>
      <c r="AU238" s="45"/>
      <c r="AV238" s="9"/>
      <c r="AW238" s="45" t="s">
        <v>46</v>
      </c>
      <c r="AX238" s="45" t="s">
        <v>46</v>
      </c>
      <c r="AY238" s="45" t="s">
        <v>46</v>
      </c>
      <c r="AZ238" s="45" t="s">
        <v>46</v>
      </c>
      <c r="BA238" s="10"/>
      <c r="BB238" s="29"/>
      <c r="BC238" s="29"/>
      <c r="BD238" s="29"/>
      <c r="BE238" s="29"/>
      <c r="BF238" s="29"/>
      <c r="BG238" s="29"/>
      <c r="BH238" s="29"/>
      <c r="BI238" s="29" t="s">
        <v>3681</v>
      </c>
      <c r="BJ238" s="29" t="s">
        <v>2551</v>
      </c>
      <c r="BK238" s="29" t="s">
        <v>3678</v>
      </c>
      <c r="BL238" s="29" t="s">
        <v>3682</v>
      </c>
      <c r="BM238" s="29"/>
      <c r="BN238" s="29"/>
      <c r="BO238" s="29"/>
      <c r="BP238" s="29"/>
      <c r="BQ238" s="29"/>
      <c r="BR238" s="29"/>
      <c r="BS238" s="29"/>
      <c r="BT238" s="29"/>
      <c r="BU238" s="29" t="s">
        <v>3679</v>
      </c>
      <c r="BV238" s="29" t="s">
        <v>2803</v>
      </c>
      <c r="BW238" s="29"/>
      <c r="BX238" s="29"/>
      <c r="BY238" s="29"/>
      <c r="BZ238" s="29"/>
      <c r="CA238" s="29"/>
      <c r="CB238" s="29"/>
      <c r="CC238" s="29"/>
      <c r="CD238" s="29"/>
      <c r="CE238" s="29"/>
      <c r="CF238" s="29"/>
      <c r="CG238" s="29" t="s">
        <v>3680</v>
      </c>
      <c r="CH238" s="29" t="s">
        <v>1858</v>
      </c>
      <c r="CI238" s="29"/>
      <c r="CJ238" s="29"/>
      <c r="CK238" s="29" t="s">
        <v>3770</v>
      </c>
      <c r="CL238" s="29" t="s">
        <v>3771</v>
      </c>
      <c r="CM238" s="29"/>
      <c r="CN238" s="29"/>
      <c r="CO238" s="29"/>
      <c r="CP238" s="29"/>
      <c r="CQ238" s="29"/>
      <c r="CR238" s="29"/>
      <c r="CS238" s="29"/>
      <c r="CT238" s="29"/>
      <c r="CU238" s="29"/>
      <c r="CV238" s="29"/>
      <c r="CW238" s="29"/>
      <c r="CX238" s="29"/>
      <c r="CY238" s="151"/>
      <c r="CZ238" t="s">
        <v>3716</v>
      </c>
      <c r="DA238" t="s">
        <v>3634</v>
      </c>
      <c r="DD238" s="96" t="str">
        <f t="shared" si="3"/>
        <v>V</v>
      </c>
      <c r="DF238" s="96"/>
      <c r="DI238" s="215"/>
    </row>
    <row r="239" spans="1:113" ht="16.5" customHeight="1" x14ac:dyDescent="0.3">
      <c r="A239" t="s">
        <v>3798</v>
      </c>
      <c r="B239" t="s">
        <v>3778</v>
      </c>
      <c r="C239" s="9"/>
      <c r="D239" s="27">
        <v>234</v>
      </c>
      <c r="E239" s="28" t="s">
        <v>3706</v>
      </c>
      <c r="F239" s="28">
        <v>1000696872</v>
      </c>
      <c r="G239" s="29" t="s">
        <v>3707</v>
      </c>
      <c r="H239" s="28">
        <v>1683595</v>
      </c>
      <c r="I239" s="29" t="s">
        <v>3714</v>
      </c>
      <c r="J239" s="28" t="s">
        <v>3708</v>
      </c>
      <c r="K239" s="7"/>
      <c r="L239" s="104" t="s">
        <v>738</v>
      </c>
      <c r="M239" s="29" t="s">
        <v>369</v>
      </c>
      <c r="N239" s="29" t="s">
        <v>3806</v>
      </c>
      <c r="O239" s="127">
        <v>196227</v>
      </c>
      <c r="P239" s="113" t="s">
        <v>1317</v>
      </c>
      <c r="Q239" s="28" t="s">
        <v>607</v>
      </c>
      <c r="R239" s="28" t="s">
        <v>1301</v>
      </c>
      <c r="S239" s="28" t="s">
        <v>1301</v>
      </c>
      <c r="T239" s="28" t="s">
        <v>3769</v>
      </c>
      <c r="U239" s="28" t="s">
        <v>607</v>
      </c>
      <c r="V239" s="28" t="s">
        <v>1301</v>
      </c>
      <c r="W239" s="28" t="s">
        <v>1301</v>
      </c>
      <c r="X239" s="28" t="s">
        <v>1301</v>
      </c>
      <c r="Y239" s="28" t="s">
        <v>1301</v>
      </c>
      <c r="Z239" s="28" t="s">
        <v>1301</v>
      </c>
      <c r="AA239" s="28" t="s">
        <v>1301</v>
      </c>
      <c r="AB239" s="104" t="s">
        <v>663</v>
      </c>
      <c r="AC239" s="104" t="s">
        <v>1340</v>
      </c>
      <c r="AD239" s="9" t="s">
        <v>1269</v>
      </c>
      <c r="AE239" s="39"/>
      <c r="AF239" s="9"/>
      <c r="AG239" s="34"/>
      <c r="AH239" s="9"/>
      <c r="AI239" s="45"/>
      <c r="AJ239" s="9"/>
      <c r="AK239" s="45" t="s">
        <v>46</v>
      </c>
      <c r="AL239" s="45" t="s">
        <v>46</v>
      </c>
      <c r="AM239" s="45" t="s">
        <v>46</v>
      </c>
      <c r="AN239" s="45" t="s">
        <v>46</v>
      </c>
      <c r="AO239" s="45" t="s">
        <v>46</v>
      </c>
      <c r="AP239" s="45" t="s">
        <v>46</v>
      </c>
      <c r="AQ239" s="45" t="s">
        <v>46</v>
      </c>
      <c r="AR239" s="45" t="s">
        <v>46</v>
      </c>
      <c r="AS239" s="45" t="s">
        <v>46</v>
      </c>
      <c r="AT239" s="45"/>
      <c r="AU239" s="45"/>
      <c r="AV239" s="9"/>
      <c r="AW239" s="45" t="s">
        <v>46</v>
      </c>
      <c r="AX239" s="45" t="s">
        <v>46</v>
      </c>
      <c r="AY239" s="45" t="s">
        <v>46</v>
      </c>
      <c r="AZ239" s="45" t="s">
        <v>46</v>
      </c>
      <c r="BA239" s="10"/>
      <c r="BB239" s="29"/>
      <c r="BC239" s="29"/>
      <c r="BD239" s="29"/>
      <c r="BE239" s="29"/>
      <c r="BF239" s="29"/>
      <c r="BG239" s="29"/>
      <c r="BH239" s="29"/>
      <c r="BI239" s="29" t="s">
        <v>3709</v>
      </c>
      <c r="BJ239" s="29" t="s">
        <v>3553</v>
      </c>
      <c r="BK239" s="29" t="s">
        <v>3711</v>
      </c>
      <c r="BL239" s="29" t="s">
        <v>2893</v>
      </c>
      <c r="BM239" s="29"/>
      <c r="BN239" s="29"/>
      <c r="BO239" s="29"/>
      <c r="BP239" s="29"/>
      <c r="BQ239" s="29"/>
      <c r="BR239" s="29"/>
      <c r="BS239" s="29"/>
      <c r="BT239" s="29"/>
      <c r="BU239" s="29" t="s">
        <v>3710</v>
      </c>
      <c r="BV239" s="29" t="s">
        <v>3066</v>
      </c>
      <c r="BW239" s="29"/>
      <c r="BX239" s="29"/>
      <c r="BY239" s="29"/>
      <c r="BZ239" s="29"/>
      <c r="CA239" s="29"/>
      <c r="CB239" s="29"/>
      <c r="CC239" s="29"/>
      <c r="CD239" s="29"/>
      <c r="CE239" s="29"/>
      <c r="CF239" s="29"/>
      <c r="CG239" s="29" t="s">
        <v>3712</v>
      </c>
      <c r="CH239" s="29" t="s">
        <v>3713</v>
      </c>
      <c r="CI239" s="29"/>
      <c r="CJ239" s="29"/>
      <c r="CK239" s="29" t="s">
        <v>3807</v>
      </c>
      <c r="CL239" s="29" t="s">
        <v>3808</v>
      </c>
      <c r="CM239" s="29"/>
      <c r="CN239" s="29"/>
      <c r="CO239" s="29"/>
      <c r="CP239" s="29"/>
      <c r="CQ239" s="29"/>
      <c r="CR239" s="29"/>
      <c r="CS239" s="29"/>
      <c r="CT239" s="29"/>
      <c r="CU239" s="29"/>
      <c r="CV239" s="29"/>
      <c r="CW239" s="29"/>
      <c r="CX239" s="29"/>
      <c r="CY239" s="151"/>
      <c r="CZ239" t="s">
        <v>3747</v>
      </c>
      <c r="DA239" t="s">
        <v>3634</v>
      </c>
      <c r="DD239" s="96"/>
      <c r="DF239" s="96" t="s">
        <v>3753</v>
      </c>
      <c r="DI239" s="215"/>
    </row>
    <row r="240" spans="1:113" ht="16.5" customHeight="1" x14ac:dyDescent="0.3">
      <c r="A240" t="s">
        <v>3761</v>
      </c>
      <c r="B240" t="s">
        <v>3778</v>
      </c>
      <c r="C240" s="9"/>
      <c r="D240" s="27">
        <v>235</v>
      </c>
      <c r="E240" s="28" t="s">
        <v>3924</v>
      </c>
      <c r="F240" s="28">
        <v>1001044635</v>
      </c>
      <c r="G240" s="29" t="s">
        <v>3925</v>
      </c>
      <c r="H240" s="28">
        <v>1683391</v>
      </c>
      <c r="I240" s="29" t="s">
        <v>3927</v>
      </c>
      <c r="J240" s="28" t="s">
        <v>33</v>
      </c>
      <c r="K240" s="7"/>
      <c r="L240" s="104" t="s">
        <v>3947</v>
      </c>
      <c r="M240" s="110" t="s">
        <v>3948</v>
      </c>
      <c r="N240" s="29" t="s">
        <v>3949</v>
      </c>
      <c r="O240" s="127">
        <v>773295</v>
      </c>
      <c r="P240" s="113" t="s">
        <v>3950</v>
      </c>
      <c r="Q240" s="28" t="s">
        <v>2245</v>
      </c>
      <c r="R240" s="28" t="s">
        <v>1301</v>
      </c>
      <c r="S240" s="28" t="s">
        <v>1301</v>
      </c>
      <c r="T240" s="28" t="s">
        <v>1301</v>
      </c>
      <c r="U240" s="28" t="s">
        <v>1301</v>
      </c>
      <c r="V240" s="28" t="s">
        <v>1301</v>
      </c>
      <c r="W240" s="28" t="s">
        <v>1301</v>
      </c>
      <c r="X240" s="28" t="s">
        <v>1301</v>
      </c>
      <c r="Y240" s="28" t="s">
        <v>1301</v>
      </c>
      <c r="Z240" s="28" t="s">
        <v>1301</v>
      </c>
      <c r="AA240" s="28" t="s">
        <v>1301</v>
      </c>
      <c r="AB240" s="104" t="s">
        <v>663</v>
      </c>
      <c r="AC240" s="104" t="s">
        <v>1340</v>
      </c>
      <c r="AD240" s="9" t="s">
        <v>3951</v>
      </c>
      <c r="AE240" s="39">
        <v>46084</v>
      </c>
      <c r="AF240" s="9" t="s">
        <v>3780</v>
      </c>
      <c r="AG240" s="34"/>
      <c r="AH240" s="9"/>
      <c r="AI240" s="45"/>
      <c r="AJ240" s="9"/>
      <c r="AK240" s="45" t="s">
        <v>461</v>
      </c>
      <c r="AL240" s="45"/>
      <c r="AM240" s="45"/>
      <c r="AN240" s="45"/>
      <c r="AO240" s="45"/>
      <c r="AP240" s="45"/>
      <c r="AQ240" s="45"/>
      <c r="AR240" s="45"/>
      <c r="AS240" s="45"/>
      <c r="AT240" s="45"/>
      <c r="AU240" s="45"/>
      <c r="AV240" s="9"/>
      <c r="AW240" s="45" t="s">
        <v>461</v>
      </c>
      <c r="AX240" s="45" t="s">
        <v>461</v>
      </c>
      <c r="AY240" s="45" t="s">
        <v>461</v>
      </c>
      <c r="AZ240" s="45" t="s">
        <v>461</v>
      </c>
      <c r="BA240" s="10"/>
      <c r="BB240" s="29"/>
      <c r="BC240" s="29"/>
      <c r="BD240" s="29"/>
      <c r="BE240" s="29"/>
      <c r="BF240" s="29"/>
      <c r="BG240" s="29"/>
      <c r="BH240" s="29"/>
      <c r="BI240" s="29"/>
      <c r="BJ240" s="29"/>
      <c r="BK240" s="29" t="s">
        <v>3928</v>
      </c>
      <c r="BL240" s="29" t="s">
        <v>3931</v>
      </c>
      <c r="BM240" s="29"/>
      <c r="BN240" s="29"/>
      <c r="BO240" s="29"/>
      <c r="BP240" s="29"/>
      <c r="BQ240" s="29"/>
      <c r="BR240" s="29"/>
      <c r="BS240" s="29"/>
      <c r="BT240" s="29"/>
      <c r="BU240" s="29" t="s">
        <v>3929</v>
      </c>
      <c r="BV240" s="29" t="s">
        <v>3930</v>
      </c>
      <c r="BW240" s="29"/>
      <c r="BX240" s="29"/>
      <c r="BY240" s="29"/>
      <c r="BZ240" s="29"/>
      <c r="CA240" s="29"/>
      <c r="CB240" s="29"/>
      <c r="CC240" s="29"/>
      <c r="CD240" s="29"/>
      <c r="CE240" s="29"/>
      <c r="CF240" s="29"/>
      <c r="CG240" s="29" t="s">
        <v>3933</v>
      </c>
      <c r="CH240" s="29" t="s">
        <v>3935</v>
      </c>
      <c r="CI240" s="29"/>
      <c r="CJ240" s="29"/>
      <c r="CK240" s="29" t="s">
        <v>403</v>
      </c>
      <c r="CL240" s="29" t="s">
        <v>3932</v>
      </c>
      <c r="CM240" s="29" t="s">
        <v>3937</v>
      </c>
      <c r="CN240" s="29" t="s">
        <v>3939</v>
      </c>
      <c r="CO240" s="29" t="s">
        <v>3944</v>
      </c>
      <c r="CP240" s="29" t="s">
        <v>3953</v>
      </c>
      <c r="CQ240" s="29" t="s">
        <v>3946</v>
      </c>
      <c r="CR240" s="29" t="s">
        <v>3955</v>
      </c>
      <c r="CS240" s="29"/>
      <c r="CT240" s="29"/>
      <c r="CU240" s="29"/>
      <c r="CV240" s="29"/>
      <c r="CW240" s="29"/>
      <c r="CX240" s="29"/>
      <c r="CY240" s="151"/>
      <c r="CZ240" t="s">
        <v>3926</v>
      </c>
      <c r="DA240" t="s">
        <v>3634</v>
      </c>
      <c r="DD240" s="96"/>
      <c r="DF240" s="205"/>
      <c r="DI240" s="215"/>
    </row>
    <row r="241" spans="12:12" x14ac:dyDescent="0.3">
      <c r="L241" s="106"/>
    </row>
    <row r="242" spans="12:12" x14ac:dyDescent="0.3">
      <c r="L242" s="106"/>
    </row>
    <row r="243" spans="12:12" x14ac:dyDescent="0.3">
      <c r="L243" s="106"/>
    </row>
    <row r="244" spans="12:12" x14ac:dyDescent="0.3">
      <c r="L244" s="106"/>
    </row>
    <row r="245" spans="12:12" x14ac:dyDescent="0.3">
      <c r="L245" s="106"/>
    </row>
    <row r="246" spans="12:12" x14ac:dyDescent="0.3">
      <c r="L246" s="106"/>
    </row>
    <row r="247" spans="12:12" x14ac:dyDescent="0.3">
      <c r="L247" s="106"/>
    </row>
    <row r="248" spans="12:12" x14ac:dyDescent="0.3">
      <c r="L248" s="106"/>
    </row>
    <row r="249" spans="12:12" x14ac:dyDescent="0.3">
      <c r="L249" s="106"/>
    </row>
    <row r="250" spans="12:12" x14ac:dyDescent="0.3">
      <c r="L250" s="106"/>
    </row>
    <row r="251" spans="12:12" x14ac:dyDescent="0.3">
      <c r="L251" s="106"/>
    </row>
    <row r="252" spans="12:12" x14ac:dyDescent="0.3">
      <c r="L252" s="106"/>
    </row>
    <row r="253" spans="12:12" x14ac:dyDescent="0.3">
      <c r="L253" s="106"/>
    </row>
    <row r="254" spans="12:12" x14ac:dyDescent="0.3">
      <c r="L254" s="106"/>
    </row>
    <row r="255" spans="12:12" x14ac:dyDescent="0.3">
      <c r="L255" s="106"/>
    </row>
    <row r="256" spans="12:12" x14ac:dyDescent="0.3">
      <c r="L256" s="106"/>
    </row>
    <row r="257" spans="12:12" x14ac:dyDescent="0.3">
      <c r="L257" s="106"/>
    </row>
    <row r="258" spans="12:12" x14ac:dyDescent="0.3">
      <c r="L258" s="106"/>
    </row>
    <row r="259" spans="12:12" x14ac:dyDescent="0.3">
      <c r="L259" s="106"/>
    </row>
    <row r="260" spans="12:12" x14ac:dyDescent="0.3">
      <c r="L260" s="106"/>
    </row>
    <row r="261" spans="12:12" x14ac:dyDescent="0.3">
      <c r="L261" s="106"/>
    </row>
    <row r="262" spans="12:12" x14ac:dyDescent="0.3">
      <c r="L262" s="106"/>
    </row>
    <row r="263" spans="12:12" x14ac:dyDescent="0.3">
      <c r="L263" s="106"/>
    </row>
    <row r="264" spans="12:12" x14ac:dyDescent="0.3">
      <c r="L264" s="106"/>
    </row>
    <row r="265" spans="12:12" x14ac:dyDescent="0.3">
      <c r="L265" s="106"/>
    </row>
    <row r="266" spans="12:12" x14ac:dyDescent="0.3">
      <c r="L266" s="106"/>
    </row>
    <row r="267" spans="12:12" x14ac:dyDescent="0.3">
      <c r="L267" s="106"/>
    </row>
    <row r="268" spans="12:12" x14ac:dyDescent="0.3">
      <c r="L268" s="106"/>
    </row>
    <row r="269" spans="12:12" x14ac:dyDescent="0.3">
      <c r="L269" s="106"/>
    </row>
    <row r="270" spans="12:12" x14ac:dyDescent="0.3">
      <c r="L270" s="106"/>
    </row>
    <row r="271" spans="12:12" x14ac:dyDescent="0.3">
      <c r="L271" s="106"/>
    </row>
    <row r="272" spans="12:12" x14ac:dyDescent="0.3">
      <c r="L272" s="106"/>
    </row>
    <row r="273" spans="12:12" x14ac:dyDescent="0.3">
      <c r="L273" s="106"/>
    </row>
    <row r="274" spans="12:12" x14ac:dyDescent="0.3">
      <c r="L274" s="106"/>
    </row>
    <row r="275" spans="12:12" x14ac:dyDescent="0.3">
      <c r="L275" s="106"/>
    </row>
    <row r="276" spans="12:12" x14ac:dyDescent="0.3">
      <c r="L276" s="106"/>
    </row>
    <row r="277" spans="12:12" x14ac:dyDescent="0.3">
      <c r="L277" s="106"/>
    </row>
    <row r="278" spans="12:12" x14ac:dyDescent="0.3">
      <c r="L278" s="106"/>
    </row>
    <row r="279" spans="12:12" x14ac:dyDescent="0.3">
      <c r="L279" s="106"/>
    </row>
    <row r="280" spans="12:12" x14ac:dyDescent="0.3">
      <c r="L280" s="106"/>
    </row>
    <row r="281" spans="12:12" x14ac:dyDescent="0.3">
      <c r="L281" s="106"/>
    </row>
    <row r="282" spans="12:12" x14ac:dyDescent="0.3">
      <c r="L282" s="106"/>
    </row>
    <row r="283" spans="12:12" x14ac:dyDescent="0.3">
      <c r="L283" s="106"/>
    </row>
    <row r="284" spans="12:12" x14ac:dyDescent="0.3">
      <c r="L284" s="106"/>
    </row>
    <row r="285" spans="12:12" x14ac:dyDescent="0.3">
      <c r="L285" s="106"/>
    </row>
    <row r="286" spans="12:12" x14ac:dyDescent="0.3">
      <c r="L286" s="106"/>
    </row>
    <row r="287" spans="12:12" x14ac:dyDescent="0.3">
      <c r="L287" s="106"/>
    </row>
    <row r="288" spans="12:12" x14ac:dyDescent="0.3">
      <c r="L288" s="106"/>
    </row>
    <row r="289" spans="12:12" x14ac:dyDescent="0.3">
      <c r="L289" s="106"/>
    </row>
    <row r="290" spans="12:12" x14ac:dyDescent="0.3">
      <c r="L290" s="106"/>
    </row>
    <row r="291" spans="12:12" x14ac:dyDescent="0.3">
      <c r="L291" s="106"/>
    </row>
    <row r="292" spans="12:12" x14ac:dyDescent="0.3">
      <c r="L292" s="106"/>
    </row>
    <row r="293" spans="12:12" x14ac:dyDescent="0.3">
      <c r="L293" s="106"/>
    </row>
    <row r="294" spans="12:12" x14ac:dyDescent="0.3">
      <c r="L294" s="106"/>
    </row>
    <row r="295" spans="12:12" x14ac:dyDescent="0.3">
      <c r="L295" s="106"/>
    </row>
    <row r="296" spans="12:12" x14ac:dyDescent="0.3">
      <c r="L296" s="106"/>
    </row>
    <row r="297" spans="12:12" x14ac:dyDescent="0.3">
      <c r="L297" s="106"/>
    </row>
    <row r="298" spans="12:12" x14ac:dyDescent="0.3">
      <c r="L298" s="106"/>
    </row>
    <row r="299" spans="12:12" x14ac:dyDescent="0.3">
      <c r="L299" s="106"/>
    </row>
    <row r="300" spans="12:12" x14ac:dyDescent="0.3">
      <c r="L300" s="106"/>
    </row>
    <row r="301" spans="12:12" x14ac:dyDescent="0.3">
      <c r="L301" s="106"/>
    </row>
    <row r="302" spans="12:12" x14ac:dyDescent="0.3">
      <c r="L302" s="106"/>
    </row>
    <row r="303" spans="12:12" x14ac:dyDescent="0.3">
      <c r="L303" s="106"/>
    </row>
    <row r="304" spans="12:12" x14ac:dyDescent="0.3">
      <c r="L304" s="106"/>
    </row>
    <row r="305" spans="12:12" x14ac:dyDescent="0.3">
      <c r="L305" s="106"/>
    </row>
    <row r="306" spans="12:12" x14ac:dyDescent="0.3">
      <c r="L306" s="106"/>
    </row>
    <row r="307" spans="12:12" x14ac:dyDescent="0.3">
      <c r="L307" s="106"/>
    </row>
    <row r="308" spans="12:12" x14ac:dyDescent="0.3">
      <c r="L308" s="106"/>
    </row>
    <row r="309" spans="12:12" x14ac:dyDescent="0.3">
      <c r="L309" s="106"/>
    </row>
    <row r="310" spans="12:12" x14ac:dyDescent="0.3">
      <c r="L310" s="106"/>
    </row>
    <row r="311" spans="12:12" x14ac:dyDescent="0.3">
      <c r="L311" s="106"/>
    </row>
    <row r="312" spans="12:12" x14ac:dyDescent="0.3">
      <c r="L312" s="106"/>
    </row>
    <row r="313" spans="12:12" x14ac:dyDescent="0.3">
      <c r="L313" s="106"/>
    </row>
    <row r="314" spans="12:12" x14ac:dyDescent="0.3">
      <c r="L314" s="106"/>
    </row>
    <row r="315" spans="12:12" x14ac:dyDescent="0.3">
      <c r="L315" s="106"/>
    </row>
    <row r="316" spans="12:12" x14ac:dyDescent="0.3">
      <c r="L316" s="106"/>
    </row>
    <row r="317" spans="12:12" x14ac:dyDescent="0.3">
      <c r="L317" s="106"/>
    </row>
    <row r="318" spans="12:12" x14ac:dyDescent="0.3">
      <c r="L318" s="106"/>
    </row>
    <row r="319" spans="12:12" x14ac:dyDescent="0.3">
      <c r="L319" s="106"/>
    </row>
    <row r="320" spans="12:12" x14ac:dyDescent="0.3">
      <c r="L320" s="106"/>
    </row>
    <row r="321" spans="12:12" x14ac:dyDescent="0.3">
      <c r="L321" s="106"/>
    </row>
    <row r="322" spans="12:12" x14ac:dyDescent="0.3">
      <c r="L322" s="106"/>
    </row>
    <row r="323" spans="12:12" x14ac:dyDescent="0.3">
      <c r="L323" s="106"/>
    </row>
    <row r="324" spans="12:12" x14ac:dyDescent="0.3">
      <c r="L324" s="106"/>
    </row>
    <row r="325" spans="12:12" x14ac:dyDescent="0.3">
      <c r="L325" s="106"/>
    </row>
    <row r="326" spans="12:12" x14ac:dyDescent="0.3">
      <c r="L326" s="106"/>
    </row>
    <row r="327" spans="12:12" x14ac:dyDescent="0.3">
      <c r="L327" s="106"/>
    </row>
    <row r="328" spans="12:12" x14ac:dyDescent="0.3">
      <c r="L328" s="106"/>
    </row>
    <row r="329" spans="12:12" x14ac:dyDescent="0.3">
      <c r="L329" s="106"/>
    </row>
    <row r="330" spans="12:12" x14ac:dyDescent="0.3">
      <c r="L330" s="106"/>
    </row>
    <row r="331" spans="12:12" x14ac:dyDescent="0.3">
      <c r="L331" s="106"/>
    </row>
    <row r="332" spans="12:12" x14ac:dyDescent="0.3">
      <c r="L332" s="106"/>
    </row>
    <row r="333" spans="12:12" x14ac:dyDescent="0.3">
      <c r="L333" s="106"/>
    </row>
    <row r="334" spans="12:12" x14ac:dyDescent="0.3">
      <c r="L334" s="106"/>
    </row>
    <row r="335" spans="12:12" x14ac:dyDescent="0.3">
      <c r="L335" s="106"/>
    </row>
    <row r="336" spans="12:12" x14ac:dyDescent="0.3">
      <c r="L336" s="106"/>
    </row>
    <row r="337" spans="12:12" x14ac:dyDescent="0.3">
      <c r="L337" s="106"/>
    </row>
    <row r="338" spans="12:12" x14ac:dyDescent="0.3">
      <c r="L338" s="106"/>
    </row>
    <row r="339" spans="12:12" x14ac:dyDescent="0.3">
      <c r="L339" s="106"/>
    </row>
    <row r="340" spans="12:12" x14ac:dyDescent="0.3">
      <c r="L340" s="106"/>
    </row>
    <row r="341" spans="12:12" x14ac:dyDescent="0.3">
      <c r="L341" s="106"/>
    </row>
    <row r="342" spans="12:12" x14ac:dyDescent="0.3">
      <c r="L342" s="106"/>
    </row>
    <row r="343" spans="12:12" x14ac:dyDescent="0.3">
      <c r="L343" s="106"/>
    </row>
    <row r="344" spans="12:12" x14ac:dyDescent="0.3">
      <c r="L344" s="106"/>
    </row>
    <row r="345" spans="12:12" x14ac:dyDescent="0.3">
      <c r="L345" s="106"/>
    </row>
    <row r="346" spans="12:12" x14ac:dyDescent="0.3">
      <c r="L346" s="106"/>
    </row>
    <row r="347" spans="12:12" x14ac:dyDescent="0.3">
      <c r="L347" s="106"/>
    </row>
    <row r="348" spans="12:12" x14ac:dyDescent="0.3">
      <c r="L348" s="106"/>
    </row>
    <row r="349" spans="12:12" x14ac:dyDescent="0.3">
      <c r="L349" s="106"/>
    </row>
    <row r="350" spans="12:12" x14ac:dyDescent="0.3">
      <c r="L350" s="106"/>
    </row>
    <row r="351" spans="12:12" x14ac:dyDescent="0.3">
      <c r="L351" s="106"/>
    </row>
    <row r="352" spans="12:12" x14ac:dyDescent="0.3">
      <c r="L352" s="106"/>
    </row>
    <row r="353" spans="12:12" x14ac:dyDescent="0.3">
      <c r="L353" s="106"/>
    </row>
    <row r="354" spans="12:12" x14ac:dyDescent="0.3">
      <c r="L354" s="106"/>
    </row>
    <row r="355" spans="12:12" x14ac:dyDescent="0.3">
      <c r="L355" s="106"/>
    </row>
    <row r="356" spans="12:12" x14ac:dyDescent="0.3">
      <c r="L356" s="106"/>
    </row>
    <row r="357" spans="12:12" x14ac:dyDescent="0.3">
      <c r="L357" s="106"/>
    </row>
    <row r="358" spans="12:12" x14ac:dyDescent="0.3">
      <c r="L358" s="106"/>
    </row>
    <row r="359" spans="12:12" x14ac:dyDescent="0.3">
      <c r="L359" s="106"/>
    </row>
    <row r="360" spans="12:12" x14ac:dyDescent="0.3">
      <c r="L360" s="106"/>
    </row>
    <row r="361" spans="12:12" x14ac:dyDescent="0.3">
      <c r="L361" s="106"/>
    </row>
    <row r="362" spans="12:12" x14ac:dyDescent="0.3">
      <c r="L362" s="106"/>
    </row>
    <row r="363" spans="12:12" x14ac:dyDescent="0.3">
      <c r="L363" s="106"/>
    </row>
    <row r="364" spans="12:12" x14ac:dyDescent="0.3">
      <c r="L364" s="106"/>
    </row>
    <row r="365" spans="12:12" x14ac:dyDescent="0.3">
      <c r="L365" s="106"/>
    </row>
    <row r="366" spans="12:12" x14ac:dyDescent="0.3">
      <c r="L366" s="106"/>
    </row>
    <row r="367" spans="12:12" x14ac:dyDescent="0.3">
      <c r="L367" s="106"/>
    </row>
    <row r="368" spans="12:12" x14ac:dyDescent="0.3">
      <c r="L368" s="106"/>
    </row>
    <row r="369" spans="12:12" x14ac:dyDescent="0.3">
      <c r="L369" s="106"/>
    </row>
    <row r="370" spans="12:12" x14ac:dyDescent="0.3">
      <c r="L370" s="106"/>
    </row>
    <row r="371" spans="12:12" x14ac:dyDescent="0.3">
      <c r="L371" s="106"/>
    </row>
    <row r="372" spans="12:12" x14ac:dyDescent="0.3">
      <c r="L372" s="106"/>
    </row>
    <row r="373" spans="12:12" x14ac:dyDescent="0.3">
      <c r="L373" s="106"/>
    </row>
    <row r="374" spans="12:12" x14ac:dyDescent="0.3">
      <c r="L374" s="106"/>
    </row>
    <row r="375" spans="12:12" x14ac:dyDescent="0.3">
      <c r="L375" s="106"/>
    </row>
    <row r="376" spans="12:12" x14ac:dyDescent="0.3">
      <c r="L376" s="106"/>
    </row>
    <row r="377" spans="12:12" x14ac:dyDescent="0.3">
      <c r="L377" s="106"/>
    </row>
    <row r="378" spans="12:12" x14ac:dyDescent="0.3">
      <c r="L378" s="106"/>
    </row>
    <row r="379" spans="12:12" x14ac:dyDescent="0.3">
      <c r="L379" s="106"/>
    </row>
    <row r="380" spans="12:12" x14ac:dyDescent="0.3">
      <c r="L380" s="106"/>
    </row>
    <row r="381" spans="12:12" x14ac:dyDescent="0.3">
      <c r="L381" s="106"/>
    </row>
    <row r="382" spans="12:12" x14ac:dyDescent="0.3">
      <c r="L382" s="106"/>
    </row>
    <row r="383" spans="12:12" x14ac:dyDescent="0.3">
      <c r="L383" s="106"/>
    </row>
    <row r="384" spans="12:12" x14ac:dyDescent="0.3">
      <c r="L384" s="106"/>
    </row>
    <row r="385" spans="12:12" x14ac:dyDescent="0.3">
      <c r="L385" s="106"/>
    </row>
    <row r="386" spans="12:12" x14ac:dyDescent="0.3">
      <c r="L386" s="106"/>
    </row>
    <row r="387" spans="12:12" x14ac:dyDescent="0.3">
      <c r="L387" s="106"/>
    </row>
    <row r="388" spans="12:12" x14ac:dyDescent="0.3">
      <c r="L388" s="106"/>
    </row>
    <row r="389" spans="12:12" x14ac:dyDescent="0.3">
      <c r="L389" s="106"/>
    </row>
    <row r="390" spans="12:12" x14ac:dyDescent="0.3">
      <c r="L390" s="106"/>
    </row>
    <row r="391" spans="12:12" x14ac:dyDescent="0.3">
      <c r="L391" s="106"/>
    </row>
    <row r="392" spans="12:12" x14ac:dyDescent="0.3">
      <c r="L392" s="106"/>
    </row>
    <row r="393" spans="12:12" x14ac:dyDescent="0.3">
      <c r="L393" s="106"/>
    </row>
    <row r="394" spans="12:12" x14ac:dyDescent="0.3">
      <c r="L394" s="106"/>
    </row>
    <row r="395" spans="12:12" x14ac:dyDescent="0.3">
      <c r="L395" s="106"/>
    </row>
    <row r="396" spans="12:12" x14ac:dyDescent="0.3">
      <c r="L396" s="106"/>
    </row>
    <row r="397" spans="12:12" x14ac:dyDescent="0.3">
      <c r="L397" s="106"/>
    </row>
    <row r="398" spans="12:12" x14ac:dyDescent="0.3">
      <c r="L398" s="106"/>
    </row>
    <row r="399" spans="12:12" x14ac:dyDescent="0.3">
      <c r="L399" s="106"/>
    </row>
    <row r="400" spans="12:12" x14ac:dyDescent="0.3">
      <c r="L400" s="106"/>
    </row>
    <row r="401" spans="12:12" x14ac:dyDescent="0.3">
      <c r="L401" s="106"/>
    </row>
    <row r="402" spans="12:12" x14ac:dyDescent="0.3">
      <c r="L402" s="106"/>
    </row>
    <row r="403" spans="12:12" x14ac:dyDescent="0.3">
      <c r="L403" s="106"/>
    </row>
    <row r="404" spans="12:12" x14ac:dyDescent="0.3">
      <c r="L404" s="106"/>
    </row>
    <row r="405" spans="12:12" x14ac:dyDescent="0.3">
      <c r="L405" s="106"/>
    </row>
    <row r="406" spans="12:12" x14ac:dyDescent="0.3">
      <c r="L406" s="106"/>
    </row>
    <row r="407" spans="12:12" x14ac:dyDescent="0.3">
      <c r="L407" s="106"/>
    </row>
    <row r="408" spans="12:12" x14ac:dyDescent="0.3">
      <c r="L408" s="106"/>
    </row>
    <row r="409" spans="12:12" x14ac:dyDescent="0.3">
      <c r="L409" s="106"/>
    </row>
    <row r="410" spans="12:12" x14ac:dyDescent="0.3">
      <c r="L410" s="106"/>
    </row>
    <row r="411" spans="12:12" x14ac:dyDescent="0.3">
      <c r="L411" s="106"/>
    </row>
    <row r="412" spans="12:12" x14ac:dyDescent="0.3">
      <c r="L412" s="106"/>
    </row>
    <row r="413" spans="12:12" x14ac:dyDescent="0.3">
      <c r="L413" s="106"/>
    </row>
    <row r="414" spans="12:12" x14ac:dyDescent="0.3">
      <c r="L414" s="106"/>
    </row>
    <row r="415" spans="12:12" x14ac:dyDescent="0.3">
      <c r="L415" s="106"/>
    </row>
    <row r="416" spans="12:12" x14ac:dyDescent="0.3">
      <c r="L416" s="106"/>
    </row>
    <row r="417" spans="12:12" x14ac:dyDescent="0.3">
      <c r="L417" s="106"/>
    </row>
    <row r="418" spans="12:12" x14ac:dyDescent="0.3">
      <c r="L418" s="106"/>
    </row>
    <row r="419" spans="12:12" x14ac:dyDescent="0.3">
      <c r="L419" s="106"/>
    </row>
    <row r="420" spans="12:12" x14ac:dyDescent="0.3">
      <c r="L420" s="106"/>
    </row>
    <row r="421" spans="12:12" x14ac:dyDescent="0.3">
      <c r="L421" s="106"/>
    </row>
    <row r="422" spans="12:12" x14ac:dyDescent="0.3">
      <c r="L422" s="106"/>
    </row>
    <row r="423" spans="12:12" x14ac:dyDescent="0.3">
      <c r="L423" s="106"/>
    </row>
    <row r="424" spans="12:12" x14ac:dyDescent="0.3">
      <c r="L424" s="106"/>
    </row>
    <row r="425" spans="12:12" x14ac:dyDescent="0.3">
      <c r="L425" s="106"/>
    </row>
    <row r="426" spans="12:12" x14ac:dyDescent="0.3">
      <c r="L426" s="106"/>
    </row>
    <row r="427" spans="12:12" x14ac:dyDescent="0.3">
      <c r="L427" s="106"/>
    </row>
    <row r="428" spans="12:12" x14ac:dyDescent="0.3">
      <c r="L428" s="106"/>
    </row>
    <row r="429" spans="12:12" x14ac:dyDescent="0.3">
      <c r="L429" s="106"/>
    </row>
    <row r="430" spans="12:12" x14ac:dyDescent="0.3">
      <c r="L430" s="106"/>
    </row>
    <row r="431" spans="12:12" x14ac:dyDescent="0.3">
      <c r="L431" s="106"/>
    </row>
    <row r="432" spans="12:12" x14ac:dyDescent="0.3">
      <c r="L432" s="106"/>
    </row>
    <row r="433" spans="12:12" x14ac:dyDescent="0.3">
      <c r="L433" s="106"/>
    </row>
    <row r="434" spans="12:12" x14ac:dyDescent="0.3">
      <c r="L434" s="106"/>
    </row>
    <row r="435" spans="12:12" x14ac:dyDescent="0.3">
      <c r="L435" s="106"/>
    </row>
    <row r="436" spans="12:12" x14ac:dyDescent="0.3">
      <c r="L436" s="106"/>
    </row>
    <row r="437" spans="12:12" x14ac:dyDescent="0.3">
      <c r="L437" s="106"/>
    </row>
    <row r="438" spans="12:12" x14ac:dyDescent="0.3">
      <c r="L438" s="106"/>
    </row>
    <row r="439" spans="12:12" x14ac:dyDescent="0.3">
      <c r="L439" s="106"/>
    </row>
    <row r="440" spans="12:12" x14ac:dyDescent="0.3">
      <c r="L440" s="106"/>
    </row>
    <row r="441" spans="12:12" x14ac:dyDescent="0.3">
      <c r="L441" s="106"/>
    </row>
    <row r="442" spans="12:12" x14ac:dyDescent="0.3">
      <c r="L442" s="106"/>
    </row>
    <row r="443" spans="12:12" x14ac:dyDescent="0.3">
      <c r="L443" s="106"/>
    </row>
    <row r="444" spans="12:12" x14ac:dyDescent="0.3">
      <c r="L444" s="106"/>
    </row>
    <row r="445" spans="12:12" x14ac:dyDescent="0.3">
      <c r="L445" s="106"/>
    </row>
    <row r="446" spans="12:12" x14ac:dyDescent="0.3">
      <c r="L446" s="106"/>
    </row>
    <row r="447" spans="12:12" x14ac:dyDescent="0.3">
      <c r="L447" s="106"/>
    </row>
    <row r="448" spans="12:12" x14ac:dyDescent="0.3">
      <c r="L448" s="106"/>
    </row>
    <row r="449" spans="12:12" x14ac:dyDescent="0.3">
      <c r="L449" s="106"/>
    </row>
    <row r="450" spans="12:12" x14ac:dyDescent="0.3">
      <c r="L450" s="106"/>
    </row>
    <row r="451" spans="12:12" x14ac:dyDescent="0.3">
      <c r="L451" s="106"/>
    </row>
    <row r="452" spans="12:12" x14ac:dyDescent="0.3">
      <c r="L452" s="106"/>
    </row>
    <row r="453" spans="12:12" x14ac:dyDescent="0.3">
      <c r="L453" s="106"/>
    </row>
    <row r="454" spans="12:12" x14ac:dyDescent="0.3">
      <c r="L454" s="106"/>
    </row>
    <row r="455" spans="12:12" x14ac:dyDescent="0.3">
      <c r="L455" s="106"/>
    </row>
    <row r="456" spans="12:12" x14ac:dyDescent="0.3">
      <c r="L456" s="106"/>
    </row>
    <row r="457" spans="12:12" x14ac:dyDescent="0.3">
      <c r="L457" s="106"/>
    </row>
    <row r="458" spans="12:12" x14ac:dyDescent="0.3">
      <c r="L458" s="106"/>
    </row>
    <row r="459" spans="12:12" x14ac:dyDescent="0.3">
      <c r="L459" s="106"/>
    </row>
    <row r="460" spans="12:12" x14ac:dyDescent="0.3">
      <c r="L460" s="106"/>
    </row>
    <row r="461" spans="12:12" x14ac:dyDescent="0.3">
      <c r="L461" s="106"/>
    </row>
    <row r="462" spans="12:12" x14ac:dyDescent="0.3">
      <c r="L462" s="106"/>
    </row>
    <row r="463" spans="12:12" x14ac:dyDescent="0.3">
      <c r="L463" s="106"/>
    </row>
    <row r="464" spans="12:12" x14ac:dyDescent="0.3">
      <c r="L464" s="106"/>
    </row>
    <row r="465" spans="12:12" x14ac:dyDescent="0.3">
      <c r="L465" s="106"/>
    </row>
    <row r="466" spans="12:12" x14ac:dyDescent="0.3">
      <c r="L466" s="106"/>
    </row>
    <row r="467" spans="12:12" x14ac:dyDescent="0.3">
      <c r="L467" s="106"/>
    </row>
    <row r="468" spans="12:12" x14ac:dyDescent="0.3">
      <c r="L468" s="106"/>
    </row>
    <row r="469" spans="12:12" x14ac:dyDescent="0.3">
      <c r="L469" s="106"/>
    </row>
    <row r="470" spans="12:12" x14ac:dyDescent="0.3">
      <c r="L470" s="106"/>
    </row>
    <row r="471" spans="12:12" x14ac:dyDescent="0.3">
      <c r="L471" s="106"/>
    </row>
    <row r="472" spans="12:12" x14ac:dyDescent="0.3">
      <c r="L472" s="106"/>
    </row>
    <row r="473" spans="12:12" x14ac:dyDescent="0.3">
      <c r="L473" s="106"/>
    </row>
    <row r="474" spans="12:12" x14ac:dyDescent="0.3">
      <c r="L474" s="106"/>
    </row>
    <row r="475" spans="12:12" x14ac:dyDescent="0.3">
      <c r="L475" s="106"/>
    </row>
    <row r="476" spans="12:12" x14ac:dyDescent="0.3">
      <c r="L476" s="106"/>
    </row>
    <row r="477" spans="12:12" x14ac:dyDescent="0.3">
      <c r="L477" s="106"/>
    </row>
    <row r="478" spans="12:12" x14ac:dyDescent="0.3">
      <c r="L478" s="106"/>
    </row>
    <row r="479" spans="12:12" x14ac:dyDescent="0.3">
      <c r="L479" s="106"/>
    </row>
    <row r="480" spans="12:12" x14ac:dyDescent="0.3">
      <c r="L480" s="106"/>
    </row>
    <row r="481" spans="12:12" x14ac:dyDescent="0.3">
      <c r="L481" s="106"/>
    </row>
    <row r="482" spans="12:12" x14ac:dyDescent="0.3">
      <c r="L482" s="106"/>
    </row>
    <row r="483" spans="12:12" x14ac:dyDescent="0.3">
      <c r="L483" s="106"/>
    </row>
    <row r="484" spans="12:12" x14ac:dyDescent="0.3">
      <c r="L484" s="106"/>
    </row>
    <row r="485" spans="12:12" x14ac:dyDescent="0.3">
      <c r="L485" s="106"/>
    </row>
    <row r="486" spans="12:12" x14ac:dyDescent="0.3">
      <c r="L486" s="106"/>
    </row>
    <row r="487" spans="12:12" x14ac:dyDescent="0.3">
      <c r="L487" s="106"/>
    </row>
    <row r="488" spans="12:12" x14ac:dyDescent="0.3">
      <c r="L488" s="106"/>
    </row>
    <row r="489" spans="12:12" x14ac:dyDescent="0.3">
      <c r="L489" s="106"/>
    </row>
    <row r="490" spans="12:12" x14ac:dyDescent="0.3">
      <c r="L490" s="106"/>
    </row>
    <row r="491" spans="12:12" x14ac:dyDescent="0.3">
      <c r="L491" s="106"/>
    </row>
    <row r="492" spans="12:12" x14ac:dyDescent="0.3">
      <c r="L492" s="106"/>
    </row>
    <row r="493" spans="12:12" x14ac:dyDescent="0.3">
      <c r="L493" s="106"/>
    </row>
    <row r="494" spans="12:12" x14ac:dyDescent="0.3">
      <c r="L494" s="106"/>
    </row>
    <row r="495" spans="12:12" x14ac:dyDescent="0.3">
      <c r="L495" s="106"/>
    </row>
    <row r="496" spans="12:12" x14ac:dyDescent="0.3">
      <c r="L496" s="106"/>
    </row>
    <row r="497" spans="12:12" x14ac:dyDescent="0.3">
      <c r="L497" s="106"/>
    </row>
    <row r="498" spans="12:12" x14ac:dyDescent="0.3">
      <c r="L498" s="106"/>
    </row>
    <row r="499" spans="12:12" x14ac:dyDescent="0.3">
      <c r="L499" s="106"/>
    </row>
    <row r="500" spans="12:12" x14ac:dyDescent="0.3">
      <c r="L500" s="106"/>
    </row>
    <row r="501" spans="12:12" x14ac:dyDescent="0.3">
      <c r="L501" s="106"/>
    </row>
    <row r="502" spans="12:12" x14ac:dyDescent="0.3">
      <c r="L502" s="106"/>
    </row>
    <row r="503" spans="12:12" x14ac:dyDescent="0.3">
      <c r="L503" s="106"/>
    </row>
    <row r="504" spans="12:12" x14ac:dyDescent="0.3">
      <c r="L504" s="106"/>
    </row>
    <row r="505" spans="12:12" x14ac:dyDescent="0.3">
      <c r="L505" s="106"/>
    </row>
    <row r="506" spans="12:12" x14ac:dyDescent="0.3">
      <c r="L506" s="106"/>
    </row>
    <row r="507" spans="12:12" x14ac:dyDescent="0.3">
      <c r="L507" s="106"/>
    </row>
    <row r="508" spans="12:12" x14ac:dyDescent="0.3">
      <c r="L508" s="106"/>
    </row>
    <row r="509" spans="12:12" x14ac:dyDescent="0.3">
      <c r="L509" s="106"/>
    </row>
    <row r="510" spans="12:12" x14ac:dyDescent="0.3">
      <c r="L510" s="106"/>
    </row>
    <row r="511" spans="12:12" x14ac:dyDescent="0.3">
      <c r="L511" s="106"/>
    </row>
    <row r="512" spans="12:12" x14ac:dyDescent="0.3">
      <c r="L512" s="106"/>
    </row>
    <row r="513" spans="12:12" x14ac:dyDescent="0.3">
      <c r="L513" s="106"/>
    </row>
    <row r="514" spans="12:12" x14ac:dyDescent="0.3">
      <c r="L514" s="106"/>
    </row>
    <row r="515" spans="12:12" x14ac:dyDescent="0.3">
      <c r="L515" s="106"/>
    </row>
    <row r="516" spans="12:12" x14ac:dyDescent="0.3">
      <c r="L516" s="106"/>
    </row>
    <row r="517" spans="12:12" x14ac:dyDescent="0.3">
      <c r="L517" s="106"/>
    </row>
    <row r="518" spans="12:12" x14ac:dyDescent="0.3">
      <c r="L518" s="106"/>
    </row>
    <row r="519" spans="12:12" x14ac:dyDescent="0.3">
      <c r="L519" s="106"/>
    </row>
    <row r="520" spans="12:12" x14ac:dyDescent="0.3">
      <c r="L520" s="106"/>
    </row>
    <row r="521" spans="12:12" x14ac:dyDescent="0.3">
      <c r="L521" s="106"/>
    </row>
    <row r="522" spans="12:12" x14ac:dyDescent="0.3">
      <c r="L522" s="106"/>
    </row>
    <row r="523" spans="12:12" x14ac:dyDescent="0.3">
      <c r="L523" s="106"/>
    </row>
    <row r="524" spans="12:12" x14ac:dyDescent="0.3">
      <c r="L524" s="106"/>
    </row>
    <row r="525" spans="12:12" x14ac:dyDescent="0.3">
      <c r="L525" s="106"/>
    </row>
    <row r="526" spans="12:12" x14ac:dyDescent="0.3">
      <c r="L526" s="106"/>
    </row>
    <row r="527" spans="12:12" x14ac:dyDescent="0.3">
      <c r="L527" s="106"/>
    </row>
    <row r="528" spans="12:12" x14ac:dyDescent="0.3">
      <c r="L528" s="106"/>
    </row>
    <row r="529" spans="12:12" x14ac:dyDescent="0.3">
      <c r="L529" s="106"/>
    </row>
    <row r="530" spans="12:12" x14ac:dyDescent="0.3">
      <c r="L530" s="106"/>
    </row>
    <row r="531" spans="12:12" x14ac:dyDescent="0.3">
      <c r="L531" s="106"/>
    </row>
    <row r="532" spans="12:12" x14ac:dyDescent="0.3">
      <c r="L532" s="106"/>
    </row>
    <row r="533" spans="12:12" x14ac:dyDescent="0.3">
      <c r="L533" s="106"/>
    </row>
    <row r="534" spans="12:12" x14ac:dyDescent="0.3">
      <c r="L534" s="106"/>
    </row>
    <row r="535" spans="12:12" x14ac:dyDescent="0.3">
      <c r="L535" s="106"/>
    </row>
    <row r="536" spans="12:12" x14ac:dyDescent="0.3">
      <c r="L536" s="106"/>
    </row>
    <row r="537" spans="12:12" x14ac:dyDescent="0.3">
      <c r="L537" s="106"/>
    </row>
    <row r="538" spans="12:12" x14ac:dyDescent="0.3">
      <c r="L538" s="106"/>
    </row>
    <row r="539" spans="12:12" x14ac:dyDescent="0.3">
      <c r="L539" s="106"/>
    </row>
    <row r="540" spans="12:12" x14ac:dyDescent="0.3">
      <c r="L540" s="106"/>
    </row>
    <row r="541" spans="12:12" x14ac:dyDescent="0.3">
      <c r="L541" s="106"/>
    </row>
    <row r="542" spans="12:12" x14ac:dyDescent="0.3">
      <c r="L542" s="106"/>
    </row>
    <row r="543" spans="12:12" x14ac:dyDescent="0.3">
      <c r="L543" s="106"/>
    </row>
    <row r="544" spans="12:12" x14ac:dyDescent="0.3">
      <c r="L544" s="106"/>
    </row>
    <row r="545" spans="12:12" x14ac:dyDescent="0.3">
      <c r="L545" s="106"/>
    </row>
    <row r="546" spans="12:12" x14ac:dyDescent="0.3">
      <c r="L546" s="106"/>
    </row>
    <row r="547" spans="12:12" x14ac:dyDescent="0.3">
      <c r="L547" s="106"/>
    </row>
    <row r="548" spans="12:12" x14ac:dyDescent="0.3">
      <c r="L548" s="106"/>
    </row>
    <row r="549" spans="12:12" x14ac:dyDescent="0.3">
      <c r="L549" s="106"/>
    </row>
    <row r="550" spans="12:12" x14ac:dyDescent="0.3">
      <c r="L550" s="106"/>
    </row>
    <row r="551" spans="12:12" x14ac:dyDescent="0.3">
      <c r="L551" s="106"/>
    </row>
    <row r="552" spans="12:12" x14ac:dyDescent="0.3">
      <c r="L552" s="106"/>
    </row>
    <row r="553" spans="12:12" x14ac:dyDescent="0.3">
      <c r="L553" s="106"/>
    </row>
    <row r="554" spans="12:12" x14ac:dyDescent="0.3">
      <c r="L554" s="106"/>
    </row>
  </sheetData>
  <autoFilter ref="A7:DF240" xr:uid="{106473E1-1272-46E3-9838-73FBB796867A}">
    <sortState xmlns:xlrd2="http://schemas.microsoft.com/office/spreadsheetml/2017/richdata2" ref="A8:DF240">
      <sortCondition ref="D7:D240"/>
    </sortState>
  </autoFilter>
  <phoneticPr fontId="7" type="noConversion"/>
  <dataValidations count="1">
    <dataValidation type="list" allowBlank="1" showInputMessage="1" showErrorMessage="1" sqref="B8:B240" xr:uid="{5AAEF142-DCD1-46E1-A518-E9014E9AD410}">
      <formula1>"대기,분석,맵핑,완료"</formula1>
    </dataValidation>
  </dataValidations>
  <hyperlinks>
    <hyperlink ref="CH34" r:id="rId1" xr:uid="{5B52263B-E5E5-45F4-8901-79A3E05EA4EE}"/>
    <hyperlink ref="CL198" r:id="rId2" xr:uid="{4A2CE61F-12BE-4562-A005-CDD0A05BBF9B}"/>
    <hyperlink ref="CN198" r:id="rId3" xr:uid="{0AADDFCB-2F64-4BAF-9D93-38283D1C9F90}"/>
    <hyperlink ref="CH141" r:id="rId4" xr:uid="{87E67889-7593-4D82-AD73-E343F34445A0}"/>
    <hyperlink ref="CL141" r:id="rId5" xr:uid="{D0C4EC4F-77FC-4DBD-B62B-B7D4F6EE10F7}"/>
    <hyperlink ref="CN141" r:id="rId6" xr:uid="{F37D57D8-344C-4796-A3D2-108AC698E1A2}"/>
    <hyperlink ref="CP141" r:id="rId7" xr:uid="{4A7E39E0-158A-4ED5-A60E-E42A60AD8C69}"/>
    <hyperlink ref="CL212" r:id="rId8" xr:uid="{E3C86BA9-A8DB-4B1F-A33E-9E3973E15D06}"/>
    <hyperlink ref="CN212" r:id="rId9" xr:uid="{38F796F9-0D2D-4994-81BD-555B15BF3526}"/>
  </hyperlinks>
  <pageMargins left="0.7" right="0.7" top="0.75" bottom="0.75" header="0.3" footer="0.3"/>
  <pageSetup paperSize="9" orientation="portrait" verticalDpi="0" r:id="rId10"/>
  <customProperties>
    <customPr name="OrphanNamesChecked" r:id="rId11"/>
  </customProperties>
  <legacyDrawing r:id="rId1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CAF30-401D-49C3-8A8B-9735C19CAE4B}">
  <sheetPr codeName="Sheet9"/>
  <dimension ref="B2:U192"/>
  <sheetViews>
    <sheetView workbookViewId="0"/>
  </sheetViews>
  <sheetFormatPr defaultRowHeight="16.5" x14ac:dyDescent="0.3"/>
  <sheetData>
    <row r="2" spans="2:21" x14ac:dyDescent="0.3">
      <c r="B2" t="s">
        <v>1347</v>
      </c>
      <c r="S2" t="s">
        <v>1347</v>
      </c>
      <c r="T2" t="str">
        <f>SUBSTITUTE(S2,", ","; ")</f>
        <v>jaenamhwang@kr.kpmg.com; sehongchoi@kr.kpmg.com; sangkeunlee@kr.kpmg.com; hwanukjung@kr.kpmg.com; choongkilee@kr.kpmg.com; dayeongahn@kr.kpmg.com</v>
      </c>
      <c r="U2" s="122" t="str" cm="1">
        <f t="array" ref="U2">_xlfn.LET(_xlpm.r,T2:T192,_xlpm.repl,SUBSTITUTE(_xlpm.r,",","; "),_xlpm.all,_xlfn.TEXTSPLIT(_xlfn.TEXTJOIN(";",TRUE,_xlpm.repl),";"),_xlpm.clean,TRIM(_xlpm.all),_xlpm.noempty,_xlfn._xlws.FILTER(_xlpm.clean,_xlpm.clean&lt;&gt;""),_xlpm.dedup,_xlfn.UNIQUE(_xlpm.noempty),_xlfn.TEXTJOIN("; ",TRUE,_xlpm.dedup))</f>
        <v>jaenamhwang@kr.kpmg.com; sehongchoi@kr.kpmg.com; sangkeunlee@kr.kpmg.com; hwanukjung@kr.kpmg.com; choongkilee@kr.kpmg.com; dayeongahn@kr.kpmg.com; seungmikang@kr.kpmg.com; jeewonlee@kr.kpmg.com; jinboshim@kr.kpmg.com; jlee79@kr.kpmg.com; semokim@kr.kpmg.com; jjung9@kr.kpmg.com; jungkikim@kr.kpmg.com; yeehyunchoi@kr.kpmg.com; euijinkim@kr.kpmg.com; yangkijung@kr.kpmg.com; sungchaekang@kr.kpmg.com; juneheeshin@kr.kpmg.com; djung4@kr.kpmg.com; jaenamhwang@kr.kpmg.com; dongjunshin@kr.kpmg.com; skim56@kr.kpmg.com; yosupgo@kr.kpmg.com; chaeneunglee@kr.kpmg.com; mbaek@kr.kpmg.com; yungicho@kr.kpmg.com; hsul@kr.kpmg.com; yseol@kr.kpmg.com; jinjang@kr.kpmg.com; jongseokyoun@kr.kpmg.com; cahn@kr.kpmg.com; yeontaekchoi@kr.kpmg.com; hkim108@kr.kpmg.com; mingyuhan@kr.kpmg.com; yhyun@kr.kpmg.com; siwookim@kr.kpmg.com; seungjaeoh@kr.kpmg.com; kwangsulee@kr.kpmg.com; joohunyoon@kr.kpmg.com; ikchankim@kr.kpmg.com; yoonahlee@kr.kpmg.com; hyeongcheollee@kr.kpmg.com; sanghoroh@kr.kpmg.com; wjeon@kr.kpmg.com; seongilkim@kr.kpmg.com; gibaeksong@kr.kpmg.com; hyunwootak@kr.kpmg.com; yhyun@kr.kpmg.com; hchung@kr.kpmg.com; clee60@kr.kpmg.com; ychoi@kr.kpmg.com; sungbaekim@kr.kpmg.com; jongsunam@kr.kpmg.com; hchung@kr.kpmg.com; joongkyukim@kr.kpmg.com; yaehyeonkim@kr.kpmg.com; konkukkang@kr.kpmg.com; jra@kr.kpmg.com; jjoung@kr.kpmg.com; yeasolju@kr.kpmg.com; ckim12@kr.kpmg.com; sungbaepark@kr.kpmg.com; yeontaekchoi@kr.kpmg.com; jjung32@kr.kpmg.com; dchi@kr.kpmg.com; hwasoocho@kr.kpmg.com; yeasolju@kr.kpmg.com; ykim47@kr.kpmg.com; hyunminjang@kr.kpmg.com; sangkilee@kr.kpmg.com; sehyunlee@kr.kpmg.com; ykim85@kr.kpmg.com; kyungsuklee@kr.kpmg.com; sanghoroh@kr.kpmg.com; jeongheehan@kr.kpmg.com; ychoi@kr.kpmg.com; sanghyunbyun@kr.kpmg.com; younginwon@kr.kpmg.com; sunseokcha@kr.kpmg.com; jra@kr.kpmg.com; jongsanglee@kr.kpmg.com; jchoi13@kr.kpmg.com; moonchulshin@kr.kpmg.com; sungbaepark@kr.kpmg.com; jaejoongkim@kr.kpmg.com; hocheolyang@kr.kpmg.com; chaeneunglee@kr.kpmg.com; ycha@kr.kpmg.com; seongilkim@kr.kpmg.com; gimyeonghwang@kr.kpmg.com; sanghyunhan@kr.kpmg.com; sungbaepark@kr.kpmg.com; jahn6@kr.kpmg.com; mkang8@kr.kpmg.com; hyunsukkim@kr.kpmg.com; hyundonghwang@kr.kpmg.com; changwonseo@kr.kpmg.com; gyeongokim@kr.kpmg.com; tkim@kr.kpmg.com; dohyunkim@kr.kpmg.com; jongsunam@kr.kpmg.com; taeseoblee@kr.kpmg.com; sangkeunlee@kr.kpmg.com; wjeon@kr.kpmg.com; inchanhwang@kr.kpmg.com; howonyoon@kr.kpmg.com; jroh@kr.kpmg.com; hsul@kr.kpmg.com; hlee42@kr.kpmg.com; hyegyeongryu@kr.kpmg.com; moonchulshin@kr.kpmg.com; kyunghopark@kr.kpmg.com; jinholee1@kr.kpmg.com; ikang@kr.kpmg.com; sanghoonpark@kr.kpmg.com; mingyulee@kr.kpmg.com; skim106@kr.kpmg.com; seungmikang@kr.kpmg.com; syeom@kr.kpmg.com; semokim@kr.kpmg.com; sanghyunhan@kr.kpmg.com; hakbeomlee@kr.kpmg.com; sorakim@kr.kpmg.com; yeehyunchoi@kr.kpmg.com; yeontaekchoi@kr.kpmg.com; jeongungcha@kr.kpmg.com; changilwon@kr.kpmg.com; hchung@kr.kpmg.com; junheehan@kr.kpmg.com; seunghoikoo@kr.kpmg.com; juhyunglee@kr.kpmg.com; jinmokkim@kr.kpmg.com; eunjeonghong@kr.kpmg.com; sangminnam@kr.kpmg.com; kyuhonglee1@kr.kpmg.com; suminpark@kr.kpmg.com; yanghoshin@kr.kpmg.com; sanghyunhan@kr.kpmg.com; yangkijung@kr.kpmg.com; jongroklee@kr.kpmg.com; hyunsukkim@kr.kpmg.com; hochullee@kr.kpmg.com; hkim51@kr.kpmg.com; sangminnam@kr.kpmg.com; yeonjungkim@kr.kpmg.com; sunguckkim@kr.kpmg.com; hkim51@kr.kpmg.com; sangminnam@kr.kpmg.com; sungbaekim@kr.kpmg.com; suminpark@kr.kpmg.com; myoungjaejeon@kr.kpmg.com; yongholee@kr.kpmg.com; siwookim@kr.kpmg.com; seungjaeoh@kr.kpmg.com; skim127@kr.kpmg.com; kyungsuklee@kr.kpmg.com; slee14@kr.kpmg.com; jungwookdo@kr.kpmg.com; jungsoopark@kr.kpmg.com; jinyoungson@kr.kpmg.com; yeonjoochoi@kr.kpmg.com; yseol@kr.kpmg.com; hongminpark@kr.kpmg.com; shinyoungkim@kr.kpmg.com; naehyeongkwon@kr.kpmg.com; kwanjongpark@kr.kpmg.com; hjo@kr.kpmg.com; changhyunan@kr.kpmg.com; jkim216@kr.kpmg.com; changgiljung@kr.kpmg.com; jungsoopark@kr.kpmg.com; sungwoonchoi@kr.kpmg.com; juhyunglee@kr.kpmg.com; sangilhan@kr.kpmg.com; sanghwapark@kr.kpmg.com; jungwookdo@kr.kpmg.com; ijo@kr.kpmg.com; juhyungkim@kr.kpmg.com; soh10@kr.kpmg.com; smin@kr.kpmg.com; seungmikang@kr.kpmg.com; yoorachoi@kr.kpmg.com; dongyoonlee@kr.kpmg.com; ikang@kr.kpmg.com; soyoungpark@kr.kpmg.com; mcho5@kr.kpmg.com; sangokpark@kr.kpmg.com; sukwangkim@kr.kpmg.com; mjang3@kr.kpmg.com; wjeon@kr.kpmg.com; yangkijung@kr.kpmg.com; eunseokkim@kr.kpmg.com; chaeneunglee@kr.kpmg.com; dongjunshin@kr.kpmg.com; skim56@kr.kpmg.com; sujungna@kr.kpmg.com; hyunhojeon@kr.kpmg.com; sbeom@kr.kpmg.com; khur@kr.kpmg.com; jaehoonheo@kr.kpmg.com; wonseol@kr.kpmg.com; euijinkim@kr.kpmg.com; byungyuljung@kr.kpmg.com; dchi@kr.kpmg.com; hwasoocho@kr.kpmg.com; jinseokyang@kr.kpmg.com; jeongeunshin@kr.kpmg.com; wjeon@kr.kpmg.com; ychoi@kr.kpmg.com; kyu3@kr.kpmg.com; yhyun@kr.kpmg.com; changgiljung@kr.kpmg.com; sungwookkim@kr.kpmg.com; jongsanglee@kr.kpmg.com; jaenamhwang@kr.kpmg.com; younginwon@kr.kpmg.com; jlee92@kr.kpmg.com; bohyunyoon@kr.kpmg.com; tkim@kr.kpmg.com; khwang@kr.kpmg.com; jiheonkang@kr.kpmg.com; sanghoonpark@kr.kpmg.com; khwang@kr.kpmg.com; skim125@kr.kpmg.com; gbak@kr.kpmg.com; jongsanglee@kr.kpmg.com; sanghyunbyun@kr.kpmg.com; younginwon@kr.kpmg.com; yongbeomlee@kr.kpmg.com; jeonggukang@kr.kpmg.com; jooyounglee@kr.kpmg.com; sungheeyoo@kr.kpmg.com; minkyungshin@kr.kpmg.com; ikang@kr.kpmg.com; jinseokchoi@kr.kpmg.com; junhyeoklee@kr.kpmg.com; daeryukjeong@kr.kpmg.com; tkim@kr.kpmg.com; sangokpark@kr.kpmg.com; sangseokseo@kr.kpmg.com; hoyoungshin@kr.kpmg.com; sanghoonpark@kr.kpmg.com; jungwookdo@kr.kpmg.com; hkim23@kr.kpmg.com; jihamchoi@kr.kpmg.com; jongsanglee@kr.kpmg.com; jeonggukang@kr.kpmg.com; kwanghyunyun@kr.kpmg.com; sungchaekang@kr.kpmg.com; jungsoolee@kr.kpmg.com; sunguckkim@kr.kpmg.com; sunghobu@kr.kpmg.com; sehongchoi@kr.kpmg.com; mbaek@kr.kpmg.com; spark20@kr.kpmg.com; sanghoroh@kr.kpmg.com; deokyeonglee@kr.kpmg.com; jeonghoonpark@kr.kpmg.com; seungheecho@kr.kpmg.com; kyungsuklee@kr.kpmg.com; slee14@kr.kpmg.com; hchung@kr.kpmg.com; yongholee@kr.kpmg.com; bkim13@kr.kpmg.com; yongwookkim@kr.kpmg.com; kwanjongpark@kr.kpmg.com; hjo@kr.kpmg.com; changhyunan@kr.kpmg.com; jbak@kr.kpmg.com; ijo@kr.kpmg.com; soonjaeyang@kr.kpmg.com; wooseokheo@kr.kpmg.com; jooyounglee@kr.kpmg.com; sangokpark@kr.kpmg.com; jongkeunpark@kr.kpmg.com; hyunhojeon@kr.kpmg.com; taeungjeon@kr.kpmg.com; hkim51@kr.kpmg.com; kwanjongpark@kr.kpmg.com; hakbeomlee@kr.kpmg.com; changwonseo@kr.kpmg.com; yeonjuchu@kr.kpmg.com; heeseokkang@kr.kpmg.com; jooyounglee@kr.kpmg.com; sungheeyoo@kr.kpmg.com; dlee89@kr.kpmg.com; jeewonlee@kr.kpmg.com; jaehoonheo@kr.kpmg.com; jinjang@kr.kpmg.com; jaehyunjeon@kr.kpmg.com; khwang@kr.kpmg.com; sukwangkim@kr.kpmg.com; hkim23@kr.kpmg.com; dongjoonchi@kr.kpmg.com; junsikuhm@kr.kpmg.com; yangkijung@kr.kpmg.com; jaewanlim@kr.kpmg.com; kyunghopark@kr.kpmg.com; dohyunkim@kr.kpmg.com; mingyusong@kr.kpmg.com; jkim258@kr.kpmg.com; hchung@kr.kpmg.com; yongholee@kr.kpmg.com; soonjaeyang@kr.kpmg.com; ihwang7@kr.kpmg.com; hyunminjang@kr.kpmg.com; kwanjongpark@kr.kpmg.com; jaehyoungan@kr.kpmg.com; wonjaekang@kr.kpmg.com; ikang@kr.kpmg.com; jaehoonheo@kr.kpmg.com; yoonahlee@kr.kpmg.com; junhyeoklee@kr.kpmg.com; hyucksoonchoi@kr.kpmg.com; hyunhojeon@kr.kpmg.com; yeonjungkim@kr.kpmg.com; kwanghyunyun@kr.kpmg.com; sangokpark@kr.kpmg.com; yeounchoi@kr.kpmg.com; suyeonkim@kr.kpmg.com; dchi@kr.kpmg.com; sangminnam@kr.kpmg.com; pjeong@kr.kpmg.com; dongjunshin@kr.kpmg.com; sukwangkim@kr.kpmg.com; jkim143@kr.kpmg.com; jhwang4@kr.kpmg.com; daejinkim@kr.kpmg.com; hochullee@kr.kpmg.com; sunguckkim@kr.kpmg.com; junhyunghong@kr.kpmg.com; smin@kr.kpmg.com; jaehoonheo@kr.kpmg.com; donggyulee@kr.kpmg.com; sangokpark@kr.kpmg.com; daejinkim@kr.kpmg.com; yulcheolpark@kr.kpmg.com; ylee67@kr.kpmg.com; jaenamhwang@kr.kpmg.com; kyunghopark@kr.kpmg.com; jlee123@kr.kpmg.com; sungchaekang@kr.kpmg.com; yongholee@kr.kpmg.com; jinyoungson@kr.kpmg.com; chulyoungkim@kr.kpmg.com; hwasoocho@kr.kpmg.com; jinseokyang@kr.kpmg.com; yeonjuchu@kr.kpmg.com; khwang@kr.kpmg.com; dohyunkim@kr.kpmg.com; mkim175@kr.kpmg.com; dkim240@kr.kpmg.com; sangkeunlee@kr.kpmg.com; hyunminjang@kr.kpmg.com; woohyunyi@kr.kpmg.com; changgiljung@kr.kpmg.com; dchi@kr.kpmg.com; inchanhwang@kr.kpmg.com; syoo7@kr.kpmg.com; hchung@kr.kpmg.com; yongholee@kr.kpmg.com; yaehyeonkim@kr.kpmg.com; konkukkang@kr.kpmg.com; chulyoungkim@kr.kpmg.com; kyungsuklee@kr.kpmg.com; slee14@kr.kpmg.com; hyunminjang@kr.kpmg.com; jungwookdo@kr.kpmg.com; minjujeong@kr.kpmg.com; kyunghopark@kr.kpmg.com; gleem@kr.kpmg.com; jeonghoonpark@kr.kpmg.com; jungkikim@kr.kpmg.com; moonchulshin@kr.kpmg.com; edo@kr.kpmg.com; seungohwoo@kr.kpmg.com; sangilhan@kr.kpmg.com; jlee79@kr.kpmg.com; sungwoonchoi@kr.kpmg.com; sangilhan@kr.kpmg.com; jlee79@kr.kpmg.com; bkim13@kr.kpmg.com; yongwookkim@kr.kpmg.com; jungsoolee@kr.kpmg.com; jjoung@kr.kpmg.com; jaeyeonleem@kr.kpmg.com; jlee177@kr.kpmg.com; cahn@kr.kpmg.com; yseol@kr.kpmg.com; yoorachoi@kr.kpmg.com; seungheecho@kr.kpmg.com; sanghoonpark@kr.kpmg.com; jlee92@kr.kpmg.com; hyim@kr.kpmg.com; jooyounglee@kr.kpmg.com; chaeneunglee@kr.kpmg.com; jongroklee@kr.kpmg.com; jungkikim@kr.kpmg.com; sanghyunkang@kr.kpmg.com; euijinkim@kr.kpmg.com; jooyounglee@kr.kpmg.com; seunghoikoo@kr.kpmg.com; jeonghoonlee@kr.kpmg.com; siwookim@kr.kpmg.com; ijo@kr.kpmg.com; gyeon@kr.kpmg.com; sungchaekang@kr.kpmg.com; seungmikang@kr.kpmg.com; woohyunyi@kr.kpmg.com; sukheehan@kr.kpmg.com; chaeneunglee@kr.kpmg.com; daejinkim@kr.kpmg.com; jaehyukjang@kr.kpmg.com; hcho12@kr.kpmg.com; seungmikang@kr.kpmg.com; moonchulshin@kr.kpmg.com; scho3@kr.kpmg.com; jroh@kr.kpmg.com; hsul@kr.kpmg.com; seongbeomlee@kr.kpmg.com; sungbaekim@kr.kpmg.com; hyundonghwang@kr.kpmg.com; giwoongbae@kr.kpmg.com; junsikuhm@kr.kpmg.com; taeungjeon@kr.kpmg.com; hkim51@kr.kpmg.com; ijo@kr.kpmg.com; tkim@kr.kpmg.com; jkim143@kr.kpmg.com; seungmikang@kr.kpmg.com; yeontaekchoi@kr.kpmg.com; ykang4@kr.kpmg.com; hakbeomlee@kr.kpmg.com; daejinkim@kr.kpmg.com; jaehyukjang@kr.kpmg.com; jungohyoon@kr.kpmg.com; jungkikim@kr.kpmg.com; yeehyunchoi@kr.kpmg.com; sangkilee@kr.kpmg.com; seungmikang@kr.kpmg.com; woohyunyi@kr.kpmg.com; yeonjungkim@kr.kpmg.com; heeseokkang@kr.kpmg.com; jchoi13@kr.kpmg.com; hyunminjang@kr.kpmg.com; kwanjongpark@kr.kpmg.com; jaehyoungan@kr.kpmg.com; wonjaekang@kr.kpmg.com; jaeyeonkim@kr.kpmg.com; jra@kr.kpmg.com; yulcheolpark@kr.kpmg.com; kwonjaelee@kr.kpmg.com; sukwangkim@kr.kpmg.com; yhyun@kr.kpmg.com; yaehyeonkim@kr.kpmg.com; sehongchoi@kr.kpmg.com; kyuhonglee1@kr.kpmg.com; mkim175@kr.kpmg.com; daejinkim@kr.kpmg.com; jjoung@kr.kpmg.com; giwoongbae@kr.kpmg.com; dongyoonlee@kr.kpmg.com; ikang@kr.kpmg.com; taehyunglee@kr.kpmg.com; doheunkim@kr.kpmg.com; heeseokkang@kr.kpmg.com; yeounchoi@kr.kpmg.com; jaehyukjang@kr.kpmg.com; dokyunglee@kr.kpmg.com; hakbeomlee@kr.kpmg.com; jeonghwancha@kr.kpmg.com; sungkyujung@kr.kpmg.com; jinhyeokwoo@kr.kpmg.com; kyunghopark@kr.kpmg.com; yeounchoi@kr.kpmg.com; jlee92@kr.kpmg.com; gyucheoloh@kr.kpmg.com; jaeyeonkim@kr.kpmg.com; wjeon@kr.kpmg.com; sungheeyoo@kr.kpmg.com; hyunwootak@kr.kpmg.com; ycha@kr.kpmg.com; heeseokkang@kr.kpmg.com; jlee123@kr.kpmg.com; changgiljung@kr.kpmg.com; yongholee@kr.kpmg.com; jaehyoungan@kr.kpmg.com; wonjaekang@kr.kpmg.com; dongjunshin@kr.kpmg.com; hochullee@kr.kpmg.com; sunguckkim@kr.kpmg.com; tkim50@kr.kpmg.com; jjoung@kr.kpmg.com; sbeom@kr.kpmg.com; hyoungtakhan@kr.kpmg.com; ychoi@kr.kpmg.com; dchi@kr.kpmg.com; yeongminlee@kr.kpmg.com; spark72@kr.kpmg.com; junsikuhm@kr.kpmg.com; yeounchoi@kr.kpmg.com; suyeonkim@kr.kpmg.com; sanghyunkang@kr.kpmg.com; jeewonlee@kr.kpmg.com; jboo@kr.kpmg.com; ychoi@kr.kpmg.com; ycha@kr.kpmg.com; jlee92@kr.kpmg.com; kyungsunkwon@kr.kpmg.com; daejinkim@kr.kpmg.com; sungchaekang@kr.kpmg.com; spark20@kr.kpmg.com; yeehyunchoi@kr.kpmg.com; yeontaekchoi@kr.kpmg.com; ykang4@kr.kpmg.com; smin@kr.kpmg.com; yeehyunchoi@kr.kpmg.com; jaeyoungpark@kr.kpmg.com; joohunyoon@kr.kpmg.com; daejinkim@kr.kpmg.com; jlee92@kr.kpmg.com; jungohyoon@kr.kpmg.com; yangkijung@kr.kpmg.com; hochullee@kr.kpmg.com; sseo@kr.kpmg.com; dohyunkim@kr.kpmg.com; daejinkim@kr.kpmg.com; suyeonkim@kr.kpmg.com; chulyoungkim@kr.kpmg.com; sangminnam@kr.kpmg.com; eunseokkim@kr.kpmg.com; khwang@kr.kpmg.com; jungwookdo@kr.kpmg.com; jkim143@kr.kpmg.com; jihoonchoo@kr.kpmg.com; seunghoikoo@kr.kpmg.com; seungmikang@kr.kpmg.com; woohyunyi@kr.kpmg.com; sukheehan@kr.kpmg.com; jongwoolee@kr.kpmg.com; joongkyukim@kr.kpmg.com; yaehyeonkim@kr.kpmg.com; cbae1@kr.kpmg.com; hyunsukkim@kr.kpmg.com; seungmikang@kr.kpmg.com; jaeyoungpark@kr.kpmg.com; hyeongcheollee@kr.kpmg.com; jongsanglee@kr.kpmg.com; jungwoohan@kr.kpmg.com; yno@kr.kpmg.com; dohyunkim@kr.kpmg.com; jra@kr.kpmg.com; younakim@kr.kpmg.com; jungsoopark@kr.kpmg.com; siwookim@kr.kpmg.com; sanghwapark@kr.kpmg.com; youngjoojin@kr.kpmg.com; kiwoongkim@kr.kpmg.com; ikchankim@kr.kpmg.com; seunghoikoo@kr.kpmg.com; scho3@kr.kpmg.com; sehongchoi@kr.kpmg.com; kyuhonglee1@kr.kpmg.com; jongsunam@kr.kpmg.com; jeonghwancha@kr.kpmg.com; dongyoonlee@kr.kpmg.com; hyejujang@kr.kpmg.com; yeonjungkim@kr.kpmg.com; hongminpark@kr.kpmg.com; edo@kr.kpmg.com; seungheecho@kr.kpmg.com; ycha@kr.kpmg.com; mingyulee@kr.kpmg.com; dasanyoun@kr.kpmg.com; dongyoonlee@kr.kpmg.com; hyunminjang@kr.kpmg.com; hyeonggilwi@kr.kpmg.com; cahn@kr.kpmg.com; sehongchoi@kr.kpmg.com; sorakim@kr.kpmg.com; smin@kr.kpmg.com; cahn@kr.kpmg.com; seoyoungnam@kr.kpmg.com; joonggimin@kr.kpmg.com; daejinkim@kr.kpmg.com; joongkyukim@kr.kpmg.com; jiheonkang@kr.kpmg.com; chulyoungkim@kr.kpmg.com; hwasoocho@kr.kpmg.com; jinseokyang@kr.kpmg.com; hyunjaeim@kr.kpmg.com; hyundonghwang@kr.kpmg.com; heeseokkang@kr.kpmg.com; dlee34@kr.kpmg.com; jaehoonheo@kr.kpmg.com; tkim@kr.kpmg.com; seunghyeonpark@kr.kpmg.com; jungkikim@kr.kpmg.com; hyundonghwang@kr.kpmg.com; jaeyeonleem@kr.kpmg.com; jkim508@kr.kpmg.com; sangilhan@kr.kpmg.com; kwanjongpark@kr.kpmg.com; jinyoungson@kr.kpmg.com; yeonjoochoi@kr.kpmg.com; sbeom@kr.kpmg.com; hchung@kr.kpmg.com; junheehan@kr.kpmg.com; jungsoopark@kr.kpmg.com; sanghoonpark@kr.kpmg.com; sungheeyoo@kr.kpmg.com; dkim77@kr.kpmg.com; jungwoohan@kr.kpmg.com; khwang@kr.kpmg.com; jiheonkang@kr.kpmg.com; sbeom@kr.kpmg.com; wjeon@kr.kpmg.com; skim66@kr.kpmg.com; kyungsuklee@kr.kpmg.com; sanghoroh@kr.kpmg.com; sorakim@kr.kpmg.com; yangkijung@kr.kpmg.com; smin@kr.kpmg.com; hlee42@kr.kpmg.com; jeonghwancha@kr.kpmg.com; yoongeunoh@kr.kpmg.com; yungicho@kr.kpmg.com; seungmikang@kr.kpmg.com; sukwangkim@kr.kpmg.com; clee60@kr.kpmg.com; sangilhan@kr.kpmg.com; minjujeong@kr.kpmg.com; jooyounglee@kr.kpmg.com; seunghoikoo@kr.kpmg.com; jahn6@kr.kpmg.com; naehyeongkwon@kr.kpmg.com; hyunminjang@kr.kpmg.com; seunghoikoo@kr.kpmg.com; jeonghoonlee@kr.kpmg.com; wonseol@kr.kpmg.com; jeonghwancha@kr.kpmg.com; seoyoungnam@kr.kpmg.com; mincheolyun@kr.kpmg.com; hyunhojeon@kr.kpmg.com; kyuhonglee1@kr.kpmg.com; mkim175@kr.kpmg.com; joongkyukim@kr.kpmg.com; hjo@kr.kpmg.com; clee60@kr.kpmg.com; jkim181@kr.kpmg.com; jungsoolee@kr.kpmg.com; jjoung@kr.kpmg.com; changwonseo@kr.kpmg.com; jlee177@kr.kpmg.com; jongwoolee@kr.kpmg.com; seunghyeonpark@kr.kpmg.com; yoongeunoh@kr.kpmg.com; yungicho@kr.kpmg.com; hochullee@kr.kpmg.com; mkim175@kr.kpmg.com; tkim@kr.kpmg.com; mjang3@kr.kpmg.com; seungheecho@kr.kpmg.com; tkim@kr.kpmg.com; jkim143@kr.kpmg.com; youngmokoo@kr.kpmg.com; yeehyunchoi@kr.kpmg.com; yeontaekchoi@kr.kpmg.com; sungkyujung@kr.kpmg.com; jinhyeokwoo@kr.kpmg.com</v>
      </c>
    </row>
    <row r="3" spans="2:21" x14ac:dyDescent="0.3">
      <c r="B3" t="s">
        <v>1348</v>
      </c>
      <c r="S3" t="s">
        <v>1348</v>
      </c>
      <c r="T3" t="str">
        <f t="shared" ref="T3:T66" si="0">SUBSTITUTE(S3,", ","; ")</f>
        <v>seungmikang@kr.kpmg.com; jeewonlee@kr.kpmg.com; jinboshim@kr.kpmg.com; jlee79@kr.kpmg.com; semokim@kr.kpmg.com; jjung9@kr.kpmg.com</v>
      </c>
    </row>
    <row r="4" spans="2:21" x14ac:dyDescent="0.3">
      <c r="B4" t="s">
        <v>1349</v>
      </c>
      <c r="S4" t="s">
        <v>1349</v>
      </c>
      <c r="T4" t="str">
        <f t="shared" si="0"/>
        <v>jungkikim@kr.kpmg.com; yeehyunchoi@kr.kpmg.com; euijinkim@kr.kpmg.com</v>
      </c>
    </row>
    <row r="5" spans="2:21" x14ac:dyDescent="0.3">
      <c r="B5" t="s">
        <v>1350</v>
      </c>
      <c r="S5" t="s">
        <v>1350</v>
      </c>
      <c r="T5" t="str">
        <f t="shared" si="0"/>
        <v>yangkijung@kr.kpmg.com; sungchaekang@kr.kpmg.com; juneheeshin@kr.kpmg.com; djung4@kr.kpmg.com</v>
      </c>
    </row>
    <row r="6" spans="2:21" x14ac:dyDescent="0.3">
      <c r="B6" t="s">
        <v>1351</v>
      </c>
      <c r="S6" t="s">
        <v>1351</v>
      </c>
      <c r="T6" t="str">
        <f t="shared" si="0"/>
        <v>jaenamhwang@kr.kpmg.com; dongjunshin@kr.kpmg.com; skim56@kr.kpmg.com; yosupgo@kr.kpmg.com</v>
      </c>
    </row>
    <row r="7" spans="2:21" x14ac:dyDescent="0.3">
      <c r="B7" t="s">
        <v>1352</v>
      </c>
      <c r="S7" t="s">
        <v>1352</v>
      </c>
      <c r="T7" t="str">
        <f t="shared" si="0"/>
        <v>chaeneunglee@kr.kpmg.com; mbaek@kr.kpmg.com; yungicho@kr.kpmg.com</v>
      </c>
    </row>
    <row r="8" spans="2:21" x14ac:dyDescent="0.3">
      <c r="B8" t="s">
        <v>1353</v>
      </c>
      <c r="S8" t="s">
        <v>1353</v>
      </c>
      <c r="T8" t="str">
        <f t="shared" si="0"/>
        <v>hsul@kr.kpmg.com; yseol@kr.kpmg.com; jinjang@kr.kpmg.com; jongseokyoun@kr.kpmg.com</v>
      </c>
    </row>
    <row r="9" spans="2:21" x14ac:dyDescent="0.3">
      <c r="B9" t="s">
        <v>1354</v>
      </c>
      <c r="S9" t="s">
        <v>1354</v>
      </c>
      <c r="T9" t="str">
        <f t="shared" si="0"/>
        <v>cahn@kr.kpmg.com; yeontaekchoi@kr.kpmg.com; hkim108@kr.kpmg.com; mingyuhan@kr.kpmg.com</v>
      </c>
    </row>
    <row r="10" spans="2:21" x14ac:dyDescent="0.3">
      <c r="B10" t="s">
        <v>1550</v>
      </c>
      <c r="S10" t="s">
        <v>1550</v>
      </c>
      <c r="T10" t="str">
        <f t="shared" si="0"/>
        <v>yhyun@kr.kpmg.com; siwookim@kr.kpmg.com; seungjaeoh@kr.kpmg.com; kwangsulee@kr.kpmg.com</v>
      </c>
    </row>
    <row r="11" spans="2:21" x14ac:dyDescent="0.3">
      <c r="B11" t="s">
        <v>1355</v>
      </c>
      <c r="S11" t="s">
        <v>1355</v>
      </c>
      <c r="T11" t="str">
        <f t="shared" si="0"/>
        <v>joohunyoon@kr.kpmg.com; ikchankim@kr.kpmg.com; yoonahlee@kr.kpmg.com; hyeongcheollee@kr.kpmg.com</v>
      </c>
    </row>
    <row r="12" spans="2:21" x14ac:dyDescent="0.3">
      <c r="B12" t="s">
        <v>1356</v>
      </c>
      <c r="S12" t="s">
        <v>1356</v>
      </c>
      <c r="T12" t="str">
        <f t="shared" si="0"/>
        <v>sanghoroh@kr.kpmg.com; wjeon@kr.kpmg.com; seongilkim@kr.kpmg.com; gibaeksong@kr.kpmg.com; hyunwootak@kr.kpmg.com</v>
      </c>
    </row>
    <row r="13" spans="2:21" x14ac:dyDescent="0.3">
      <c r="B13" t="s">
        <v>1357</v>
      </c>
      <c r="S13" t="s">
        <v>1357</v>
      </c>
      <c r="T13" t="str">
        <f t="shared" si="0"/>
        <v>yhyun@kr.kpmg.com; hchung@kr.kpmg.com; clee60@kr.kpmg.com</v>
      </c>
    </row>
    <row r="14" spans="2:21" x14ac:dyDescent="0.3">
      <c r="B14" t="s">
        <v>1358</v>
      </c>
      <c r="S14" t="s">
        <v>1358</v>
      </c>
      <c r="T14" t="str">
        <f t="shared" si="0"/>
        <v>ychoi@kr.kpmg.com; sungbaekim@kr.kpmg.com; jongsunam@kr.kpmg.com</v>
      </c>
    </row>
    <row r="15" spans="2:21" x14ac:dyDescent="0.3">
      <c r="B15" t="s">
        <v>1359</v>
      </c>
      <c r="S15" t="s">
        <v>1359</v>
      </c>
      <c r="T15" t="str">
        <f t="shared" si="0"/>
        <v>hchung@kr.kpmg.com; joongkyukim@kr.kpmg.com; yaehyeonkim@kr.kpmg.com; konkukkang@kr.kpmg.com</v>
      </c>
    </row>
    <row r="16" spans="2:21" x14ac:dyDescent="0.3">
      <c r="B16" t="s">
        <v>1360</v>
      </c>
      <c r="S16" t="s">
        <v>1360</v>
      </c>
      <c r="T16" t="str">
        <f t="shared" si="0"/>
        <v>jra@kr.kpmg.com; jjoung@kr.kpmg.com; yeasolju@kr.kpmg.com; ckim12@kr.kpmg.com</v>
      </c>
    </row>
    <row r="17" spans="2:20" x14ac:dyDescent="0.3">
      <c r="B17" t="s">
        <v>1361</v>
      </c>
      <c r="S17" t="s">
        <v>1361</v>
      </c>
      <c r="T17" t="str">
        <f t="shared" si="0"/>
        <v>sungbaepark@kr.kpmg.com; yeontaekchoi@kr.kpmg.com; jjung32@kr.kpmg.com</v>
      </c>
    </row>
    <row r="18" spans="2:20" x14ac:dyDescent="0.3">
      <c r="B18" t="s">
        <v>1362</v>
      </c>
      <c r="S18" t="s">
        <v>1362</v>
      </c>
      <c r="T18" t="str">
        <f t="shared" si="0"/>
        <v>dchi@kr.kpmg.com; hwasoocho@kr.kpmg.com; yeasolju@kr.kpmg.com; ykim47@kr.kpmg.com</v>
      </c>
    </row>
    <row r="19" spans="2:20" x14ac:dyDescent="0.3">
      <c r="B19" t="s">
        <v>1363</v>
      </c>
      <c r="S19" t="s">
        <v>1363</v>
      </c>
      <c r="T19" t="str">
        <f t="shared" si="0"/>
        <v>hyunminjang@kr.kpmg.com; sangkilee@kr.kpmg.com; sehyunlee@kr.kpmg.com; ykim85@kr.kpmg.com</v>
      </c>
    </row>
    <row r="20" spans="2:20" x14ac:dyDescent="0.3">
      <c r="B20" t="s">
        <v>1364</v>
      </c>
      <c r="S20" t="s">
        <v>1364</v>
      </c>
      <c r="T20" t="str">
        <f t="shared" si="0"/>
        <v>kyungsuklee@kr.kpmg.com; sanghoroh@kr.kpmg.com; jeongheehan@kr.kpmg.com</v>
      </c>
    </row>
    <row r="21" spans="2:20" x14ac:dyDescent="0.3">
      <c r="B21" t="s">
        <v>1365</v>
      </c>
      <c r="S21" t="s">
        <v>1365</v>
      </c>
      <c r="T21" t="str">
        <f t="shared" si="0"/>
        <v>ychoi@kr.kpmg.com; sanghyunbyun@kr.kpmg.com; younginwon@kr.kpmg.com; sunseokcha@kr.kpmg.com</v>
      </c>
    </row>
    <row r="22" spans="2:20" x14ac:dyDescent="0.3">
      <c r="B22" t="s">
        <v>1366</v>
      </c>
      <c r="S22" t="s">
        <v>1366</v>
      </c>
      <c r="T22" t="str">
        <f t="shared" si="0"/>
        <v>jra@kr.kpmg.com; jongsanglee@kr.kpmg.com; jchoi13@kr.kpmg.com</v>
      </c>
    </row>
    <row r="23" spans="2:20" x14ac:dyDescent="0.3">
      <c r="B23" t="s">
        <v>1367</v>
      </c>
      <c r="S23" t="s">
        <v>1367</v>
      </c>
      <c r="T23" t="str">
        <f t="shared" si="0"/>
        <v>moonchulshin@kr.kpmg.com; sungbaepark@kr.kpmg.com; jaejoongkim@kr.kpmg.com; hocheolyang@kr.kpmg.com</v>
      </c>
    </row>
    <row r="24" spans="2:20" x14ac:dyDescent="0.3">
      <c r="B24" t="s">
        <v>1368</v>
      </c>
      <c r="S24" t="s">
        <v>1368</v>
      </c>
      <c r="T24" t="str">
        <f t="shared" si="0"/>
        <v>chaeneunglee@kr.kpmg.com; ycha@kr.kpmg.com; seongilkim@kr.kpmg.com; gimyeonghwang@kr.kpmg.com</v>
      </c>
    </row>
    <row r="25" spans="2:20" x14ac:dyDescent="0.3">
      <c r="B25" t="s">
        <v>1369</v>
      </c>
      <c r="S25" t="s">
        <v>1369</v>
      </c>
      <c r="T25" t="str">
        <f t="shared" si="0"/>
        <v>sanghyunhan@kr.kpmg.com; sungbaepark@kr.kpmg.com; jahn6@kr.kpmg.com; mkang8@kr.kpmg.com</v>
      </c>
    </row>
    <row r="26" spans="2:20" x14ac:dyDescent="0.3">
      <c r="B26" t="s">
        <v>1370</v>
      </c>
      <c r="S26" t="s">
        <v>1370</v>
      </c>
      <c r="T26" t="str">
        <f t="shared" si="0"/>
        <v>hyunsukkim@kr.kpmg.com; hyundonghwang@kr.kpmg.com; changwonseo@kr.kpmg.com; gyeongokim@kr.kpmg.com</v>
      </c>
    </row>
    <row r="27" spans="2:20" x14ac:dyDescent="0.3">
      <c r="B27" t="s">
        <v>1371</v>
      </c>
      <c r="S27" t="s">
        <v>1371</v>
      </c>
      <c r="T27" t="str">
        <f t="shared" si="0"/>
        <v>tkim@kr.kpmg.com; dohyunkim@kr.kpmg.com; jongsunam@kr.kpmg.com; taeseoblee@kr.kpmg.com</v>
      </c>
    </row>
    <row r="28" spans="2:20" x14ac:dyDescent="0.3">
      <c r="B28" t="s">
        <v>1372</v>
      </c>
      <c r="S28" t="s">
        <v>1372</v>
      </c>
      <c r="T28" t="str">
        <f t="shared" si="0"/>
        <v>sangkeunlee@kr.kpmg.com; wjeon@kr.kpmg.com; inchanhwang@kr.kpmg.com; howonyoon@kr.kpmg.com</v>
      </c>
    </row>
    <row r="29" spans="2:20" x14ac:dyDescent="0.3">
      <c r="B29" t="s">
        <v>1373</v>
      </c>
      <c r="S29" t="s">
        <v>1373</v>
      </c>
      <c r="T29" t="str">
        <f t="shared" si="0"/>
        <v>jroh@kr.kpmg.com; hsul@kr.kpmg.com; hlee42@kr.kpmg.com; hyegyeongryu@kr.kpmg.com</v>
      </c>
    </row>
    <row r="30" spans="2:20" x14ac:dyDescent="0.3">
      <c r="B30" t="s">
        <v>1374</v>
      </c>
      <c r="S30" t="s">
        <v>1374</v>
      </c>
      <c r="T30" t="str">
        <f t="shared" si="0"/>
        <v>moonchulshin@kr.kpmg.com; kyunghopark@kr.kpmg.com; jinholee1@kr.kpmg.com</v>
      </c>
    </row>
    <row r="31" spans="2:20" x14ac:dyDescent="0.3">
      <c r="B31" t="s">
        <v>1375</v>
      </c>
      <c r="S31" t="s">
        <v>1375</v>
      </c>
      <c r="T31" t="str">
        <f t="shared" si="0"/>
        <v>ikang@kr.kpmg.com; sanghoonpark@kr.kpmg.com; mingyulee@kr.kpmg.com; skim106@kr.kpmg.com</v>
      </c>
    </row>
    <row r="32" spans="2:20" x14ac:dyDescent="0.3">
      <c r="B32" t="s">
        <v>1376</v>
      </c>
      <c r="S32" t="s">
        <v>1376</v>
      </c>
      <c r="T32" t="str">
        <f t="shared" si="0"/>
        <v>seungmikang@kr.kpmg.com; syeom@kr.kpmg.com; semokim@kr.kpmg.com</v>
      </c>
    </row>
    <row r="33" spans="2:20" x14ac:dyDescent="0.3">
      <c r="B33" t="s">
        <v>1377</v>
      </c>
      <c r="S33" t="s">
        <v>1377</v>
      </c>
      <c r="T33" t="str">
        <f t="shared" si="0"/>
        <v>sanghyunhan@kr.kpmg.com; hakbeomlee@kr.kpmg.com; sorakim@kr.kpmg.com</v>
      </c>
    </row>
    <row r="34" spans="2:20" x14ac:dyDescent="0.3">
      <c r="B34" t="s">
        <v>1378</v>
      </c>
      <c r="S34" t="s">
        <v>1378</v>
      </c>
      <c r="T34" t="str">
        <f t="shared" si="0"/>
        <v>yeehyunchoi@kr.kpmg.com; yeontaekchoi@kr.kpmg.com; jeongungcha@kr.kpmg.com; changilwon@kr.kpmg.com</v>
      </c>
    </row>
    <row r="35" spans="2:20" x14ac:dyDescent="0.3">
      <c r="B35" t="s">
        <v>1379</v>
      </c>
      <c r="S35" t="s">
        <v>1379</v>
      </c>
      <c r="T35" t="str">
        <f t="shared" si="0"/>
        <v>hchung@kr.kpmg.com; junheehan@kr.kpmg.com</v>
      </c>
    </row>
    <row r="36" spans="2:20" x14ac:dyDescent="0.3">
      <c r="B36" t="s">
        <v>1380</v>
      </c>
      <c r="S36" t="s">
        <v>1380</v>
      </c>
      <c r="T36" t="str">
        <f t="shared" si="0"/>
        <v>seunghoikoo@kr.kpmg.com; juhyunglee@kr.kpmg.com; jinmokkim@kr.kpmg.com; eunjeonghong@kr.kpmg.com</v>
      </c>
    </row>
    <row r="37" spans="2:20" x14ac:dyDescent="0.3">
      <c r="B37" t="s">
        <v>1381</v>
      </c>
      <c r="S37" t="s">
        <v>1381</v>
      </c>
      <c r="T37" t="str">
        <f t="shared" si="0"/>
        <v>sangminnam@kr.kpmg.com; kyuhonglee1@kr.kpmg.com; suminpark@kr.kpmg.com; yanghoshin@kr.kpmg.com</v>
      </c>
    </row>
    <row r="38" spans="2:20" x14ac:dyDescent="0.3">
      <c r="B38" t="s">
        <v>1382</v>
      </c>
      <c r="S38" t="s">
        <v>1382</v>
      </c>
      <c r="T38" t="str">
        <f t="shared" si="0"/>
        <v>sanghyunhan@kr.kpmg.com; yangkijung@kr.kpmg.com; jongroklee@kr.kpmg.com</v>
      </c>
    </row>
    <row r="39" spans="2:20" x14ac:dyDescent="0.3">
      <c r="B39" t="s">
        <v>1383</v>
      </c>
      <c r="S39" t="s">
        <v>1383</v>
      </c>
      <c r="T39" t="str">
        <f t="shared" si="0"/>
        <v>hyunsukkim@kr.kpmg.com; hochullee@kr.kpmg.com; hkim51@kr.kpmg.com</v>
      </c>
    </row>
    <row r="40" spans="2:20" x14ac:dyDescent="0.3">
      <c r="B40" t="s">
        <v>1384</v>
      </c>
      <c r="S40" t="s">
        <v>1384</v>
      </c>
      <c r="T40" t="str">
        <f t="shared" si="0"/>
        <v>sangminnam@kr.kpmg.com; yeonjungkim@kr.kpmg.com; sunguckkim@kr.kpmg.com; hkim51@kr.kpmg.com</v>
      </c>
    </row>
    <row r="41" spans="2:20" x14ac:dyDescent="0.3">
      <c r="B41" t="s">
        <v>1385</v>
      </c>
      <c r="S41" t="s">
        <v>1385</v>
      </c>
      <c r="T41" t="str">
        <f t="shared" si="0"/>
        <v>sangminnam@kr.kpmg.com; sungbaekim@kr.kpmg.com; suminpark@kr.kpmg.com; myoungjaejeon@kr.kpmg.com</v>
      </c>
    </row>
    <row r="42" spans="2:20" x14ac:dyDescent="0.3">
      <c r="B42" t="s">
        <v>1552</v>
      </c>
      <c r="S42" t="s">
        <v>1552</v>
      </c>
      <c r="T42" t="str">
        <f t="shared" si="0"/>
        <v>yongholee@kr.kpmg.com; siwookim@kr.kpmg.com; seungjaeoh@kr.kpmg.com; skim127@kr.kpmg.com</v>
      </c>
    </row>
    <row r="43" spans="2:20" x14ac:dyDescent="0.3">
      <c r="B43" t="s">
        <v>1386</v>
      </c>
      <c r="S43" t="s">
        <v>1386</v>
      </c>
      <c r="T43" t="str">
        <f t="shared" si="0"/>
        <v>kyungsuklee@kr.kpmg.com; slee14@kr.kpmg.com</v>
      </c>
    </row>
    <row r="44" spans="2:20" x14ac:dyDescent="0.3">
      <c r="B44" t="s">
        <v>1387</v>
      </c>
      <c r="S44" t="s">
        <v>1387</v>
      </c>
      <c r="T44" t="str">
        <f t="shared" si="0"/>
        <v>jungwookdo@kr.kpmg.com; jungsoopark@kr.kpmg.com; jinyoungson@kr.kpmg.com; yeonjoochoi@kr.kpmg.com</v>
      </c>
    </row>
    <row r="45" spans="2:20" x14ac:dyDescent="0.3">
      <c r="B45" t="s">
        <v>1388</v>
      </c>
      <c r="S45" t="s">
        <v>1388</v>
      </c>
      <c r="T45" t="str">
        <f t="shared" si="0"/>
        <v>yseol@kr.kpmg.com; hongminpark@kr.kpmg.com; shinyoungkim@kr.kpmg.com; naehyeongkwon@kr.kpmg.com</v>
      </c>
    </row>
    <row r="46" spans="2:20" x14ac:dyDescent="0.3">
      <c r="B46" t="s">
        <v>1389</v>
      </c>
      <c r="S46" t="s">
        <v>1389</v>
      </c>
      <c r="T46" t="str">
        <f t="shared" si="0"/>
        <v>kwanjongpark@kr.kpmg.com; hjo@kr.kpmg.com; changhyunan@kr.kpmg.com; jkim216@kr.kpmg.com</v>
      </c>
    </row>
    <row r="47" spans="2:20" x14ac:dyDescent="0.3">
      <c r="B47" t="s">
        <v>1390</v>
      </c>
      <c r="S47" t="s">
        <v>1390</v>
      </c>
      <c r="T47" t="str">
        <f t="shared" si="0"/>
        <v>changgiljung@kr.kpmg.com; jungsoopark@kr.kpmg.com; sungwoonchoi@kr.kpmg.com</v>
      </c>
    </row>
    <row r="48" spans="2:20" x14ac:dyDescent="0.3">
      <c r="B48" t="s">
        <v>1391</v>
      </c>
      <c r="S48" t="s">
        <v>1391</v>
      </c>
      <c r="T48" t="str">
        <f t="shared" si="0"/>
        <v>juhyunglee@kr.kpmg.com; sangilhan@kr.kpmg.com; sanghwapark@kr.kpmg.com</v>
      </c>
    </row>
    <row r="49" spans="2:20" x14ac:dyDescent="0.3">
      <c r="B49" t="s">
        <v>1392</v>
      </c>
      <c r="S49" t="s">
        <v>1392</v>
      </c>
      <c r="T49" t="str">
        <f t="shared" si="0"/>
        <v>jungwookdo@kr.kpmg.com; ijo@kr.kpmg.com; juhyungkim@kr.kpmg.com; soh10@kr.kpmg.com</v>
      </c>
    </row>
    <row r="50" spans="2:20" x14ac:dyDescent="0.3">
      <c r="B50" t="s">
        <v>1393</v>
      </c>
      <c r="S50" t="s">
        <v>1393</v>
      </c>
      <c r="T50" t="str">
        <f t="shared" si="0"/>
        <v>smin@kr.kpmg.com; seungmikang@kr.kpmg.com; yoorachoi@kr.kpmg.com</v>
      </c>
    </row>
    <row r="51" spans="2:20" x14ac:dyDescent="0.3">
      <c r="B51" t="s">
        <v>1394</v>
      </c>
      <c r="S51" t="s">
        <v>1394</v>
      </c>
      <c r="T51" t="str">
        <f t="shared" si="0"/>
        <v>dongyoonlee@kr.kpmg.com; ikang@kr.kpmg.com; soyoungpark@kr.kpmg.com; mcho5@kr.kpmg.com</v>
      </c>
    </row>
    <row r="52" spans="2:20" x14ac:dyDescent="0.3">
      <c r="B52" t="s">
        <v>1395</v>
      </c>
      <c r="S52" t="s">
        <v>1395</v>
      </c>
      <c r="T52" t="str">
        <f t="shared" si="0"/>
        <v>sangokpark@kr.kpmg.com; sukwangkim@kr.kpmg.com; mjang3@kr.kpmg.com</v>
      </c>
    </row>
    <row r="53" spans="2:20" x14ac:dyDescent="0.3">
      <c r="B53" t="s">
        <v>1396</v>
      </c>
      <c r="S53" t="s">
        <v>1396</v>
      </c>
      <c r="T53" t="str">
        <f t="shared" si="0"/>
        <v>wjeon@kr.kpmg.com; yangkijung@kr.kpmg.com; eunseokkim@kr.kpmg.com</v>
      </c>
    </row>
    <row r="54" spans="2:20" x14ac:dyDescent="0.3">
      <c r="B54" t="s">
        <v>1397</v>
      </c>
      <c r="S54" t="s">
        <v>1397</v>
      </c>
      <c r="T54" t="str">
        <f t="shared" si="0"/>
        <v>chaeneunglee@kr.kpmg.com; dongjunshin@kr.kpmg.com; skim56@kr.kpmg.com; sujungna@kr.kpmg.com</v>
      </c>
    </row>
    <row r="55" spans="2:20" x14ac:dyDescent="0.3">
      <c r="B55" t="s">
        <v>1398</v>
      </c>
      <c r="S55" t="s">
        <v>1398</v>
      </c>
      <c r="T55" t="str">
        <f t="shared" si="0"/>
        <v>hyunhojeon@kr.kpmg.com; sbeom@kr.kpmg.com; khur@kr.kpmg.com</v>
      </c>
    </row>
    <row r="56" spans="2:20" x14ac:dyDescent="0.3">
      <c r="B56" t="s">
        <v>1399</v>
      </c>
      <c r="S56" t="s">
        <v>1399</v>
      </c>
      <c r="T56" t="str">
        <f t="shared" si="0"/>
        <v>jaehoonheo@kr.kpmg.com; wonseol@kr.kpmg.com; euijinkim@kr.kpmg.com; byungyuljung@kr.kpmg.com</v>
      </c>
    </row>
    <row r="57" spans="2:20" x14ac:dyDescent="0.3">
      <c r="B57" t="s">
        <v>1400</v>
      </c>
      <c r="S57" t="s">
        <v>1400</v>
      </c>
      <c r="T57" t="str">
        <f t="shared" si="0"/>
        <v>dchi@kr.kpmg.com; hwasoocho@kr.kpmg.com; jinseokyang@kr.kpmg.com; jeongeunshin@kr.kpmg.com</v>
      </c>
    </row>
    <row r="58" spans="2:20" x14ac:dyDescent="0.3">
      <c r="B58" t="s">
        <v>1401</v>
      </c>
      <c r="S58" t="s">
        <v>1401</v>
      </c>
      <c r="T58" t="str">
        <f t="shared" si="0"/>
        <v>wjeon@kr.kpmg.com; ychoi@kr.kpmg.com; kyu3@kr.kpmg.com</v>
      </c>
    </row>
    <row r="59" spans="2:20" x14ac:dyDescent="0.3">
      <c r="B59" t="s">
        <v>1402</v>
      </c>
      <c r="S59" t="s">
        <v>1402</v>
      </c>
      <c r="T59" t="str">
        <f t="shared" si="0"/>
        <v>yhyun@kr.kpmg.com; changgiljung@kr.kpmg.com; sungwookkim@kr.kpmg.com</v>
      </c>
    </row>
    <row r="60" spans="2:20" x14ac:dyDescent="0.3">
      <c r="B60" t="s">
        <v>1403</v>
      </c>
      <c r="S60" t="s">
        <v>1403</v>
      </c>
      <c r="T60" t="str">
        <f t="shared" si="0"/>
        <v>jongsanglee@kr.kpmg.com; jaenamhwang@kr.kpmg.com; younginwon@kr.kpmg.com; jlee92@kr.kpmg.com; bohyunyoon@kr.kpmg.com</v>
      </c>
    </row>
    <row r="61" spans="2:20" x14ac:dyDescent="0.3">
      <c r="B61" t="s">
        <v>1404</v>
      </c>
      <c r="S61" t="s">
        <v>1404</v>
      </c>
      <c r="T61" t="str">
        <f t="shared" si="0"/>
        <v>tkim@kr.kpmg.com; khwang@kr.kpmg.com; jiheonkang@kr.kpmg.com</v>
      </c>
    </row>
    <row r="62" spans="2:20" x14ac:dyDescent="0.3">
      <c r="B62" t="s">
        <v>1405</v>
      </c>
      <c r="S62" t="s">
        <v>1405</v>
      </c>
      <c r="T62" t="str">
        <f t="shared" si="0"/>
        <v>sanghoonpark@kr.kpmg.com; khwang@kr.kpmg.com; skim125@kr.kpmg.com; gbak@kr.kpmg.com</v>
      </c>
    </row>
    <row r="63" spans="2:20" x14ac:dyDescent="0.3">
      <c r="B63" t="s">
        <v>1406</v>
      </c>
      <c r="S63" t="s">
        <v>1406</v>
      </c>
      <c r="T63" t="str">
        <f t="shared" si="0"/>
        <v>jongsanglee@kr.kpmg.com; sanghyunbyun@kr.kpmg.com; younginwon@kr.kpmg.com; yongbeomlee@kr.kpmg.com</v>
      </c>
    </row>
    <row r="64" spans="2:20" x14ac:dyDescent="0.3">
      <c r="B64" t="s">
        <v>1407</v>
      </c>
      <c r="S64" t="s">
        <v>1407</v>
      </c>
      <c r="T64" t="str">
        <f t="shared" si="0"/>
        <v>jeonggukang@kr.kpmg.com; jooyounglee@kr.kpmg.com; sungheeyoo@kr.kpmg.com; minkyungshin@kr.kpmg.com</v>
      </c>
    </row>
    <row r="65" spans="2:20" x14ac:dyDescent="0.3">
      <c r="B65" t="s">
        <v>1408</v>
      </c>
      <c r="S65" t="s">
        <v>1408</v>
      </c>
      <c r="T65" t="str">
        <f t="shared" si="0"/>
        <v>ikang@kr.kpmg.com; jinseokchoi@kr.kpmg.com; junhyeoklee@kr.kpmg.com; daeryukjeong@kr.kpmg.com</v>
      </c>
    </row>
    <row r="66" spans="2:20" x14ac:dyDescent="0.3">
      <c r="B66" t="s">
        <v>1409</v>
      </c>
      <c r="S66" t="s">
        <v>1409</v>
      </c>
      <c r="T66" t="str">
        <f t="shared" si="0"/>
        <v>tkim@kr.kpmg.com; sangokpark@kr.kpmg.com; sangseokseo@kr.kpmg.com; hoyoungshin@kr.kpmg.com</v>
      </c>
    </row>
    <row r="67" spans="2:20" x14ac:dyDescent="0.3">
      <c r="B67" t="s">
        <v>1410</v>
      </c>
      <c r="S67" t="s">
        <v>1410</v>
      </c>
      <c r="T67" t="str">
        <f t="shared" ref="T67:T130" si="1">SUBSTITUTE(S67,", ","; ")</f>
        <v>sanghoonpark@kr.kpmg.com; jungwookdo@kr.kpmg.com; hkim23@kr.kpmg.com; jihamchoi@kr.kpmg.com</v>
      </c>
    </row>
    <row r="68" spans="2:20" x14ac:dyDescent="0.3">
      <c r="B68" t="s">
        <v>1411</v>
      </c>
      <c r="S68" t="s">
        <v>1411</v>
      </c>
      <c r="T68" t="str">
        <f t="shared" si="1"/>
        <v>jongsanglee@kr.kpmg.com; jeonggukang@kr.kpmg.com; kwanghyunyun@kr.kpmg.com</v>
      </c>
    </row>
    <row r="69" spans="2:20" x14ac:dyDescent="0.3">
      <c r="B69" t="s">
        <v>1412</v>
      </c>
      <c r="S69" t="s">
        <v>1412</v>
      </c>
      <c r="T69" t="str">
        <f t="shared" si="1"/>
        <v>sungchaekang@kr.kpmg.com; jungsoolee@kr.kpmg.com; sunguckkim@kr.kpmg.com; sunghobu@kr.kpmg.com</v>
      </c>
    </row>
    <row r="70" spans="2:20" x14ac:dyDescent="0.3">
      <c r="B70" t="s">
        <v>1413</v>
      </c>
      <c r="S70" t="s">
        <v>1413</v>
      </c>
      <c r="T70" t="str">
        <f t="shared" si="1"/>
        <v>sehongchoi@kr.kpmg.com; mbaek@kr.kpmg.com; spark20@kr.kpmg.com</v>
      </c>
    </row>
    <row r="71" spans="2:20" x14ac:dyDescent="0.3">
      <c r="B71" t="s">
        <v>1414</v>
      </c>
      <c r="S71" t="s">
        <v>1414</v>
      </c>
      <c r="T71" t="str">
        <f t="shared" si="1"/>
        <v>sanghoroh@kr.kpmg.com; deokyeonglee@kr.kpmg.com; jeonghoonpark@kr.kpmg.com</v>
      </c>
    </row>
    <row r="72" spans="2:20" x14ac:dyDescent="0.3">
      <c r="B72" t="s">
        <v>1415</v>
      </c>
      <c r="S72" t="s">
        <v>1415</v>
      </c>
      <c r="T72" t="str">
        <f t="shared" si="1"/>
        <v>seungheecho@kr.kpmg.com; kyungsuklee@kr.kpmg.com; slee14@kr.kpmg.com</v>
      </c>
    </row>
    <row r="73" spans="2:20" x14ac:dyDescent="0.3">
      <c r="B73" t="s">
        <v>1416</v>
      </c>
      <c r="S73" t="s">
        <v>1416</v>
      </c>
      <c r="T73" t="str">
        <f t="shared" si="1"/>
        <v>hchung@kr.kpmg.com; yongholee@kr.kpmg.com; bkim13@kr.kpmg.com; yongwookkim@kr.kpmg.com</v>
      </c>
    </row>
    <row r="74" spans="2:20" x14ac:dyDescent="0.3">
      <c r="B74" t="s">
        <v>1417</v>
      </c>
      <c r="S74" t="s">
        <v>1417</v>
      </c>
      <c r="T74" t="str">
        <f t="shared" si="1"/>
        <v>kwanjongpark@kr.kpmg.com; hjo@kr.kpmg.com; changhyunan@kr.kpmg.com; jbak@kr.kpmg.com</v>
      </c>
    </row>
    <row r="75" spans="2:20" x14ac:dyDescent="0.3">
      <c r="B75" t="s">
        <v>1418</v>
      </c>
      <c r="S75" t="s">
        <v>1418</v>
      </c>
      <c r="T75" t="str">
        <f t="shared" si="1"/>
        <v>ijo@kr.kpmg.com; soonjaeyang@kr.kpmg.com; wooseokheo@kr.kpmg.com</v>
      </c>
    </row>
    <row r="76" spans="2:20" x14ac:dyDescent="0.3">
      <c r="B76" t="s">
        <v>1419</v>
      </c>
      <c r="S76" t="s">
        <v>1419</v>
      </c>
      <c r="T76" t="str">
        <f t="shared" si="1"/>
        <v>jooyounglee@kr.kpmg.com; sangokpark@kr.kpmg.com; jongkeunpark@kr.kpmg.com</v>
      </c>
    </row>
    <row r="77" spans="2:20" x14ac:dyDescent="0.3">
      <c r="B77" t="s">
        <v>1420</v>
      </c>
      <c r="S77" t="s">
        <v>1420</v>
      </c>
      <c r="T77" t="str">
        <f t="shared" si="1"/>
        <v>hyunhojeon@kr.kpmg.com; taeungjeon@kr.kpmg.com; hkim51@kr.kpmg.com</v>
      </c>
    </row>
    <row r="78" spans="2:20" x14ac:dyDescent="0.3">
      <c r="B78" t="s">
        <v>1421</v>
      </c>
      <c r="S78" t="s">
        <v>1421</v>
      </c>
      <c r="T78" t="str">
        <f t="shared" si="1"/>
        <v>kwanjongpark@kr.kpmg.com; hakbeomlee@kr.kpmg.com; changwonseo@kr.kpmg.com; yeonjuchu@kr.kpmg.com</v>
      </c>
    </row>
    <row r="79" spans="2:20" x14ac:dyDescent="0.3">
      <c r="B79" t="s">
        <v>1422</v>
      </c>
      <c r="S79" t="s">
        <v>1422</v>
      </c>
      <c r="T79" t="str">
        <f t="shared" si="1"/>
        <v>heeseokkang@kr.kpmg.com; jooyounglee@kr.kpmg.com; sungheeyoo@kr.kpmg.com; dlee89@kr.kpmg.com</v>
      </c>
    </row>
    <row r="80" spans="2:20" x14ac:dyDescent="0.3">
      <c r="B80" t="s">
        <v>1423</v>
      </c>
      <c r="S80" t="s">
        <v>1423</v>
      </c>
      <c r="T80" t="str">
        <f t="shared" si="1"/>
        <v>jeewonlee@kr.kpmg.com; jaehoonheo@kr.kpmg.com; jinjang@kr.kpmg.com; jaehyunjeon@kr.kpmg.com</v>
      </c>
    </row>
    <row r="81" spans="2:20" x14ac:dyDescent="0.3">
      <c r="B81" t="s">
        <v>1424</v>
      </c>
      <c r="S81" t="s">
        <v>1424</v>
      </c>
      <c r="T81" t="str">
        <f t="shared" si="1"/>
        <v>khwang@kr.kpmg.com; sukwangkim@kr.kpmg.com; hkim23@kr.kpmg.com; dongjoonchi@kr.kpmg.com</v>
      </c>
    </row>
    <row r="82" spans="2:20" x14ac:dyDescent="0.3">
      <c r="B82" t="s">
        <v>1425</v>
      </c>
      <c r="S82" t="s">
        <v>1425</v>
      </c>
      <c r="T82" t="str">
        <f t="shared" si="1"/>
        <v>junsikuhm@kr.kpmg.com; yangkijung@kr.kpmg.com; jaewanlim@kr.kpmg.com</v>
      </c>
    </row>
    <row r="83" spans="2:20" x14ac:dyDescent="0.3">
      <c r="B83" t="s">
        <v>1426</v>
      </c>
      <c r="S83" t="s">
        <v>1426</v>
      </c>
      <c r="T83" t="str">
        <f t="shared" si="1"/>
        <v>kyunghopark@kr.kpmg.com; dohyunkim@kr.kpmg.com; mingyusong@kr.kpmg.com; jkim258@kr.kpmg.com</v>
      </c>
    </row>
    <row r="84" spans="2:20" x14ac:dyDescent="0.3">
      <c r="B84" t="s">
        <v>1427</v>
      </c>
      <c r="S84" t="s">
        <v>1427</v>
      </c>
      <c r="T84" t="str">
        <f t="shared" si="1"/>
        <v>hchung@kr.kpmg.com; yongholee@kr.kpmg.com; soonjaeyang@kr.kpmg.com; ihwang7@kr.kpmg.com</v>
      </c>
    </row>
    <row r="85" spans="2:20" x14ac:dyDescent="0.3">
      <c r="B85" t="s">
        <v>1428</v>
      </c>
      <c r="S85" t="s">
        <v>1428</v>
      </c>
      <c r="T85" t="str">
        <f t="shared" si="1"/>
        <v>hyunminjang@kr.kpmg.com; kwanjongpark@kr.kpmg.com; jaehyoungan@kr.kpmg.com; wonjaekang@kr.kpmg.com</v>
      </c>
    </row>
    <row r="86" spans="2:20" x14ac:dyDescent="0.3">
      <c r="B86" t="s">
        <v>1429</v>
      </c>
      <c r="S86" t="s">
        <v>1429</v>
      </c>
      <c r="T86" t="str">
        <f t="shared" si="1"/>
        <v>ikang@kr.kpmg.com; jaehoonheo@kr.kpmg.com; yoonahlee@kr.kpmg.com; junhyeoklee@kr.kpmg.com; hyucksoonchoi@kr.kpmg.com</v>
      </c>
    </row>
    <row r="87" spans="2:20" x14ac:dyDescent="0.3">
      <c r="B87" t="s">
        <v>1430</v>
      </c>
      <c r="S87" t="s">
        <v>1430</v>
      </c>
      <c r="T87" t="str">
        <f t="shared" si="1"/>
        <v>hyunhojeon@kr.kpmg.com; yeonjungkim@kr.kpmg.com; kwanghyunyun@kr.kpmg.com</v>
      </c>
    </row>
    <row r="88" spans="2:20" x14ac:dyDescent="0.3">
      <c r="B88" t="s">
        <v>1431</v>
      </c>
      <c r="S88" t="s">
        <v>1431</v>
      </c>
      <c r="T88" t="str">
        <f t="shared" si="1"/>
        <v>sangokpark@kr.kpmg.com; yeounchoi@kr.kpmg.com; suyeonkim@kr.kpmg.com</v>
      </c>
    </row>
    <row r="89" spans="2:20" x14ac:dyDescent="0.3">
      <c r="B89" t="s">
        <v>1432</v>
      </c>
      <c r="S89" t="s">
        <v>1432</v>
      </c>
      <c r="T89" t="str">
        <f t="shared" si="1"/>
        <v>dchi@kr.kpmg.com; sangminnam@kr.kpmg.com; pjeong@kr.kpmg.com</v>
      </c>
    </row>
    <row r="90" spans="2:20" x14ac:dyDescent="0.3">
      <c r="B90" t="s">
        <v>1433</v>
      </c>
      <c r="S90" t="s">
        <v>1433</v>
      </c>
      <c r="T90" t="str">
        <f t="shared" si="1"/>
        <v>dongjunshin@kr.kpmg.com; sukwangkim@kr.kpmg.com; jkim143@kr.kpmg.com; jhwang4@kr.kpmg.com</v>
      </c>
    </row>
    <row r="91" spans="2:20" x14ac:dyDescent="0.3">
      <c r="B91" t="s">
        <v>1434</v>
      </c>
      <c r="S91" t="s">
        <v>1434</v>
      </c>
      <c r="T91" t="str">
        <f t="shared" si="1"/>
        <v>daejinkim@kr.kpmg.com; hochullee@kr.kpmg.com; sunguckkim@kr.kpmg.com; junhyunghong@kr.kpmg.com</v>
      </c>
    </row>
    <row r="92" spans="2:20" x14ac:dyDescent="0.3">
      <c r="B92" t="s">
        <v>1435</v>
      </c>
      <c r="S92" t="s">
        <v>1435</v>
      </c>
      <c r="T92" t="str">
        <f t="shared" si="1"/>
        <v>smin@kr.kpmg.com; jaehoonheo@kr.kpmg.com; donggyulee@kr.kpmg.com</v>
      </c>
    </row>
    <row r="93" spans="2:20" x14ac:dyDescent="0.3">
      <c r="B93" t="s">
        <v>1436</v>
      </c>
      <c r="S93" t="s">
        <v>1436</v>
      </c>
      <c r="T93" t="str">
        <f t="shared" si="1"/>
        <v>sangokpark@kr.kpmg.com; daejinkim@kr.kpmg.com; yulcheolpark@kr.kpmg.com; ylee67@kr.kpmg.com</v>
      </c>
    </row>
    <row r="94" spans="2:20" x14ac:dyDescent="0.3">
      <c r="B94" t="s">
        <v>1437</v>
      </c>
      <c r="S94" t="s">
        <v>1437</v>
      </c>
      <c r="T94" t="str">
        <f t="shared" si="1"/>
        <v>jaenamhwang@kr.kpmg.com; kyunghopark@kr.kpmg.com; jlee123@kr.kpmg.com</v>
      </c>
    </row>
    <row r="95" spans="2:20" x14ac:dyDescent="0.3">
      <c r="B95" t="s">
        <v>1438</v>
      </c>
      <c r="S95" t="s">
        <v>1438</v>
      </c>
      <c r="T95" t="str">
        <f t="shared" si="1"/>
        <v>sungchaekang@kr.kpmg.com; yongholee@kr.kpmg.com; jinyoungson@kr.kpmg.com</v>
      </c>
    </row>
    <row r="96" spans="2:20" x14ac:dyDescent="0.3">
      <c r="B96" t="s">
        <v>1439</v>
      </c>
      <c r="S96" t="s">
        <v>1439</v>
      </c>
      <c r="T96" t="str">
        <f t="shared" si="1"/>
        <v>chulyoungkim@kr.kpmg.com; hwasoocho@kr.kpmg.com; jinseokyang@kr.kpmg.com; yeonjuchu@kr.kpmg.com</v>
      </c>
    </row>
    <row r="97" spans="2:20" x14ac:dyDescent="0.3">
      <c r="B97" t="s">
        <v>1440</v>
      </c>
      <c r="S97" t="s">
        <v>1440</v>
      </c>
      <c r="T97" t="str">
        <f t="shared" si="1"/>
        <v>khwang@kr.kpmg.com; dohyunkim@kr.kpmg.com; mkim175@kr.kpmg.com; dkim240@kr.kpmg.com</v>
      </c>
    </row>
    <row r="98" spans="2:20" x14ac:dyDescent="0.3">
      <c r="B98" t="s">
        <v>1441</v>
      </c>
      <c r="S98" t="s">
        <v>1441</v>
      </c>
      <c r="T98" t="str">
        <f t="shared" si="1"/>
        <v>sangkeunlee@kr.kpmg.com; hyunminjang@kr.kpmg.com; woohyunyi@kr.kpmg.com</v>
      </c>
    </row>
    <row r="99" spans="2:20" x14ac:dyDescent="0.3">
      <c r="B99" t="s">
        <v>1442</v>
      </c>
      <c r="S99" t="s">
        <v>1442</v>
      </c>
      <c r="T99" t="str">
        <f t="shared" si="1"/>
        <v>changgiljung@kr.kpmg.com; dchi@kr.kpmg.com; inchanhwang@kr.kpmg.com; syoo7@kr.kpmg.com</v>
      </c>
    </row>
    <row r="100" spans="2:20" x14ac:dyDescent="0.3">
      <c r="B100" t="s">
        <v>1443</v>
      </c>
      <c r="S100" t="s">
        <v>1443</v>
      </c>
      <c r="T100" t="str">
        <f t="shared" si="1"/>
        <v>hchung@kr.kpmg.com; yongholee@kr.kpmg.com; yaehyeonkim@kr.kpmg.com; konkukkang@kr.kpmg.com</v>
      </c>
    </row>
    <row r="101" spans="2:20" x14ac:dyDescent="0.3">
      <c r="B101" t="s">
        <v>1444</v>
      </c>
      <c r="S101" t="s">
        <v>1444</v>
      </c>
      <c r="T101" t="str">
        <f t="shared" si="1"/>
        <v>chulyoungkim@kr.kpmg.com; kyungsuklee@kr.kpmg.com; slee14@kr.kpmg.com</v>
      </c>
    </row>
    <row r="102" spans="2:20" x14ac:dyDescent="0.3">
      <c r="B102" t="s">
        <v>1445</v>
      </c>
      <c r="S102" t="s">
        <v>1445</v>
      </c>
      <c r="T102" t="str">
        <f t="shared" si="1"/>
        <v>hyunminjang@kr.kpmg.com; jungwookdo@kr.kpmg.com; minjujeong@kr.kpmg.com</v>
      </c>
    </row>
    <row r="103" spans="2:20" x14ac:dyDescent="0.3">
      <c r="B103" t="s">
        <v>1446</v>
      </c>
      <c r="S103" t="s">
        <v>1446</v>
      </c>
      <c r="T103" t="str">
        <f t="shared" si="1"/>
        <v>kyunghopark@kr.kpmg.com; gleem@kr.kpmg.com; jeonghoonpark@kr.kpmg.com</v>
      </c>
    </row>
    <row r="104" spans="2:20" x14ac:dyDescent="0.3">
      <c r="B104" t="s">
        <v>1447</v>
      </c>
      <c r="S104" t="s">
        <v>1447</v>
      </c>
      <c r="T104" t="str">
        <f t="shared" si="1"/>
        <v>jungkikim@kr.kpmg.com; moonchulshin@kr.kpmg.com; edo@kr.kpmg.com; seungohwoo@kr.kpmg.com</v>
      </c>
    </row>
    <row r="105" spans="2:20" x14ac:dyDescent="0.3">
      <c r="B105" t="s">
        <v>1448</v>
      </c>
      <c r="S105" t="s">
        <v>1448</v>
      </c>
      <c r="T105" t="str">
        <f t="shared" si="1"/>
        <v>sangilhan@kr.kpmg.com; jlee79@kr.kpmg.com; sungwoonchoi@kr.kpmg.com</v>
      </c>
    </row>
    <row r="106" spans="2:20" x14ac:dyDescent="0.3">
      <c r="B106" t="s">
        <v>1449</v>
      </c>
      <c r="S106" t="s">
        <v>1449</v>
      </c>
      <c r="T106" t="str">
        <f t="shared" si="1"/>
        <v>sangilhan@kr.kpmg.com; jlee79@kr.kpmg.com; bkim13@kr.kpmg.com; yongwookkim@kr.kpmg.com</v>
      </c>
    </row>
    <row r="107" spans="2:20" x14ac:dyDescent="0.3">
      <c r="B107" t="s">
        <v>1450</v>
      </c>
      <c r="S107" t="s">
        <v>1450</v>
      </c>
      <c r="T107" t="str">
        <f t="shared" si="1"/>
        <v>jungsoolee@kr.kpmg.com; jjoung@kr.kpmg.com; jaeyeonleem@kr.kpmg.com; jlee177@kr.kpmg.com</v>
      </c>
    </row>
    <row r="108" spans="2:20" x14ac:dyDescent="0.3">
      <c r="B108" t="s">
        <v>1451</v>
      </c>
      <c r="S108" t="s">
        <v>1451</v>
      </c>
      <c r="T108" t="str">
        <f t="shared" si="1"/>
        <v>cahn@kr.kpmg.com; yseol@kr.kpmg.com; yoorachoi@kr.kpmg.com</v>
      </c>
    </row>
    <row r="109" spans="2:20" x14ac:dyDescent="0.3">
      <c r="B109" t="s">
        <v>1452</v>
      </c>
      <c r="S109" t="s">
        <v>1452</v>
      </c>
      <c r="T109" t="str">
        <f t="shared" si="1"/>
        <v>seungheecho@kr.kpmg.com; sanghoonpark@kr.kpmg.com; jlee92@kr.kpmg.com; hyim@kr.kpmg.com</v>
      </c>
    </row>
    <row r="110" spans="2:20" x14ac:dyDescent="0.3">
      <c r="B110" t="s">
        <v>1453</v>
      </c>
      <c r="S110" t="s">
        <v>1453</v>
      </c>
      <c r="T110" t="str">
        <f t="shared" si="1"/>
        <v>jooyounglee@kr.kpmg.com; chaeneunglee@kr.kpmg.com; jongroklee@kr.kpmg.com</v>
      </c>
    </row>
    <row r="111" spans="2:20" x14ac:dyDescent="0.3">
      <c r="B111" t="s">
        <v>1454</v>
      </c>
      <c r="S111" t="s">
        <v>1454</v>
      </c>
      <c r="T111" t="str">
        <f t="shared" si="1"/>
        <v>jungkikim@kr.kpmg.com; sanghyunkang@kr.kpmg.com; euijinkim@kr.kpmg.com</v>
      </c>
    </row>
    <row r="112" spans="2:20" x14ac:dyDescent="0.3">
      <c r="B112" t="s">
        <v>1455</v>
      </c>
      <c r="S112" t="s">
        <v>1455</v>
      </c>
      <c r="T112" t="str">
        <f t="shared" si="1"/>
        <v>jooyounglee@kr.kpmg.com; seunghoikoo@kr.kpmg.com; jeonghoonlee@kr.kpmg.com</v>
      </c>
    </row>
    <row r="113" spans="2:20" x14ac:dyDescent="0.3">
      <c r="B113" t="s">
        <v>1456</v>
      </c>
      <c r="S113" t="s">
        <v>1456</v>
      </c>
      <c r="T113" t="str">
        <f t="shared" si="1"/>
        <v>siwookim@kr.kpmg.com; ijo@kr.kpmg.com; gyeon@kr.kpmg.com</v>
      </c>
    </row>
    <row r="114" spans="2:20" x14ac:dyDescent="0.3">
      <c r="B114" t="s">
        <v>1457</v>
      </c>
      <c r="S114" t="s">
        <v>1457</v>
      </c>
      <c r="T114" t="str">
        <f t="shared" si="1"/>
        <v>sungchaekang@kr.kpmg.com; seungmikang@kr.kpmg.com; woohyunyi@kr.kpmg.com; sukheehan@kr.kpmg.com</v>
      </c>
    </row>
    <row r="115" spans="2:20" x14ac:dyDescent="0.3">
      <c r="B115" t="s">
        <v>1458</v>
      </c>
      <c r="S115" t="s">
        <v>1458</v>
      </c>
      <c r="T115" t="str">
        <f t="shared" si="1"/>
        <v>chaeneunglee@kr.kpmg.com; daejinkim@kr.kpmg.com; jaehyukjang@kr.kpmg.com; hcho12@kr.kpmg.com</v>
      </c>
    </row>
    <row r="116" spans="2:20" x14ac:dyDescent="0.3">
      <c r="B116" t="s">
        <v>1459</v>
      </c>
      <c r="S116" t="s">
        <v>1459</v>
      </c>
      <c r="T116" t="str">
        <f t="shared" si="1"/>
        <v>seungmikang@kr.kpmg.com; moonchulshin@kr.kpmg.com; scho3@kr.kpmg.com</v>
      </c>
    </row>
    <row r="117" spans="2:20" x14ac:dyDescent="0.3">
      <c r="B117" t="s">
        <v>1460</v>
      </c>
      <c r="S117" t="s">
        <v>1460</v>
      </c>
      <c r="T117" t="str">
        <f t="shared" si="1"/>
        <v>jroh@kr.kpmg.com; hsul@kr.kpmg.com; seongbeomlee@kr.kpmg.com</v>
      </c>
    </row>
    <row r="118" spans="2:20" x14ac:dyDescent="0.3">
      <c r="B118" t="s">
        <v>1461</v>
      </c>
      <c r="S118" t="s">
        <v>1461</v>
      </c>
      <c r="T118" t="str">
        <f t="shared" si="1"/>
        <v>sungbaekim@kr.kpmg.com; hyundonghwang@kr.kpmg.com; giwoongbae@kr.kpmg.com</v>
      </c>
    </row>
    <row r="119" spans="2:20" x14ac:dyDescent="0.3">
      <c r="B119" t="s">
        <v>1462</v>
      </c>
      <c r="S119" t="s">
        <v>1462</v>
      </c>
      <c r="T119" t="str">
        <f t="shared" si="1"/>
        <v>junsikuhm@kr.kpmg.com; taeungjeon@kr.kpmg.com; hkim51@kr.kpmg.com</v>
      </c>
    </row>
    <row r="120" spans="2:20" x14ac:dyDescent="0.3">
      <c r="B120" t="s">
        <v>1463</v>
      </c>
      <c r="S120" t="s">
        <v>1463</v>
      </c>
      <c r="T120" t="str">
        <f t="shared" si="1"/>
        <v>ijo@kr.kpmg.com; tkim@kr.kpmg.com; jkim143@kr.kpmg.com</v>
      </c>
    </row>
    <row r="121" spans="2:20" x14ac:dyDescent="0.3">
      <c r="B121" t="s">
        <v>1464</v>
      </c>
      <c r="S121" t="s">
        <v>1464</v>
      </c>
      <c r="T121" t="str">
        <f t="shared" si="1"/>
        <v>seungmikang@kr.kpmg.com; yeontaekchoi@kr.kpmg.com; ykang4@kr.kpmg.com</v>
      </c>
    </row>
    <row r="122" spans="2:20" x14ac:dyDescent="0.3">
      <c r="B122" t="s">
        <v>1465</v>
      </c>
      <c r="S122" t="s">
        <v>1465</v>
      </c>
      <c r="T122" t="str">
        <f t="shared" si="1"/>
        <v>hakbeomlee@kr.kpmg.com; daejinkim@kr.kpmg.com; jaehyukjang@kr.kpmg.com; jungohyoon@kr.kpmg.com</v>
      </c>
    </row>
    <row r="123" spans="2:20" x14ac:dyDescent="0.3">
      <c r="B123" t="s">
        <v>1466</v>
      </c>
      <c r="S123" t="s">
        <v>1466</v>
      </c>
      <c r="T123" t="str">
        <f t="shared" si="1"/>
        <v>jungkikim@kr.kpmg.com; yeehyunchoi@kr.kpmg.com</v>
      </c>
    </row>
    <row r="124" spans="2:20" x14ac:dyDescent="0.3">
      <c r="B124" t="s">
        <v>1467</v>
      </c>
      <c r="S124" t="s">
        <v>1467</v>
      </c>
      <c r="T124" t="str">
        <f t="shared" si="1"/>
        <v>sangkilee@kr.kpmg.com; seungmikang@kr.kpmg.com; woohyunyi@kr.kpmg.com</v>
      </c>
    </row>
    <row r="125" spans="2:20" x14ac:dyDescent="0.3">
      <c r="B125" t="s">
        <v>1468</v>
      </c>
      <c r="S125" t="s">
        <v>1468</v>
      </c>
      <c r="T125" t="str">
        <f t="shared" si="1"/>
        <v>yeonjungkim@kr.kpmg.com; heeseokkang@kr.kpmg.com; jchoi13@kr.kpmg.com</v>
      </c>
    </row>
    <row r="126" spans="2:20" x14ac:dyDescent="0.3">
      <c r="B126" t="s">
        <v>1428</v>
      </c>
      <c r="S126" t="s">
        <v>1428</v>
      </c>
      <c r="T126" t="str">
        <f t="shared" si="1"/>
        <v>hyunminjang@kr.kpmg.com; kwanjongpark@kr.kpmg.com; jaehyoungan@kr.kpmg.com; wonjaekang@kr.kpmg.com</v>
      </c>
    </row>
    <row r="127" spans="2:20" x14ac:dyDescent="0.3">
      <c r="B127" t="s">
        <v>1469</v>
      </c>
      <c r="S127" t="s">
        <v>1469</v>
      </c>
      <c r="T127" t="str">
        <f t="shared" si="1"/>
        <v>jaeyeonkim@kr.kpmg.com; jra@kr.kpmg.com; yulcheolpark@kr.kpmg.com; kwonjaelee@kr.kpmg.com</v>
      </c>
    </row>
    <row r="128" spans="2:20" x14ac:dyDescent="0.3">
      <c r="B128" t="s">
        <v>1470</v>
      </c>
      <c r="S128" t="s">
        <v>1470</v>
      </c>
      <c r="T128" t="str">
        <f t="shared" si="1"/>
        <v>sukwangkim@kr.kpmg.com; yhyun@kr.kpmg.com; yaehyeonkim@kr.kpmg.com</v>
      </c>
    </row>
    <row r="129" spans="2:20" x14ac:dyDescent="0.3">
      <c r="B129" t="s">
        <v>1471</v>
      </c>
      <c r="S129" t="s">
        <v>1471</v>
      </c>
      <c r="T129" t="str">
        <f t="shared" si="1"/>
        <v>sehongchoi@kr.kpmg.com; kyuhonglee1@kr.kpmg.com; mkim175@kr.kpmg.com</v>
      </c>
    </row>
    <row r="130" spans="2:20" x14ac:dyDescent="0.3">
      <c r="B130" t="s">
        <v>1472</v>
      </c>
      <c r="S130" t="s">
        <v>1472</v>
      </c>
      <c r="T130" t="str">
        <f t="shared" si="1"/>
        <v>daejinkim@kr.kpmg.com; jjoung@kr.kpmg.com; giwoongbae@kr.kpmg.com</v>
      </c>
    </row>
    <row r="131" spans="2:20" x14ac:dyDescent="0.3">
      <c r="B131" t="s">
        <v>1473</v>
      </c>
      <c r="S131" t="s">
        <v>1473</v>
      </c>
      <c r="T131" t="str">
        <f t="shared" ref="T131:T192" si="2">SUBSTITUTE(S131,", ","; ")</f>
        <v>dongyoonlee@kr.kpmg.com; ikang@kr.kpmg.com; taehyunglee@kr.kpmg.com; doheunkim@kr.kpmg.com</v>
      </c>
    </row>
    <row r="132" spans="2:20" x14ac:dyDescent="0.3">
      <c r="B132" t="s">
        <v>1474</v>
      </c>
      <c r="S132" t="s">
        <v>1474</v>
      </c>
      <c r="T132" t="str">
        <f t="shared" si="2"/>
        <v>heeseokkang@kr.kpmg.com; yeounchoi@kr.kpmg.com; jaehyukjang@kr.kpmg.com; dokyunglee@kr.kpmg.com</v>
      </c>
    </row>
    <row r="133" spans="2:20" x14ac:dyDescent="0.3">
      <c r="B133" t="s">
        <v>1475</v>
      </c>
      <c r="S133" t="s">
        <v>1475</v>
      </c>
      <c r="T133" t="str">
        <f t="shared" si="2"/>
        <v>hakbeomlee@kr.kpmg.com; jeonghwancha@kr.kpmg.com; sungkyujung@kr.kpmg.com; jinhyeokwoo@kr.kpmg.com</v>
      </c>
    </row>
    <row r="134" spans="2:20" x14ac:dyDescent="0.3">
      <c r="B134" t="s">
        <v>1476</v>
      </c>
      <c r="S134" t="s">
        <v>1476</v>
      </c>
      <c r="T134" t="str">
        <f t="shared" si="2"/>
        <v>kyunghopark@kr.kpmg.com; yeounchoi@kr.kpmg.com; jlee92@kr.kpmg.com; gyucheoloh@kr.kpmg.com</v>
      </c>
    </row>
    <row r="135" spans="2:20" x14ac:dyDescent="0.3">
      <c r="B135" t="s">
        <v>1477</v>
      </c>
      <c r="S135" t="s">
        <v>1477</v>
      </c>
      <c r="T135" t="str">
        <f t="shared" si="2"/>
        <v>jaeyeonkim@kr.kpmg.com; wjeon@kr.kpmg.com; sungheeyoo@kr.kpmg.com; hyunwootak@kr.kpmg.com</v>
      </c>
    </row>
    <row r="136" spans="2:20" x14ac:dyDescent="0.3">
      <c r="B136" t="s">
        <v>1478</v>
      </c>
      <c r="S136" t="s">
        <v>1478</v>
      </c>
      <c r="T136" t="str">
        <f t="shared" si="2"/>
        <v>ycha@kr.kpmg.com; heeseokkang@kr.kpmg.com; jlee123@kr.kpmg.com</v>
      </c>
    </row>
    <row r="137" spans="2:20" x14ac:dyDescent="0.3">
      <c r="B137" t="s">
        <v>1479</v>
      </c>
      <c r="S137" t="s">
        <v>1479</v>
      </c>
      <c r="T137" t="str">
        <f t="shared" si="2"/>
        <v>changgiljung@kr.kpmg.com; yongholee@kr.kpmg.com; jaehyoungan@kr.kpmg.com; wonjaekang@kr.kpmg.com</v>
      </c>
    </row>
    <row r="138" spans="2:20" x14ac:dyDescent="0.3">
      <c r="B138" t="s">
        <v>1480</v>
      </c>
      <c r="S138" t="s">
        <v>1480</v>
      </c>
      <c r="T138" t="str">
        <f t="shared" si="2"/>
        <v>dongjunshin@kr.kpmg.com; hochullee@kr.kpmg.com; sunguckkim@kr.kpmg.com; tkim50@kr.kpmg.com</v>
      </c>
    </row>
    <row r="139" spans="2:20" x14ac:dyDescent="0.3">
      <c r="B139" t="s">
        <v>1481</v>
      </c>
      <c r="S139" t="s">
        <v>1481</v>
      </c>
      <c r="T139" t="str">
        <f t="shared" si="2"/>
        <v>jjoung@kr.kpmg.com; sbeom@kr.kpmg.com; hyoungtakhan@kr.kpmg.com</v>
      </c>
    </row>
    <row r="140" spans="2:20" x14ac:dyDescent="0.3">
      <c r="B140" t="s">
        <v>1482</v>
      </c>
      <c r="S140" t="s">
        <v>1482</v>
      </c>
      <c r="T140" t="str">
        <f t="shared" si="2"/>
        <v>ychoi@kr.kpmg.com; dchi@kr.kpmg.com; yeongminlee@kr.kpmg.com; spark72@kr.kpmg.com</v>
      </c>
    </row>
    <row r="141" spans="2:20" x14ac:dyDescent="0.3">
      <c r="B141" t="s">
        <v>1483</v>
      </c>
      <c r="S141" t="s">
        <v>1483</v>
      </c>
      <c r="T141" t="str">
        <f t="shared" si="2"/>
        <v>junsikuhm@kr.kpmg.com; yeounchoi@kr.kpmg.com; suyeonkim@kr.kpmg.com</v>
      </c>
    </row>
    <row r="142" spans="2:20" x14ac:dyDescent="0.3">
      <c r="B142" t="s">
        <v>1484</v>
      </c>
      <c r="S142" t="s">
        <v>1484</v>
      </c>
      <c r="T142" t="str">
        <f t="shared" si="2"/>
        <v>sanghyunkang@kr.kpmg.com; jeewonlee@kr.kpmg.com; jboo@kr.kpmg.com</v>
      </c>
    </row>
    <row r="143" spans="2:20" x14ac:dyDescent="0.3">
      <c r="B143" t="s">
        <v>1485</v>
      </c>
      <c r="S143" t="s">
        <v>1485</v>
      </c>
      <c r="T143" t="str">
        <f t="shared" si="2"/>
        <v>ychoi@kr.kpmg.com; ycha@kr.kpmg.com; jlee92@kr.kpmg.com; kyungsunkwon@kr.kpmg.com</v>
      </c>
    </row>
    <row r="144" spans="2:20" x14ac:dyDescent="0.3">
      <c r="B144" t="s">
        <v>1486</v>
      </c>
      <c r="S144" t="s">
        <v>1486</v>
      </c>
      <c r="T144" t="str">
        <f t="shared" si="2"/>
        <v>daejinkim@kr.kpmg.com; sungchaekang@kr.kpmg.com; spark20@kr.kpmg.com</v>
      </c>
    </row>
    <row r="145" spans="2:20" x14ac:dyDescent="0.3">
      <c r="B145" t="s">
        <v>1487</v>
      </c>
      <c r="S145" t="s">
        <v>1487</v>
      </c>
      <c r="T145" t="str">
        <f t="shared" si="2"/>
        <v>yeehyunchoi@kr.kpmg.com; yeontaekchoi@kr.kpmg.com; ykang4@kr.kpmg.com</v>
      </c>
    </row>
    <row r="146" spans="2:20" x14ac:dyDescent="0.3">
      <c r="B146" t="s">
        <v>1488</v>
      </c>
      <c r="S146" t="s">
        <v>1488</v>
      </c>
      <c r="T146" t="str">
        <f t="shared" si="2"/>
        <v>smin@kr.kpmg.com; yeehyunchoi@kr.kpmg.com; jaeyoungpark@kr.kpmg.com</v>
      </c>
    </row>
    <row r="147" spans="2:20" x14ac:dyDescent="0.3">
      <c r="B147" t="s">
        <v>1489</v>
      </c>
      <c r="S147" t="s">
        <v>1489</v>
      </c>
      <c r="T147" t="str">
        <f t="shared" si="2"/>
        <v>joohunyoon@kr.kpmg.com; daejinkim@kr.kpmg.com; jlee92@kr.kpmg.com; jungohyoon@kr.kpmg.com</v>
      </c>
    </row>
    <row r="148" spans="2:20" x14ac:dyDescent="0.3">
      <c r="B148" t="s">
        <v>1490</v>
      </c>
      <c r="S148" t="s">
        <v>1490</v>
      </c>
      <c r="T148" t="str">
        <f t="shared" si="2"/>
        <v>yangkijung@kr.kpmg.com; hochullee@kr.kpmg.com; sseo@kr.kpmg.com</v>
      </c>
    </row>
    <row r="149" spans="2:20" x14ac:dyDescent="0.3">
      <c r="B149" t="s">
        <v>1491</v>
      </c>
      <c r="S149" t="s">
        <v>1491</v>
      </c>
      <c r="T149" t="str">
        <f t="shared" si="2"/>
        <v>dohyunkim@kr.kpmg.com; daejinkim@kr.kpmg.com; suyeonkim@kr.kpmg.com</v>
      </c>
    </row>
    <row r="150" spans="2:20" x14ac:dyDescent="0.3">
      <c r="B150" t="s">
        <v>1492</v>
      </c>
      <c r="S150" t="s">
        <v>1492</v>
      </c>
      <c r="T150" t="str">
        <f t="shared" si="2"/>
        <v>chulyoungkim@kr.kpmg.com; sangminnam@kr.kpmg.com; eunseokkim@kr.kpmg.com</v>
      </c>
    </row>
    <row r="151" spans="2:20" x14ac:dyDescent="0.3">
      <c r="B151" t="s">
        <v>1493</v>
      </c>
      <c r="S151" t="s">
        <v>1493</v>
      </c>
      <c r="T151" t="str">
        <f t="shared" si="2"/>
        <v>khwang@kr.kpmg.com; jungwookdo@kr.kpmg.com; jkim143@kr.kpmg.com; jihoonchoo@kr.kpmg.com</v>
      </c>
    </row>
    <row r="152" spans="2:20" x14ac:dyDescent="0.3">
      <c r="B152" t="s">
        <v>1494</v>
      </c>
      <c r="S152" t="s">
        <v>1494</v>
      </c>
      <c r="T152" t="str">
        <f t="shared" si="2"/>
        <v>seunghoikoo@kr.kpmg.com; seungmikang@kr.kpmg.com; woohyunyi@kr.kpmg.com; sukheehan@kr.kpmg.com</v>
      </c>
    </row>
    <row r="153" spans="2:20" x14ac:dyDescent="0.3">
      <c r="B153" t="s">
        <v>1495</v>
      </c>
      <c r="S153" t="s">
        <v>1495</v>
      </c>
      <c r="T153" t="str">
        <f t="shared" si="2"/>
        <v>jongwoolee@kr.kpmg.com; joongkyukim@kr.kpmg.com; yaehyeonkim@kr.kpmg.com; cbae1@kr.kpmg.com</v>
      </c>
    </row>
    <row r="154" spans="2:20" x14ac:dyDescent="0.3">
      <c r="B154" t="s">
        <v>1496</v>
      </c>
      <c r="S154" t="s">
        <v>1496</v>
      </c>
      <c r="T154" t="str">
        <f t="shared" si="2"/>
        <v>hyunsukkim@kr.kpmg.com; seungmikang@kr.kpmg.com; jaeyoungpark@kr.kpmg.com; hyeongcheollee@kr.kpmg.com</v>
      </c>
    </row>
    <row r="155" spans="2:20" x14ac:dyDescent="0.3">
      <c r="B155" t="s">
        <v>1497</v>
      </c>
      <c r="S155" t="s">
        <v>1497</v>
      </c>
      <c r="T155" t="str">
        <f t="shared" si="2"/>
        <v>jongsanglee@kr.kpmg.com; jungwoohan@kr.kpmg.com; yno@kr.kpmg.com</v>
      </c>
    </row>
    <row r="156" spans="2:20" x14ac:dyDescent="0.3">
      <c r="B156" t="s">
        <v>1498</v>
      </c>
      <c r="S156" t="s">
        <v>1498</v>
      </c>
      <c r="T156" t="str">
        <f t="shared" si="2"/>
        <v>dohyunkim@kr.kpmg.com; jra@kr.kpmg.com; younakim@kr.kpmg.com</v>
      </c>
    </row>
    <row r="157" spans="2:20" x14ac:dyDescent="0.3">
      <c r="B157" t="s">
        <v>1499</v>
      </c>
      <c r="S157" t="s">
        <v>1499</v>
      </c>
      <c r="T157" t="str">
        <f t="shared" si="2"/>
        <v>jungsoopark@kr.kpmg.com; siwookim@kr.kpmg.com; sanghwapark@kr.kpmg.com; youngjoojin@kr.kpmg.com; kiwoongkim@kr.kpmg.com</v>
      </c>
    </row>
    <row r="158" spans="2:20" x14ac:dyDescent="0.3">
      <c r="B158" t="s">
        <v>1500</v>
      </c>
      <c r="S158" t="s">
        <v>1500</v>
      </c>
      <c r="T158" t="str">
        <f t="shared" si="2"/>
        <v>ikchankim@kr.kpmg.com; seunghoikoo@kr.kpmg.com; scho3@kr.kpmg.com</v>
      </c>
    </row>
    <row r="159" spans="2:20" x14ac:dyDescent="0.3">
      <c r="B159" t="s">
        <v>1501</v>
      </c>
      <c r="S159" t="s">
        <v>1501</v>
      </c>
      <c r="T159" t="str">
        <f t="shared" si="2"/>
        <v>sehongchoi@kr.kpmg.com; kyuhonglee1@kr.kpmg.com; jongsunam@kr.kpmg.com</v>
      </c>
    </row>
    <row r="160" spans="2:20" x14ac:dyDescent="0.3">
      <c r="B160" t="s">
        <v>1502</v>
      </c>
      <c r="S160" t="s">
        <v>1502</v>
      </c>
      <c r="T160" t="str">
        <f t="shared" si="2"/>
        <v>jeonghwancha@kr.kpmg.com; dongyoonlee@kr.kpmg.com; hyejujang@kr.kpmg.com</v>
      </c>
    </row>
    <row r="161" spans="2:20" x14ac:dyDescent="0.3">
      <c r="B161" t="s">
        <v>1503</v>
      </c>
      <c r="S161" t="s">
        <v>1503</v>
      </c>
      <c r="T161" t="str">
        <f t="shared" si="2"/>
        <v>yeonjungkim@kr.kpmg.com; hongminpark@kr.kpmg.com; edo@kr.kpmg.com</v>
      </c>
    </row>
    <row r="162" spans="2:20" x14ac:dyDescent="0.3">
      <c r="B162" t="s">
        <v>1504</v>
      </c>
      <c r="S162" t="s">
        <v>1504</v>
      </c>
      <c r="T162" t="str">
        <f t="shared" si="2"/>
        <v>seungheecho@kr.kpmg.com; ycha@kr.kpmg.com; mingyulee@kr.kpmg.com; dasanyoun@kr.kpmg.com</v>
      </c>
    </row>
    <row r="163" spans="2:20" x14ac:dyDescent="0.3">
      <c r="B163" t="s">
        <v>1505</v>
      </c>
      <c r="S163" t="s">
        <v>1505</v>
      </c>
      <c r="T163" t="str">
        <f t="shared" si="2"/>
        <v>dongyoonlee@kr.kpmg.com; hyunminjang@kr.kpmg.com; hyeonggilwi@kr.kpmg.com</v>
      </c>
    </row>
    <row r="164" spans="2:20" x14ac:dyDescent="0.3">
      <c r="B164" t="s">
        <v>1506</v>
      </c>
      <c r="S164" t="s">
        <v>1506</v>
      </c>
      <c r="T164" t="str">
        <f t="shared" si="2"/>
        <v>cahn@kr.kpmg.com; sehongchoi@kr.kpmg.com; sorakim@kr.kpmg.com</v>
      </c>
    </row>
    <row r="165" spans="2:20" x14ac:dyDescent="0.3">
      <c r="B165" t="s">
        <v>1507</v>
      </c>
      <c r="S165" t="s">
        <v>1507</v>
      </c>
      <c r="T165" t="str">
        <f t="shared" si="2"/>
        <v>smin@kr.kpmg.com; cahn@kr.kpmg.com; seoyoungnam@kr.kpmg.com; joonggimin@kr.kpmg.com</v>
      </c>
    </row>
    <row r="166" spans="2:20" x14ac:dyDescent="0.3">
      <c r="B166" t="s">
        <v>1508</v>
      </c>
      <c r="S166" t="s">
        <v>1508</v>
      </c>
      <c r="T166" t="str">
        <f t="shared" si="2"/>
        <v>daejinkim@kr.kpmg.com; joongkyukim@kr.kpmg.com; jiheonkang@kr.kpmg.com</v>
      </c>
    </row>
    <row r="167" spans="2:20" x14ac:dyDescent="0.3">
      <c r="B167" t="s">
        <v>1509</v>
      </c>
      <c r="S167" t="s">
        <v>1509</v>
      </c>
      <c r="T167" t="str">
        <f t="shared" si="2"/>
        <v>chulyoungkim@kr.kpmg.com; hwasoocho@kr.kpmg.com; jinseokyang@kr.kpmg.com; hyunjaeim@kr.kpmg.com</v>
      </c>
    </row>
    <row r="168" spans="2:20" x14ac:dyDescent="0.3">
      <c r="B168" t="s">
        <v>1510</v>
      </c>
      <c r="S168" t="s">
        <v>1510</v>
      </c>
      <c r="T168" t="str">
        <f t="shared" si="2"/>
        <v>hyundonghwang@kr.kpmg.com; heeseokkang@kr.kpmg.com; dlee34@kr.kpmg.com</v>
      </c>
    </row>
    <row r="169" spans="2:20" x14ac:dyDescent="0.3">
      <c r="B169" t="s">
        <v>1511</v>
      </c>
      <c r="S169" t="s">
        <v>1511</v>
      </c>
      <c r="T169" t="str">
        <f t="shared" si="2"/>
        <v>jaehoonheo@kr.kpmg.com; tkim@kr.kpmg.com; seunghyeonpark@kr.kpmg.com</v>
      </c>
    </row>
    <row r="170" spans="2:20" x14ac:dyDescent="0.3">
      <c r="B170" t="s">
        <v>1512</v>
      </c>
      <c r="S170" t="s">
        <v>1512</v>
      </c>
      <c r="T170" t="str">
        <f t="shared" si="2"/>
        <v>jungkikim@kr.kpmg.com; hyundonghwang@kr.kpmg.com; jaeyeonleem@kr.kpmg.com; jkim508@kr.kpmg.com</v>
      </c>
    </row>
    <row r="171" spans="2:20" x14ac:dyDescent="0.3">
      <c r="B171" t="s">
        <v>1513</v>
      </c>
      <c r="S171" t="s">
        <v>1513</v>
      </c>
      <c r="T171" t="str">
        <f t="shared" si="2"/>
        <v>sangilhan@kr.kpmg.com; kwanjongpark@kr.kpmg.com; jinyoungson@kr.kpmg.com; yeonjoochoi@kr.kpmg.com</v>
      </c>
    </row>
    <row r="172" spans="2:20" x14ac:dyDescent="0.3">
      <c r="B172" t="s">
        <v>1514</v>
      </c>
      <c r="S172" t="s">
        <v>1514</v>
      </c>
      <c r="T172" t="str">
        <f t="shared" si="2"/>
        <v>sbeom@kr.kpmg.com; hchung@kr.kpmg.com; junheehan@kr.kpmg.com</v>
      </c>
    </row>
    <row r="173" spans="2:20" x14ac:dyDescent="0.3">
      <c r="B173" t="s">
        <v>1515</v>
      </c>
      <c r="S173" t="s">
        <v>1515</v>
      </c>
      <c r="T173" t="str">
        <f t="shared" si="2"/>
        <v>jungsoopark@kr.kpmg.com; sanghoonpark@kr.kpmg.com; sungheeyoo@kr.kpmg.com; dkim77@kr.kpmg.com</v>
      </c>
    </row>
    <row r="174" spans="2:20" x14ac:dyDescent="0.3">
      <c r="B174" t="s">
        <v>1516</v>
      </c>
      <c r="S174" t="s">
        <v>1516</v>
      </c>
      <c r="T174" t="str">
        <f t="shared" si="2"/>
        <v>jungwoohan@kr.kpmg.com; khwang@kr.kpmg.com; jiheonkang@kr.kpmg.com</v>
      </c>
    </row>
    <row r="175" spans="2:20" x14ac:dyDescent="0.3">
      <c r="B175" t="s">
        <v>1517</v>
      </c>
      <c r="S175" t="s">
        <v>1517</v>
      </c>
      <c r="T175" t="str">
        <f t="shared" si="2"/>
        <v>sbeom@kr.kpmg.com; wjeon@kr.kpmg.com; skim66@kr.kpmg.com</v>
      </c>
    </row>
    <row r="176" spans="2:20" x14ac:dyDescent="0.3">
      <c r="B176" t="s">
        <v>1518</v>
      </c>
      <c r="S176" t="s">
        <v>1518</v>
      </c>
      <c r="T176" t="str">
        <f t="shared" si="2"/>
        <v>kyungsuklee@kr.kpmg.com; sanghoroh@kr.kpmg.com; sorakim@kr.kpmg.com</v>
      </c>
    </row>
    <row r="177" spans="2:20" x14ac:dyDescent="0.3">
      <c r="B177" t="s">
        <v>1519</v>
      </c>
      <c r="S177" t="s">
        <v>1519</v>
      </c>
      <c r="T177" t="str">
        <f t="shared" si="2"/>
        <v>yangkijung@kr.kpmg.com; smin@kr.kpmg.com; hlee42@kr.kpmg.com</v>
      </c>
    </row>
    <row r="178" spans="2:20" x14ac:dyDescent="0.3">
      <c r="B178" t="s">
        <v>1520</v>
      </c>
      <c r="S178" t="s">
        <v>1520</v>
      </c>
      <c r="T178" t="str">
        <f t="shared" si="2"/>
        <v>jeonghwancha@kr.kpmg.com; yoongeunoh@kr.kpmg.com; yungicho@kr.kpmg.com</v>
      </c>
    </row>
    <row r="179" spans="2:20" x14ac:dyDescent="0.3">
      <c r="B179" t="s">
        <v>1521</v>
      </c>
      <c r="S179" t="s">
        <v>1521</v>
      </c>
      <c r="T179" t="str">
        <f t="shared" si="2"/>
        <v>seungmikang@kr.kpmg.com; sukwangkim@kr.kpmg.com; clee60@kr.kpmg.com</v>
      </c>
    </row>
    <row r="180" spans="2:20" x14ac:dyDescent="0.3">
      <c r="B180" t="s">
        <v>1522</v>
      </c>
      <c r="S180" t="s">
        <v>1522</v>
      </c>
      <c r="T180" t="str">
        <f t="shared" si="2"/>
        <v>sangilhan@kr.kpmg.com; minjujeong@kr.kpmg.com</v>
      </c>
    </row>
    <row r="181" spans="2:20" x14ac:dyDescent="0.3">
      <c r="B181" t="s">
        <v>1523</v>
      </c>
      <c r="S181" t="s">
        <v>1523</v>
      </c>
      <c r="T181" t="str">
        <f t="shared" si="2"/>
        <v>jooyounglee@kr.kpmg.com; seunghoikoo@kr.kpmg.com; jahn6@kr.kpmg.com; naehyeongkwon@kr.kpmg.com</v>
      </c>
    </row>
    <row r="182" spans="2:20" x14ac:dyDescent="0.3">
      <c r="B182" t="s">
        <v>1524</v>
      </c>
      <c r="S182" t="s">
        <v>1524</v>
      </c>
      <c r="T182" t="str">
        <f t="shared" si="2"/>
        <v>hyunminjang@kr.kpmg.com; seunghoikoo@kr.kpmg.com; jeonghoonlee@kr.kpmg.com</v>
      </c>
    </row>
    <row r="183" spans="2:20" x14ac:dyDescent="0.3">
      <c r="B183" t="s">
        <v>1525</v>
      </c>
      <c r="S183" t="s">
        <v>1525</v>
      </c>
      <c r="T183" t="str">
        <f t="shared" si="2"/>
        <v>wonseol@kr.kpmg.com; jeonghwancha@kr.kpmg.com; seoyoungnam@kr.kpmg.com; mincheolyun@kr.kpmg.com</v>
      </c>
    </row>
    <row r="184" spans="2:20" x14ac:dyDescent="0.3">
      <c r="B184" t="s">
        <v>1526</v>
      </c>
      <c r="S184" t="s">
        <v>1526</v>
      </c>
      <c r="T184" t="str">
        <f t="shared" si="2"/>
        <v>hyunhojeon@kr.kpmg.com; kyuhonglee1@kr.kpmg.com; mkim175@kr.kpmg.com</v>
      </c>
    </row>
    <row r="185" spans="2:20" x14ac:dyDescent="0.3">
      <c r="B185" t="s">
        <v>1527</v>
      </c>
      <c r="S185" t="s">
        <v>1527</v>
      </c>
      <c r="T185" t="str">
        <f t="shared" si="2"/>
        <v>joongkyukim@kr.kpmg.com; hjo@kr.kpmg.com; clee60@kr.kpmg.com; jkim181@kr.kpmg.com</v>
      </c>
    </row>
    <row r="186" spans="2:20" x14ac:dyDescent="0.3">
      <c r="B186" t="s">
        <v>1528</v>
      </c>
      <c r="S186" t="s">
        <v>1528</v>
      </c>
      <c r="T186" t="str">
        <f t="shared" si="2"/>
        <v>jungsoolee@kr.kpmg.com; jjoung@kr.kpmg.com; changwonseo@kr.kpmg.com; jlee177@kr.kpmg.com</v>
      </c>
    </row>
    <row r="187" spans="2:20" x14ac:dyDescent="0.3">
      <c r="B187" t="s">
        <v>1529</v>
      </c>
      <c r="S187" t="s">
        <v>1529</v>
      </c>
      <c r="T187" t="str">
        <f t="shared" si="2"/>
        <v>jongwoolee@kr.kpmg.com; seunghyeonpark@kr.kpmg.com</v>
      </c>
    </row>
    <row r="188" spans="2:20" x14ac:dyDescent="0.3">
      <c r="B188" t="s">
        <v>1530</v>
      </c>
      <c r="S188" t="s">
        <v>1530</v>
      </c>
      <c r="T188" t="str">
        <f t="shared" si="2"/>
        <v>yoongeunoh@kr.kpmg.com; yungicho@kr.kpmg.com</v>
      </c>
    </row>
    <row r="189" spans="2:20" x14ac:dyDescent="0.3">
      <c r="B189" t="s">
        <v>1531</v>
      </c>
      <c r="S189" t="s">
        <v>1531</v>
      </c>
      <c r="T189" t="str">
        <f t="shared" si="2"/>
        <v>hochullee@kr.kpmg.com; mkim175@kr.kpmg.com</v>
      </c>
    </row>
    <row r="190" spans="2:20" x14ac:dyDescent="0.3">
      <c r="B190" t="s">
        <v>1532</v>
      </c>
      <c r="S190" t="s">
        <v>1532</v>
      </c>
      <c r="T190" t="str">
        <f t="shared" si="2"/>
        <v>tkim@kr.kpmg.com; mjang3@kr.kpmg.com</v>
      </c>
    </row>
    <row r="191" spans="2:20" x14ac:dyDescent="0.3">
      <c r="B191" t="s">
        <v>1533</v>
      </c>
      <c r="S191" t="s">
        <v>1533</v>
      </c>
      <c r="T191" t="str">
        <f t="shared" si="2"/>
        <v>seungheecho@kr.kpmg.com; tkim@kr.kpmg.com; jkim143@kr.kpmg.com; youngmokoo@kr.kpmg.com</v>
      </c>
    </row>
    <row r="192" spans="2:20" x14ac:dyDescent="0.3">
      <c r="B192" s="120" t="s">
        <v>1637</v>
      </c>
      <c r="S192" s="120" t="s">
        <v>1637</v>
      </c>
      <c r="T192" t="str">
        <f t="shared" si="2"/>
        <v>yeehyunchoi@kr.kpmg.com; yeontaekchoi@kr.kpmg.com; sungkyujung@kr.kpmg.com; jinhyeokwoo@kr.kpmg.com</v>
      </c>
    </row>
  </sheetData>
  <phoneticPr fontId="7" type="noConversion"/>
  <pageMargins left="0.7" right="0.7" top="0.75" bottom="0.75" header="0.3" footer="0.3"/>
  <customProperties>
    <customPr name="OrphanNamesChecked" r:id="rId1"/>
  </customPropertie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8F1D-6C0A-4DBC-9407-4ADEE51A59E0}">
  <sheetPr codeName="Sheet10"/>
  <dimension ref="B2:N150"/>
  <sheetViews>
    <sheetView workbookViewId="0"/>
  </sheetViews>
  <sheetFormatPr defaultRowHeight="16.5" x14ac:dyDescent="0.3"/>
  <sheetData>
    <row r="2" spans="2:14" x14ac:dyDescent="0.3">
      <c r="B2" s="104" t="s">
        <v>791</v>
      </c>
      <c r="F2" s="104" t="s">
        <v>153</v>
      </c>
      <c r="G2" s="104" t="s">
        <v>1801</v>
      </c>
      <c r="J2" t="str">
        <f>_xlfn.XLOOKUP(K2,G:G,F:F)</f>
        <v>정진우</v>
      </c>
      <c r="K2" s="104" t="s">
        <v>1801</v>
      </c>
      <c r="N2" t="str">
        <f>_xlfn.TEXTJOIN("; ",TRUE,$K$2:$K$123)</f>
        <v>jjung9@kr.kpmg.com; seongbeomlee@kr.kpmg.com; djung4@kr.kpmg.com; yosupgo@kr.kpmg.com; yeongkyunkim@kr.kpmg.com; jongseokyoun@kr.kpmg.com; kwangsulee@kr.kpmg.com; hyeongcheollee@kr.kpmg.com; jaekeunlee@kr.kpmg.com; jlee176@kr.kpmg.com; konkukkang@kr.kpmg.com; ckim12@kr.kpmg.com; seonghwanchoi@kr.kpmg.com; ykim47@kr.kpmg.com; ykim85@kr.kpmg.com; clee45@kr.kpmg.com; sboo@kr.kpmg.com; hocheolyang@kr.kpmg.com; mkang8@kr.kpmg.com; gyeongokim@kr.kpmg.com; taeseoblee@kr.kpmg.com; hyegyeongryu@kr.kpmg.com; yiranglim@kr.kpmg.com; slee89@kr.kpmg.com; ghyun@kr.kpmg.com; changilwon@kr.kpmg.com; youngjoojin@kr.kpmg.com; eunjeonghong@kr.kpmg.com; yanghoshin@kr.kpmg.com; kwangheecho@kr.kpmg.com; jinukjeong@kr.kpmg.com; hkim51@kr.kpmg.com; myoungjaejeon@kr.kpmg.com; skim127@kr.kpmg.com; jihyeongjang@kr.kpmg.com; yeonjoochoi@kr.kpmg.com; naehyeongkwon@kr.kpmg.com; jkim216@kr.kpmg.com; hyejungjung@kr.kpmg.com; byungyuljung@kr.kpmg.com; mcho5@kr.kpmg.com; yeongminlee@kr.kpmg.com; seungheonjeong@kr.kpmg.com; sujungna@kr.kpmg.com; jeongeunshin@kr.kpmg.com; jkim508@kr.kpmg.com; jongsukim@kr.kpmg.com; bohyunyoon@kr.kpmg.com; sangunlee@kr.kpmg.com; gbak@kr.kpmg.com; yongbeomlee@kr.kpmg.com; daeryukjeong@kr.kpmg.com; hoyoungshin@kr.kpmg.com; hyeongseokjeong@kr.kpmg.com; juwonpark@kr.kpmg.com; yongwookkim@kr.kpmg.com; jbak@kr.kpmg.com; wooseokheo@kr.kpmg.com; yhyeon@kr.kpmg.com; rbaek@kr.kpmg.com; yeonjuchu@kr.kpmg.com; jaehyunjeon@kr.kpmg.com; mkim63@kr.kpmg.com; wonjaekang@kr.kpmg.com; hyucksoonchoi@kr.kpmg.com; doyoungpark@kr.kpmg.com; hkim154@kr.kpmg.com; kichansung@kr.kpmg.com; jhwang4@kr.kpmg.com; heeseokseo@kr.kpmg.com; ylee67@kr.kpmg.com; jlee273@kr.kpmg.com; dkim240@kr.kpmg.com; mjeon1@kr.kpmg.com; jkim176@kr.kpmg.com; hkim131@kr.kpmg.com; jlee177@kr.kpmg.com; kwangsoocho@kr.kpmg.com; hyim@kr.kpmg.com; jaeminsim@kr.kpmg.com; dongyeokkim@kr.kpmg.com; slee336@kr.kpmg.com; gyeon@kr.kpmg.com; sukheehan@kr.kpmg.com; seungkikim@kr.kpmg.com; gahyunjang@kr.kpmg.com; kichankang@kr.kpmg.com; kwonjaelee@kr.kpmg.com; tkim50@kr.kpmg.com; doheunkim@kr.kpmg.com; dokyunglee@kr.kpmg.com; jinhyeokwoo@kr.kpmg.com; gyucheoloh@kr.kpmg.com; beomjinpark@kr.kpmg.com; spark72@kr.kpmg.com; seungjunkwak@kr.kpmg.com; jungohyoon@kr.kpmg.com; yooyounglee@kr.kpmg.com; jihoonchoo@kr.kpmg.com; cbae1@kr.kpmg.com; jchoi38@kr.kpmg.com; kiwoongkim@kr.kpmg.com; inwoohong@kr.kpmg.com; junhyunghong@kr.kpmg.com; jkim502@kr.kpmg.com; seulgibae@kr.kpmg.com; dasanyoun@kr.kpmg.com; ajungkim@kr.kpmg.com; jinjulee@kr.kpmg.com; joonggimin@kr.kpmg.com; minhyuckyoo@kr.kpmg.com; hyunjaeim@kr.kpmg.com; sangeonpark@kr.kpmg.com; taeyoonlee@kr.kpmg.com; gkwak@kr.kpmg.com; hkim238@kr.kpmg.com; mincheolyun@kr.kpmg.com; jkim181@kr.kpmg.com; jkim252@kr.kpmg.com; youngmokoo@kr.kpmg.com; mkim175@kr.kpmg.com; hkim51@kr.kpmg.com</v>
      </c>
    </row>
    <row r="3" spans="2:14" x14ac:dyDescent="0.3">
      <c r="B3" s="104" t="s">
        <v>1670</v>
      </c>
      <c r="F3" s="104" t="s">
        <v>1703</v>
      </c>
      <c r="G3" s="104" t="s">
        <v>1802</v>
      </c>
      <c r="J3" t="str">
        <f t="shared" ref="J3:J66" si="0">_xlfn.XLOOKUP(K3,G:G,F:F)</f>
        <v>이성범</v>
      </c>
      <c r="K3" s="104" t="s">
        <v>1802</v>
      </c>
    </row>
    <row r="4" spans="2:14" x14ac:dyDescent="0.3">
      <c r="B4" s="104" t="s">
        <v>796</v>
      </c>
      <c r="F4" s="104" t="s">
        <v>1704</v>
      </c>
      <c r="G4" s="104" t="s">
        <v>1803</v>
      </c>
      <c r="J4" t="str">
        <f t="shared" si="0"/>
        <v>정대주</v>
      </c>
      <c r="K4" s="104" t="s">
        <v>1803</v>
      </c>
    </row>
    <row r="5" spans="2:14" x14ac:dyDescent="0.3">
      <c r="B5" s="104" t="s">
        <v>799</v>
      </c>
      <c r="F5" s="104" t="s">
        <v>1705</v>
      </c>
      <c r="G5" s="104" t="s">
        <v>1804</v>
      </c>
      <c r="J5" t="str">
        <f t="shared" si="0"/>
        <v>고요섭</v>
      </c>
      <c r="K5" s="104" t="s">
        <v>1804</v>
      </c>
    </row>
    <row r="6" spans="2:14" x14ac:dyDescent="0.3">
      <c r="B6" s="104" t="s">
        <v>1691</v>
      </c>
      <c r="F6" s="104" t="s">
        <v>1690</v>
      </c>
      <c r="G6" s="123" t="s">
        <v>1923</v>
      </c>
      <c r="J6" t="str">
        <f t="shared" si="0"/>
        <v>김영균</v>
      </c>
      <c r="K6" s="104" t="s">
        <v>1923</v>
      </c>
    </row>
    <row r="7" spans="2:14" x14ac:dyDescent="0.3">
      <c r="B7" s="104" t="s">
        <v>804</v>
      </c>
      <c r="F7" s="104" t="s">
        <v>365</v>
      </c>
      <c r="G7" s="104" t="s">
        <v>1805</v>
      </c>
      <c r="J7" t="str">
        <f t="shared" si="0"/>
        <v>윤종석</v>
      </c>
      <c r="K7" s="104" t="s">
        <v>1805</v>
      </c>
    </row>
    <row r="8" spans="2:14" x14ac:dyDescent="0.3">
      <c r="B8" s="104" t="s">
        <v>810</v>
      </c>
      <c r="F8" s="104" t="s">
        <v>1706</v>
      </c>
      <c r="G8" s="104" t="s">
        <v>1806</v>
      </c>
      <c r="J8" t="str">
        <f t="shared" si="0"/>
        <v>이광수</v>
      </c>
      <c r="K8" s="104" t="s">
        <v>1806</v>
      </c>
    </row>
    <row r="9" spans="2:14" x14ac:dyDescent="0.3">
      <c r="B9" s="104" t="s">
        <v>813</v>
      </c>
      <c r="F9" s="104" t="s">
        <v>1707</v>
      </c>
      <c r="G9" s="104" t="s">
        <v>1807</v>
      </c>
      <c r="J9" t="str">
        <f t="shared" si="0"/>
        <v>이형철</v>
      </c>
      <c r="K9" s="104" t="s">
        <v>1807</v>
      </c>
    </row>
    <row r="10" spans="2:14" x14ac:dyDescent="0.3">
      <c r="B10" s="104" t="s">
        <v>1654</v>
      </c>
      <c r="F10" s="104" t="s">
        <v>1708</v>
      </c>
      <c r="G10" s="104" t="s">
        <v>1808</v>
      </c>
      <c r="J10" t="str">
        <f t="shared" si="0"/>
        <v>이재근</v>
      </c>
      <c r="K10" s="104" t="s">
        <v>1808</v>
      </c>
    </row>
    <row r="11" spans="2:14" x14ac:dyDescent="0.3">
      <c r="B11" s="104" t="s">
        <v>1696</v>
      </c>
      <c r="F11" s="104" t="s">
        <v>1709</v>
      </c>
      <c r="G11" s="104" t="s">
        <v>1809</v>
      </c>
      <c r="J11" t="str">
        <f t="shared" si="0"/>
        <v>이요셉</v>
      </c>
      <c r="K11" s="104" t="s">
        <v>1809</v>
      </c>
    </row>
    <row r="12" spans="2:14" x14ac:dyDescent="0.3">
      <c r="B12" s="104" t="s">
        <v>824</v>
      </c>
      <c r="F12" s="104" t="s">
        <v>142</v>
      </c>
      <c r="G12" s="104" t="s">
        <v>1810</v>
      </c>
      <c r="J12" t="str">
        <f t="shared" si="0"/>
        <v>강건국</v>
      </c>
      <c r="K12" s="104" t="s">
        <v>1810</v>
      </c>
    </row>
    <row r="13" spans="2:14" x14ac:dyDescent="0.3">
      <c r="B13" s="104" t="s">
        <v>827</v>
      </c>
      <c r="F13" s="104" t="s">
        <v>1710</v>
      </c>
      <c r="G13" s="104" t="s">
        <v>1811</v>
      </c>
      <c r="J13" t="str">
        <f t="shared" si="0"/>
        <v>김찬양</v>
      </c>
      <c r="K13" s="104" t="s">
        <v>1811</v>
      </c>
    </row>
    <row r="14" spans="2:14" x14ac:dyDescent="0.3">
      <c r="B14" s="104" t="s">
        <v>1667</v>
      </c>
      <c r="F14" s="104" t="s">
        <v>1711</v>
      </c>
      <c r="G14" s="104" t="s">
        <v>1812</v>
      </c>
      <c r="J14" t="str">
        <f t="shared" si="0"/>
        <v>최성환</v>
      </c>
      <c r="K14" s="104" t="s">
        <v>1812</v>
      </c>
    </row>
    <row r="15" spans="2:14" x14ac:dyDescent="0.3">
      <c r="B15" s="104" t="s">
        <v>832</v>
      </c>
      <c r="F15" s="104" t="s">
        <v>233</v>
      </c>
      <c r="G15" s="104" t="s">
        <v>1813</v>
      </c>
      <c r="J15" t="str">
        <f t="shared" si="0"/>
        <v>김영일</v>
      </c>
      <c r="K15" s="104" t="s">
        <v>1813</v>
      </c>
    </row>
    <row r="16" spans="2:14" x14ac:dyDescent="0.3">
      <c r="B16" s="104" t="s">
        <v>835</v>
      </c>
      <c r="F16" s="104" t="s">
        <v>194</v>
      </c>
      <c r="G16" s="104" t="s">
        <v>1814</v>
      </c>
      <c r="J16" t="str">
        <f t="shared" si="0"/>
        <v>김윤</v>
      </c>
      <c r="K16" s="104" t="s">
        <v>1814</v>
      </c>
    </row>
    <row r="17" spans="2:11" x14ac:dyDescent="0.3">
      <c r="B17" s="104" t="s">
        <v>1683</v>
      </c>
      <c r="F17" s="104" t="s">
        <v>210</v>
      </c>
      <c r="G17" s="104" t="s">
        <v>1815</v>
      </c>
      <c r="J17" t="str">
        <f t="shared" si="0"/>
        <v>이창우</v>
      </c>
      <c r="K17" s="104" t="s">
        <v>1815</v>
      </c>
    </row>
    <row r="18" spans="2:11" x14ac:dyDescent="0.3">
      <c r="B18" s="104" t="s">
        <v>1692</v>
      </c>
      <c r="F18" s="104" t="s">
        <v>1712</v>
      </c>
      <c r="G18" s="104" t="s">
        <v>1816</v>
      </c>
      <c r="J18" t="str">
        <f t="shared" si="0"/>
        <v>부성준</v>
      </c>
      <c r="K18" s="104" t="s">
        <v>1816</v>
      </c>
    </row>
    <row r="19" spans="2:11" x14ac:dyDescent="0.3">
      <c r="B19" s="104" t="s">
        <v>845</v>
      </c>
      <c r="F19" s="104" t="s">
        <v>1713</v>
      </c>
      <c r="G19" s="104" t="s">
        <v>1817</v>
      </c>
      <c r="J19" t="str">
        <f t="shared" si="0"/>
        <v>양호철</v>
      </c>
      <c r="K19" s="104" t="s">
        <v>1817</v>
      </c>
    </row>
    <row r="20" spans="2:11" x14ac:dyDescent="0.3">
      <c r="B20" s="104" t="s">
        <v>849</v>
      </c>
      <c r="F20" s="104" t="s">
        <v>1714</v>
      </c>
      <c r="G20" s="104" t="s">
        <v>1818</v>
      </c>
      <c r="J20" t="str">
        <f t="shared" si="0"/>
        <v>강민구</v>
      </c>
      <c r="K20" s="104" t="s">
        <v>1818</v>
      </c>
    </row>
    <row r="21" spans="2:11" x14ac:dyDescent="0.3">
      <c r="B21" s="104" t="s">
        <v>852</v>
      </c>
      <c r="F21" s="104" t="s">
        <v>344</v>
      </c>
      <c r="G21" s="104" t="s">
        <v>1819</v>
      </c>
      <c r="J21" t="str">
        <f t="shared" si="0"/>
        <v>김경오</v>
      </c>
      <c r="K21" s="104" t="s">
        <v>1819</v>
      </c>
    </row>
    <row r="22" spans="2:11" x14ac:dyDescent="0.3">
      <c r="B22" s="104" t="s">
        <v>855</v>
      </c>
      <c r="F22" s="104" t="s">
        <v>246</v>
      </c>
      <c r="G22" s="104" t="s">
        <v>1820</v>
      </c>
      <c r="J22" t="str">
        <f t="shared" si="0"/>
        <v>이태섭</v>
      </c>
      <c r="K22" s="104" t="s">
        <v>1820</v>
      </c>
    </row>
    <row r="23" spans="2:11" x14ac:dyDescent="0.3">
      <c r="B23" s="104" t="s">
        <v>860</v>
      </c>
      <c r="F23" s="104" t="s">
        <v>1715</v>
      </c>
      <c r="G23" s="104" t="s">
        <v>1821</v>
      </c>
      <c r="J23" t="str">
        <f t="shared" si="0"/>
        <v>유혜경</v>
      </c>
      <c r="K23" s="104" t="s">
        <v>1821</v>
      </c>
    </row>
    <row r="24" spans="2:11" x14ac:dyDescent="0.3">
      <c r="B24" s="104" t="s">
        <v>1693</v>
      </c>
      <c r="F24" s="104" t="s">
        <v>1716</v>
      </c>
      <c r="G24" s="104" t="s">
        <v>1822</v>
      </c>
      <c r="J24" t="str">
        <f t="shared" si="0"/>
        <v>임이랑</v>
      </c>
      <c r="K24" s="104" t="s">
        <v>1822</v>
      </c>
    </row>
    <row r="25" spans="2:11" x14ac:dyDescent="0.3">
      <c r="B25" s="104" t="s">
        <v>1668</v>
      </c>
      <c r="F25" s="104" t="s">
        <v>1717</v>
      </c>
      <c r="G25" s="104" t="s">
        <v>1823</v>
      </c>
      <c r="J25" t="str">
        <f t="shared" si="0"/>
        <v>이승준</v>
      </c>
      <c r="K25" s="104" t="s">
        <v>1823</v>
      </c>
    </row>
    <row r="26" spans="2:11" x14ac:dyDescent="0.3">
      <c r="B26" s="104" t="s">
        <v>1174</v>
      </c>
      <c r="F26" s="104" t="s">
        <v>1718</v>
      </c>
      <c r="G26" s="104" t="s">
        <v>1824</v>
      </c>
      <c r="J26" t="str">
        <f t="shared" si="0"/>
        <v>현건재</v>
      </c>
      <c r="K26" s="104" t="s">
        <v>1824</v>
      </c>
    </row>
    <row r="27" spans="2:11" x14ac:dyDescent="0.3">
      <c r="B27" s="104" t="s">
        <v>869</v>
      </c>
      <c r="F27" s="104" t="s">
        <v>1719</v>
      </c>
      <c r="G27" s="104" t="s">
        <v>1825</v>
      </c>
      <c r="J27" t="str">
        <f t="shared" si="0"/>
        <v>원창일</v>
      </c>
      <c r="K27" s="104" t="s">
        <v>1825</v>
      </c>
    </row>
    <row r="28" spans="2:11" x14ac:dyDescent="0.3">
      <c r="B28" s="104" t="s">
        <v>1655</v>
      </c>
      <c r="F28" s="104" t="s">
        <v>1720</v>
      </c>
      <c r="G28" s="104" t="s">
        <v>1826</v>
      </c>
      <c r="J28" t="str">
        <f t="shared" si="0"/>
        <v>진영주</v>
      </c>
      <c r="K28" s="104" t="s">
        <v>1826</v>
      </c>
    </row>
    <row r="29" spans="2:11" x14ac:dyDescent="0.3">
      <c r="B29" s="104" t="s">
        <v>874</v>
      </c>
      <c r="F29" s="104" t="s">
        <v>1721</v>
      </c>
      <c r="G29" s="104" t="s">
        <v>1827</v>
      </c>
      <c r="J29" t="str">
        <f t="shared" si="0"/>
        <v>홍은정</v>
      </c>
      <c r="K29" s="104" t="s">
        <v>1827</v>
      </c>
    </row>
    <row r="30" spans="2:11" x14ac:dyDescent="0.3">
      <c r="B30" s="104" t="s">
        <v>1268</v>
      </c>
      <c r="F30" s="104" t="s">
        <v>73</v>
      </c>
      <c r="G30" s="104" t="s">
        <v>1828</v>
      </c>
      <c r="J30" t="str">
        <f t="shared" si="0"/>
        <v>신양호</v>
      </c>
      <c r="K30" s="104" t="s">
        <v>1828</v>
      </c>
    </row>
    <row r="31" spans="2:11" x14ac:dyDescent="0.3">
      <c r="B31" s="104" t="s">
        <v>1684</v>
      </c>
      <c r="F31" s="104" t="s">
        <v>1722</v>
      </c>
      <c r="G31" s="104" t="s">
        <v>1829</v>
      </c>
      <c r="J31" t="str">
        <f t="shared" si="0"/>
        <v>조강희</v>
      </c>
      <c r="K31" s="104" t="s">
        <v>1829</v>
      </c>
    </row>
    <row r="32" spans="2:11" x14ac:dyDescent="0.3">
      <c r="B32" s="104" t="s">
        <v>1697</v>
      </c>
      <c r="F32" s="104" t="s">
        <v>1723</v>
      </c>
      <c r="G32" s="104" t="s">
        <v>1830</v>
      </c>
      <c r="J32" t="str">
        <f t="shared" si="0"/>
        <v>정진욱</v>
      </c>
      <c r="K32" s="104" t="s">
        <v>1830</v>
      </c>
    </row>
    <row r="33" spans="2:11" x14ac:dyDescent="0.3">
      <c r="B33" s="104" t="s">
        <v>879</v>
      </c>
      <c r="F33" s="104" t="s">
        <v>331</v>
      </c>
      <c r="G33" s="104" t="s">
        <v>1831</v>
      </c>
      <c r="J33" t="str">
        <f t="shared" si="0"/>
        <v>김현기</v>
      </c>
      <c r="K33" s="104" t="s">
        <v>1831</v>
      </c>
    </row>
    <row r="34" spans="2:11" x14ac:dyDescent="0.3">
      <c r="B34" s="104" t="s">
        <v>882</v>
      </c>
      <c r="F34" s="104" t="s">
        <v>1724</v>
      </c>
      <c r="G34" s="104" t="s">
        <v>1832</v>
      </c>
      <c r="J34" t="str">
        <f t="shared" si="0"/>
        <v>전명재</v>
      </c>
      <c r="K34" s="104" t="s">
        <v>1832</v>
      </c>
    </row>
    <row r="35" spans="2:11" x14ac:dyDescent="0.3">
      <c r="B35" s="104" t="s">
        <v>885</v>
      </c>
      <c r="F35" s="104" t="s">
        <v>1725</v>
      </c>
      <c r="G35" s="104" t="s">
        <v>1833</v>
      </c>
      <c r="J35" t="str">
        <f t="shared" si="0"/>
        <v>김성동</v>
      </c>
      <c r="K35" s="104" t="s">
        <v>1833</v>
      </c>
    </row>
    <row r="36" spans="2:11" x14ac:dyDescent="0.3">
      <c r="B36" s="104" t="s">
        <v>1698</v>
      </c>
      <c r="F36" s="104" t="s">
        <v>1726</v>
      </c>
      <c r="G36" s="104" t="s">
        <v>1834</v>
      </c>
      <c r="J36" t="str">
        <f t="shared" si="0"/>
        <v>장지형</v>
      </c>
      <c r="K36" s="104" t="s">
        <v>1834</v>
      </c>
    </row>
    <row r="37" spans="2:11" x14ac:dyDescent="0.3">
      <c r="B37" s="104" t="s">
        <v>889</v>
      </c>
      <c r="F37" s="104" t="s">
        <v>320</v>
      </c>
      <c r="G37" s="104" t="s">
        <v>1835</v>
      </c>
      <c r="J37" t="str">
        <f t="shared" si="0"/>
        <v>최연주</v>
      </c>
      <c r="K37" s="104" t="s">
        <v>1835</v>
      </c>
    </row>
    <row r="38" spans="2:11" x14ac:dyDescent="0.3">
      <c r="B38" s="104" t="s">
        <v>891</v>
      </c>
      <c r="F38" s="104" t="s">
        <v>1727</v>
      </c>
      <c r="G38" s="104" t="s">
        <v>1836</v>
      </c>
      <c r="J38" t="str">
        <f t="shared" si="0"/>
        <v>권내형</v>
      </c>
      <c r="K38" s="104" t="s">
        <v>1836</v>
      </c>
    </row>
    <row r="39" spans="2:11" x14ac:dyDescent="0.3">
      <c r="B39" s="104" t="s">
        <v>895</v>
      </c>
      <c r="F39" s="104" t="s">
        <v>1728</v>
      </c>
      <c r="G39" s="104" t="s">
        <v>1837</v>
      </c>
      <c r="J39" t="str">
        <f t="shared" si="0"/>
        <v>김정현</v>
      </c>
      <c r="K39" s="104" t="s">
        <v>1837</v>
      </c>
    </row>
    <row r="40" spans="2:11" x14ac:dyDescent="0.3">
      <c r="B40" s="104" t="s">
        <v>1648</v>
      </c>
      <c r="F40" s="104" t="s">
        <v>1647</v>
      </c>
      <c r="G40" s="104" t="s">
        <v>1838</v>
      </c>
      <c r="J40" t="str">
        <f t="shared" si="0"/>
        <v>정혜정</v>
      </c>
      <c r="K40" s="104" t="s">
        <v>1838</v>
      </c>
    </row>
    <row r="41" spans="2:11" x14ac:dyDescent="0.3">
      <c r="B41" s="104" t="s">
        <v>920</v>
      </c>
      <c r="F41" s="104" t="s">
        <v>372</v>
      </c>
      <c r="G41" s="104" t="s">
        <v>1839</v>
      </c>
      <c r="J41" t="str">
        <f t="shared" si="0"/>
        <v>정병열</v>
      </c>
      <c r="K41" s="104" t="s">
        <v>1839</v>
      </c>
    </row>
    <row r="42" spans="2:11" x14ac:dyDescent="0.3">
      <c r="B42" s="104" t="s">
        <v>906</v>
      </c>
      <c r="F42" s="104" t="s">
        <v>1729</v>
      </c>
      <c r="G42" s="104" t="s">
        <v>1840</v>
      </c>
      <c r="J42" t="str">
        <f t="shared" si="0"/>
        <v>조민곤</v>
      </c>
      <c r="K42" s="104" t="s">
        <v>1840</v>
      </c>
    </row>
    <row r="43" spans="2:11" x14ac:dyDescent="0.3">
      <c r="B43" s="104" t="s">
        <v>1656</v>
      </c>
      <c r="F43" s="104" t="s">
        <v>1730</v>
      </c>
      <c r="G43" s="104" t="s">
        <v>1841</v>
      </c>
      <c r="J43" t="str">
        <f t="shared" si="0"/>
        <v>이영민</v>
      </c>
      <c r="K43" s="104" t="s">
        <v>1841</v>
      </c>
    </row>
    <row r="44" spans="2:11" x14ac:dyDescent="0.3">
      <c r="B44" s="104" t="s">
        <v>1685</v>
      </c>
      <c r="F44" s="104" t="s">
        <v>1731</v>
      </c>
      <c r="G44" s="104" t="s">
        <v>1842</v>
      </c>
      <c r="J44" t="str">
        <f t="shared" si="0"/>
        <v>정승헌</v>
      </c>
      <c r="K44" s="104" t="s">
        <v>1842</v>
      </c>
    </row>
    <row r="45" spans="2:11" x14ac:dyDescent="0.3">
      <c r="B45" s="104" t="s">
        <v>912</v>
      </c>
      <c r="F45" s="104" t="s">
        <v>1732</v>
      </c>
      <c r="G45" s="104" t="s">
        <v>1843</v>
      </c>
      <c r="J45" t="str">
        <f t="shared" si="0"/>
        <v>나수정</v>
      </c>
      <c r="K45" s="104" t="s">
        <v>1843</v>
      </c>
    </row>
    <row r="46" spans="2:11" x14ac:dyDescent="0.3">
      <c r="B46" s="104" t="s">
        <v>920</v>
      </c>
      <c r="F46" s="104" t="s">
        <v>372</v>
      </c>
      <c r="G46" s="104" t="s">
        <v>1839</v>
      </c>
      <c r="J46" t="str">
        <f t="shared" si="0"/>
        <v>신정은</v>
      </c>
      <c r="K46" s="104" t="s">
        <v>1844</v>
      </c>
    </row>
    <row r="47" spans="2:11" x14ac:dyDescent="0.3">
      <c r="B47" s="104" t="s">
        <v>923</v>
      </c>
      <c r="F47" s="104" t="s">
        <v>1733</v>
      </c>
      <c r="G47" s="104" t="s">
        <v>1844</v>
      </c>
      <c r="J47" t="str">
        <f t="shared" si="0"/>
        <v>김재현</v>
      </c>
      <c r="K47" s="104" t="s">
        <v>1845</v>
      </c>
    </row>
    <row r="48" spans="2:11" x14ac:dyDescent="0.3">
      <c r="B48" s="104" t="s">
        <v>1224</v>
      </c>
      <c r="F48" s="104" t="s">
        <v>1734</v>
      </c>
      <c r="G48" s="104" t="s">
        <v>1845</v>
      </c>
      <c r="J48" t="str">
        <f t="shared" si="0"/>
        <v>김종수</v>
      </c>
      <c r="K48" s="104" t="s">
        <v>1846</v>
      </c>
    </row>
    <row r="49" spans="2:11" x14ac:dyDescent="0.3">
      <c r="B49" s="104" t="s">
        <v>1657</v>
      </c>
      <c r="F49" s="104" t="s">
        <v>278</v>
      </c>
      <c r="G49" s="104" t="s">
        <v>1846</v>
      </c>
      <c r="J49" t="str">
        <f t="shared" si="0"/>
        <v>윤보현</v>
      </c>
      <c r="K49" s="104" t="s">
        <v>1847</v>
      </c>
    </row>
    <row r="50" spans="2:11" x14ac:dyDescent="0.3">
      <c r="B50" s="104" t="s">
        <v>930</v>
      </c>
      <c r="F50" s="104" t="s">
        <v>1735</v>
      </c>
      <c r="G50" s="104" t="s">
        <v>1847</v>
      </c>
      <c r="J50" t="str">
        <f t="shared" si="0"/>
        <v>이상은</v>
      </c>
      <c r="K50" s="104" t="s">
        <v>1848</v>
      </c>
    </row>
    <row r="51" spans="2:11" x14ac:dyDescent="0.3">
      <c r="B51" s="104" t="s">
        <v>1650</v>
      </c>
      <c r="F51" s="104" t="s">
        <v>1649</v>
      </c>
      <c r="G51" s="104" t="s">
        <v>1848</v>
      </c>
      <c r="J51" t="str">
        <f t="shared" si="0"/>
        <v>박광량</v>
      </c>
      <c r="K51" s="104" t="s">
        <v>1849</v>
      </c>
    </row>
    <row r="52" spans="2:11" x14ac:dyDescent="0.3">
      <c r="B52" s="104" t="s">
        <v>936</v>
      </c>
      <c r="F52" s="104" t="s">
        <v>1736</v>
      </c>
      <c r="G52" s="104" t="s">
        <v>1849</v>
      </c>
      <c r="J52" t="str">
        <f t="shared" si="0"/>
        <v>이용범</v>
      </c>
      <c r="K52" s="104" t="s">
        <v>1850</v>
      </c>
    </row>
    <row r="53" spans="2:11" x14ac:dyDescent="0.3">
      <c r="B53" s="104" t="s">
        <v>938</v>
      </c>
      <c r="F53" s="104" t="s">
        <v>1737</v>
      </c>
      <c r="G53" s="104" t="s">
        <v>1850</v>
      </c>
      <c r="J53" t="str">
        <f t="shared" si="0"/>
        <v>정대륙</v>
      </c>
      <c r="K53" s="104" t="s">
        <v>1851</v>
      </c>
    </row>
    <row r="54" spans="2:11" x14ac:dyDescent="0.3">
      <c r="B54" s="104" t="s">
        <v>947</v>
      </c>
      <c r="F54" s="104" t="s">
        <v>1738</v>
      </c>
      <c r="G54" s="104" t="s">
        <v>1851</v>
      </c>
      <c r="J54" t="str">
        <f t="shared" si="0"/>
        <v>신호영</v>
      </c>
      <c r="K54" s="104" t="s">
        <v>1852</v>
      </c>
    </row>
    <row r="55" spans="2:11" x14ac:dyDescent="0.3">
      <c r="B55" s="104" t="s">
        <v>950</v>
      </c>
      <c r="F55" s="104" t="s">
        <v>1739</v>
      </c>
      <c r="G55" s="104" t="s">
        <v>1852</v>
      </c>
      <c r="J55" t="str">
        <f t="shared" si="0"/>
        <v>정형석</v>
      </c>
      <c r="K55" s="104" t="s">
        <v>1853</v>
      </c>
    </row>
    <row r="56" spans="2:11" x14ac:dyDescent="0.3">
      <c r="B56" s="104" t="s">
        <v>1699</v>
      </c>
      <c r="F56" s="104" t="s">
        <v>73</v>
      </c>
      <c r="G56" s="104" t="s">
        <v>1828</v>
      </c>
      <c r="J56" t="str">
        <f t="shared" si="0"/>
        <v>박주원</v>
      </c>
      <c r="K56" s="104" t="s">
        <v>1854</v>
      </c>
    </row>
    <row r="57" spans="2:11" x14ac:dyDescent="0.3">
      <c r="B57" s="104" t="s">
        <v>1677</v>
      </c>
      <c r="F57" s="104" t="s">
        <v>1740</v>
      </c>
      <c r="G57" s="104" t="s">
        <v>1853</v>
      </c>
      <c r="J57" t="str">
        <f t="shared" si="0"/>
        <v>김용욱</v>
      </c>
      <c r="K57" s="104" t="s">
        <v>1855</v>
      </c>
    </row>
    <row r="58" spans="2:11" x14ac:dyDescent="0.3">
      <c r="B58" s="104" t="s">
        <v>1700</v>
      </c>
      <c r="F58" s="104" t="s">
        <v>1741</v>
      </c>
      <c r="G58" s="104" t="s">
        <v>1854</v>
      </c>
      <c r="J58" t="str">
        <f t="shared" si="0"/>
        <v>박재현</v>
      </c>
      <c r="K58" s="104" t="s">
        <v>1856</v>
      </c>
    </row>
    <row r="59" spans="2:11" x14ac:dyDescent="0.3">
      <c r="B59" s="104" t="s">
        <v>966</v>
      </c>
      <c r="F59" s="104" t="s">
        <v>1742</v>
      </c>
      <c r="G59" s="104" t="s">
        <v>1855</v>
      </c>
      <c r="J59" t="str">
        <f t="shared" si="0"/>
        <v>허우석</v>
      </c>
      <c r="K59" s="104" t="s">
        <v>1857</v>
      </c>
    </row>
    <row r="60" spans="2:11" x14ac:dyDescent="0.3">
      <c r="B60" s="104" t="s">
        <v>969</v>
      </c>
      <c r="F60" s="104" t="s">
        <v>1743</v>
      </c>
      <c r="G60" s="104" t="s">
        <v>1856</v>
      </c>
      <c r="J60" t="str">
        <f t="shared" si="0"/>
        <v>현예슬</v>
      </c>
      <c r="K60" s="104" t="s">
        <v>1858</v>
      </c>
    </row>
    <row r="61" spans="2:11" x14ac:dyDescent="0.3">
      <c r="B61" s="104" t="s">
        <v>975</v>
      </c>
      <c r="F61" s="104" t="s">
        <v>1744</v>
      </c>
      <c r="G61" s="104" t="s">
        <v>1857</v>
      </c>
      <c r="J61" t="str">
        <f t="shared" si="0"/>
        <v>백록담</v>
      </c>
      <c r="K61" s="104" t="s">
        <v>1859</v>
      </c>
    </row>
    <row r="62" spans="2:11" x14ac:dyDescent="0.3">
      <c r="B62" s="104" t="s">
        <v>1676</v>
      </c>
      <c r="F62" s="104" t="s">
        <v>1745</v>
      </c>
      <c r="G62" s="104" t="s">
        <v>1858</v>
      </c>
      <c r="J62" t="str">
        <f t="shared" si="0"/>
        <v>추연주</v>
      </c>
      <c r="K62" s="104" t="s">
        <v>1860</v>
      </c>
    </row>
    <row r="63" spans="2:11" x14ac:dyDescent="0.3">
      <c r="B63" s="104" t="s">
        <v>1701</v>
      </c>
      <c r="F63" s="104" t="s">
        <v>1746</v>
      </c>
      <c r="G63" s="104" t="s">
        <v>1859</v>
      </c>
      <c r="J63" t="str">
        <f t="shared" si="0"/>
        <v>전재현</v>
      </c>
      <c r="K63" s="104" t="s">
        <v>1861</v>
      </c>
    </row>
    <row r="64" spans="2:11" x14ac:dyDescent="0.3">
      <c r="B64" s="104" t="s">
        <v>982</v>
      </c>
      <c r="F64" s="104" t="s">
        <v>1747</v>
      </c>
      <c r="G64" s="104" t="s">
        <v>1860</v>
      </c>
      <c r="J64" t="str">
        <f t="shared" si="0"/>
        <v>김민규</v>
      </c>
      <c r="K64" s="104" t="s">
        <v>1862</v>
      </c>
    </row>
    <row r="65" spans="2:11" x14ac:dyDescent="0.3">
      <c r="B65" s="104" t="s">
        <v>987</v>
      </c>
      <c r="F65" s="104" t="s">
        <v>1748</v>
      </c>
      <c r="G65" s="104" t="s">
        <v>1861</v>
      </c>
      <c r="J65" t="str">
        <f t="shared" si="0"/>
        <v>강원재</v>
      </c>
      <c r="K65" s="104" t="s">
        <v>1863</v>
      </c>
    </row>
    <row r="66" spans="2:11" x14ac:dyDescent="0.3">
      <c r="B66" s="104" t="s">
        <v>1686</v>
      </c>
      <c r="F66" s="104" t="s">
        <v>1749</v>
      </c>
      <c r="G66" s="104" t="s">
        <v>1862</v>
      </c>
      <c r="J66" t="str">
        <f t="shared" si="0"/>
        <v>최혁순</v>
      </c>
      <c r="K66" s="104" t="s">
        <v>1864</v>
      </c>
    </row>
    <row r="67" spans="2:11" x14ac:dyDescent="0.3">
      <c r="B67" s="104" t="s">
        <v>999</v>
      </c>
      <c r="F67" s="104" t="s">
        <v>1750</v>
      </c>
      <c r="G67" s="104" t="s">
        <v>1863</v>
      </c>
      <c r="J67" t="str">
        <f t="shared" ref="J67:J121" si="1">_xlfn.XLOOKUP(K67,G:G,F:F)</f>
        <v>박도영</v>
      </c>
      <c r="K67" s="104" t="s">
        <v>1865</v>
      </c>
    </row>
    <row r="68" spans="2:11" x14ac:dyDescent="0.3">
      <c r="B68" s="104" t="s">
        <v>1002</v>
      </c>
      <c r="F68" s="104" t="s">
        <v>1751</v>
      </c>
      <c r="G68" s="104" t="s">
        <v>1864</v>
      </c>
      <c r="J68" t="str">
        <f t="shared" si="1"/>
        <v>김현우</v>
      </c>
      <c r="K68" s="104" t="s">
        <v>1866</v>
      </c>
    </row>
    <row r="69" spans="2:11" x14ac:dyDescent="0.3">
      <c r="B69" s="104" t="s">
        <v>1702</v>
      </c>
      <c r="F69" s="104" t="s">
        <v>1752</v>
      </c>
      <c r="G69" s="104" t="s">
        <v>1865</v>
      </c>
      <c r="J69" t="str">
        <f t="shared" si="1"/>
        <v>성기찬</v>
      </c>
      <c r="K69" s="104" t="s">
        <v>1867</v>
      </c>
    </row>
    <row r="70" spans="2:11" x14ac:dyDescent="0.3">
      <c r="B70" s="104" t="s">
        <v>971</v>
      </c>
      <c r="F70" s="104" t="s">
        <v>1753</v>
      </c>
      <c r="G70" s="104" t="s">
        <v>1866</v>
      </c>
      <c r="J70" t="str">
        <f t="shared" si="1"/>
        <v>황지영</v>
      </c>
      <c r="K70" s="104" t="s">
        <v>1868</v>
      </c>
    </row>
    <row r="71" spans="2:11" x14ac:dyDescent="0.3">
      <c r="B71" s="104" t="s">
        <v>1687</v>
      </c>
      <c r="F71" s="104" t="s">
        <v>270</v>
      </c>
      <c r="G71" s="104" t="s">
        <v>1867</v>
      </c>
      <c r="J71" t="str">
        <f t="shared" si="1"/>
        <v>서희석</v>
      </c>
      <c r="K71" s="104" t="s">
        <v>1869</v>
      </c>
    </row>
    <row r="72" spans="2:11" x14ac:dyDescent="0.3">
      <c r="B72" s="104" t="s">
        <v>1011</v>
      </c>
      <c r="F72" s="104" t="s">
        <v>1754</v>
      </c>
      <c r="G72" s="104" t="s">
        <v>1868</v>
      </c>
      <c r="J72" t="str">
        <f t="shared" si="1"/>
        <v>이영재</v>
      </c>
      <c r="K72" s="104" t="s">
        <v>1870</v>
      </c>
    </row>
    <row r="73" spans="2:11" x14ac:dyDescent="0.3">
      <c r="B73" s="104" t="s">
        <v>1672</v>
      </c>
      <c r="F73" s="104" t="s">
        <v>1671</v>
      </c>
      <c r="G73" s="104" t="s">
        <v>1869</v>
      </c>
      <c r="J73" t="str">
        <f t="shared" si="1"/>
        <v>이종현</v>
      </c>
      <c r="K73" s="104" t="s">
        <v>1871</v>
      </c>
    </row>
    <row r="74" spans="2:11" x14ac:dyDescent="0.3">
      <c r="B74" s="104" t="s">
        <v>1020</v>
      </c>
      <c r="F74" s="104" t="s">
        <v>1755</v>
      </c>
      <c r="G74" s="104" t="s">
        <v>1870</v>
      </c>
      <c r="J74" t="str">
        <f t="shared" si="1"/>
        <v>김도희</v>
      </c>
      <c r="K74" s="104" t="s">
        <v>1872</v>
      </c>
    </row>
    <row r="75" spans="2:11" x14ac:dyDescent="0.3">
      <c r="B75" s="104" t="s">
        <v>1292</v>
      </c>
      <c r="F75" s="104" t="s">
        <v>432</v>
      </c>
      <c r="G75" s="104" t="s">
        <v>1871</v>
      </c>
      <c r="J75" t="str">
        <f t="shared" si="1"/>
        <v>전민구</v>
      </c>
      <c r="K75" s="104" t="s">
        <v>1873</v>
      </c>
    </row>
    <row r="76" spans="2:11" x14ac:dyDescent="0.3">
      <c r="B76" s="104" t="s">
        <v>982</v>
      </c>
      <c r="F76" s="104" t="s">
        <v>1747</v>
      </c>
      <c r="G76" s="104" t="s">
        <v>1860</v>
      </c>
      <c r="J76" t="str">
        <f t="shared" si="1"/>
        <v>김지영</v>
      </c>
      <c r="K76" s="104" t="s">
        <v>1874</v>
      </c>
    </row>
    <row r="77" spans="2:11" x14ac:dyDescent="0.3">
      <c r="B77" s="104" t="s">
        <v>1033</v>
      </c>
      <c r="F77" s="104" t="s">
        <v>1756</v>
      </c>
      <c r="G77" s="104" t="s">
        <v>1872</v>
      </c>
      <c r="J77" t="str">
        <f t="shared" si="1"/>
        <v>김혜원</v>
      </c>
      <c r="K77" t="s">
        <v>1924</v>
      </c>
    </row>
    <row r="78" spans="2:11" x14ac:dyDescent="0.3">
      <c r="B78" s="104" t="s">
        <v>1673</v>
      </c>
      <c r="F78" s="104" t="s">
        <v>1757</v>
      </c>
      <c r="G78" s="104" t="s">
        <v>1873</v>
      </c>
      <c r="J78" t="str">
        <f t="shared" si="1"/>
        <v>이재성</v>
      </c>
      <c r="K78" s="104" t="s">
        <v>1875</v>
      </c>
    </row>
    <row r="79" spans="2:11" x14ac:dyDescent="0.3">
      <c r="B79" s="104" t="s">
        <v>1700</v>
      </c>
      <c r="F79" s="104" t="s">
        <v>1741</v>
      </c>
      <c r="G79" s="104" t="s">
        <v>1854</v>
      </c>
      <c r="J79" t="str">
        <f t="shared" si="1"/>
        <v>조광수</v>
      </c>
      <c r="K79" s="104" t="s">
        <v>1876</v>
      </c>
    </row>
    <row r="80" spans="2:11" x14ac:dyDescent="0.3">
      <c r="B80" s="104" t="s">
        <v>1679</v>
      </c>
      <c r="F80" s="104" t="s">
        <v>1678</v>
      </c>
      <c r="G80" s="104" t="s">
        <v>1874</v>
      </c>
      <c r="J80" t="str">
        <f t="shared" si="1"/>
        <v>임혁순</v>
      </c>
      <c r="K80" s="104" t="s">
        <v>1877</v>
      </c>
    </row>
    <row r="81" spans="2:11" x14ac:dyDescent="0.3">
      <c r="B81" s="104" t="s">
        <v>1653</v>
      </c>
      <c r="F81" s="104" t="s">
        <v>1758</v>
      </c>
      <c r="G81" s="123" t="s">
        <v>1924</v>
      </c>
      <c r="J81" t="str">
        <f t="shared" si="1"/>
        <v>심재민</v>
      </c>
      <c r="K81" s="104" t="s">
        <v>1878</v>
      </c>
    </row>
    <row r="82" spans="2:11" x14ac:dyDescent="0.3">
      <c r="B82" s="104" t="s">
        <v>966</v>
      </c>
      <c r="F82" s="104" t="s">
        <v>1742</v>
      </c>
      <c r="G82" s="104" t="s">
        <v>1855</v>
      </c>
      <c r="J82" t="str">
        <f t="shared" si="1"/>
        <v>김동역</v>
      </c>
      <c r="K82" s="104" t="s">
        <v>1879</v>
      </c>
    </row>
    <row r="83" spans="2:11" x14ac:dyDescent="0.3">
      <c r="B83" s="104" t="s">
        <v>1059</v>
      </c>
      <c r="F83" s="104" t="s">
        <v>254</v>
      </c>
      <c r="G83" s="104" t="s">
        <v>1875</v>
      </c>
      <c r="J83" t="str">
        <f t="shared" si="1"/>
        <v>이승훈</v>
      </c>
      <c r="K83" s="104" t="s">
        <v>1880</v>
      </c>
    </row>
    <row r="84" spans="2:11" x14ac:dyDescent="0.3">
      <c r="B84" s="104" t="s">
        <v>1674</v>
      </c>
      <c r="F84" s="104" t="s">
        <v>1759</v>
      </c>
      <c r="G84" s="104" t="s">
        <v>1876</v>
      </c>
      <c r="J84" t="str">
        <f t="shared" si="1"/>
        <v>연규진</v>
      </c>
      <c r="K84" s="104" t="s">
        <v>1881</v>
      </c>
    </row>
    <row r="85" spans="2:11" x14ac:dyDescent="0.3">
      <c r="B85" s="104" t="s">
        <v>1065</v>
      </c>
      <c r="F85" s="104" t="s">
        <v>227</v>
      </c>
      <c r="G85" s="104" t="s">
        <v>1877</v>
      </c>
      <c r="J85" t="str">
        <f t="shared" si="1"/>
        <v>한석희</v>
      </c>
      <c r="K85" s="104" t="s">
        <v>1882</v>
      </c>
    </row>
    <row r="86" spans="2:11" x14ac:dyDescent="0.3">
      <c r="B86" s="104" t="s">
        <v>1688</v>
      </c>
      <c r="F86" s="104" t="s">
        <v>1760</v>
      </c>
      <c r="G86" s="104" t="s">
        <v>1878</v>
      </c>
      <c r="J86" t="str">
        <f t="shared" si="1"/>
        <v>김승기</v>
      </c>
      <c r="K86" s="104" t="s">
        <v>1883</v>
      </c>
    </row>
    <row r="87" spans="2:11" x14ac:dyDescent="0.3">
      <c r="B87" s="104" t="s">
        <v>1660</v>
      </c>
      <c r="F87" s="104" t="s">
        <v>1761</v>
      </c>
      <c r="G87" s="104" t="s">
        <v>1879</v>
      </c>
      <c r="J87" t="str">
        <f t="shared" si="1"/>
        <v>장가현</v>
      </c>
      <c r="K87" s="104" t="s">
        <v>1884</v>
      </c>
    </row>
    <row r="88" spans="2:11" x14ac:dyDescent="0.3">
      <c r="B88" s="104" t="s">
        <v>1661</v>
      </c>
      <c r="F88" s="104" t="s">
        <v>1762</v>
      </c>
      <c r="G88" s="104" t="s">
        <v>1880</v>
      </c>
      <c r="J88" t="str">
        <f t="shared" si="1"/>
        <v>강기찬</v>
      </c>
      <c r="K88" s="104" t="s">
        <v>1885</v>
      </c>
    </row>
    <row r="89" spans="2:11" x14ac:dyDescent="0.3">
      <c r="B89" s="104" t="s">
        <v>1075</v>
      </c>
      <c r="F89" s="104" t="s">
        <v>1763</v>
      </c>
      <c r="G89" s="104" t="s">
        <v>1881</v>
      </c>
      <c r="J89" t="str">
        <f t="shared" si="1"/>
        <v>이권재</v>
      </c>
      <c r="K89" s="104" t="s">
        <v>1886</v>
      </c>
    </row>
    <row r="90" spans="2:11" x14ac:dyDescent="0.3">
      <c r="B90" s="104" t="s">
        <v>1078</v>
      </c>
      <c r="F90" s="104" t="s">
        <v>1764</v>
      </c>
      <c r="G90" s="104" t="s">
        <v>1882</v>
      </c>
      <c r="J90" t="str">
        <f t="shared" si="1"/>
        <v>김태진</v>
      </c>
      <c r="K90" s="104" t="s">
        <v>1887</v>
      </c>
    </row>
    <row r="91" spans="2:11" x14ac:dyDescent="0.3">
      <c r="B91" s="104" t="s">
        <v>1662</v>
      </c>
      <c r="F91" s="104" t="s">
        <v>1765</v>
      </c>
      <c r="G91" s="104" t="s">
        <v>1883</v>
      </c>
      <c r="J91" t="str">
        <f t="shared" si="1"/>
        <v>김도흔</v>
      </c>
      <c r="K91" s="104" t="s">
        <v>1888</v>
      </c>
    </row>
    <row r="92" spans="2:11" x14ac:dyDescent="0.3">
      <c r="B92" s="104" t="s">
        <v>1688</v>
      </c>
      <c r="F92" s="104" t="s">
        <v>1760</v>
      </c>
      <c r="G92" s="104" t="s">
        <v>1878</v>
      </c>
      <c r="J92" t="str">
        <f t="shared" si="1"/>
        <v>이도경</v>
      </c>
      <c r="K92" s="104" t="s">
        <v>1889</v>
      </c>
    </row>
    <row r="93" spans="2:11" x14ac:dyDescent="0.3">
      <c r="B93" s="104" t="s">
        <v>1045</v>
      </c>
      <c r="F93" s="104" t="s">
        <v>1766</v>
      </c>
      <c r="G93" s="104" t="s">
        <v>1884</v>
      </c>
      <c r="J93" t="str">
        <f t="shared" si="1"/>
        <v>우진혁</v>
      </c>
      <c r="K93" s="104" t="s">
        <v>1890</v>
      </c>
    </row>
    <row r="94" spans="2:11" x14ac:dyDescent="0.3">
      <c r="B94" s="104" t="s">
        <v>1670</v>
      </c>
      <c r="F94" s="104" t="s">
        <v>1703</v>
      </c>
      <c r="G94" s="104" t="s">
        <v>1802</v>
      </c>
      <c r="J94" t="str">
        <f t="shared" si="1"/>
        <v>오규철</v>
      </c>
      <c r="K94" s="104" t="s">
        <v>1891</v>
      </c>
    </row>
    <row r="95" spans="2:11" x14ac:dyDescent="0.3">
      <c r="B95" s="104" t="s">
        <v>1078</v>
      </c>
      <c r="F95" s="104" t="s">
        <v>1764</v>
      </c>
      <c r="G95" s="104" t="s">
        <v>1882</v>
      </c>
      <c r="J95" t="str">
        <f t="shared" si="1"/>
        <v>박범진</v>
      </c>
      <c r="K95" s="104" t="s">
        <v>1892</v>
      </c>
    </row>
    <row r="96" spans="2:11" x14ac:dyDescent="0.3">
      <c r="B96" s="104" t="s">
        <v>1695</v>
      </c>
      <c r="F96" s="104" t="s">
        <v>1767</v>
      </c>
      <c r="G96" s="104" t="s">
        <v>1885</v>
      </c>
      <c r="J96" t="str">
        <f t="shared" si="1"/>
        <v>박상용</v>
      </c>
      <c r="K96" s="104" t="s">
        <v>1893</v>
      </c>
    </row>
    <row r="97" spans="2:11" x14ac:dyDescent="0.3">
      <c r="B97" s="104" t="s">
        <v>999</v>
      </c>
      <c r="F97" s="104" t="s">
        <v>1750</v>
      </c>
      <c r="G97" s="104" t="s">
        <v>1863</v>
      </c>
      <c r="J97" t="str">
        <f t="shared" si="1"/>
        <v>곽승준</v>
      </c>
      <c r="K97" s="104" t="s">
        <v>1894</v>
      </c>
    </row>
    <row r="98" spans="2:11" x14ac:dyDescent="0.3">
      <c r="B98" s="104" t="s">
        <v>1115</v>
      </c>
      <c r="F98" s="104" t="s">
        <v>1768</v>
      </c>
      <c r="G98" s="104" t="s">
        <v>1886</v>
      </c>
      <c r="J98" t="str">
        <f t="shared" si="1"/>
        <v>윤정오</v>
      </c>
      <c r="K98" s="104" t="s">
        <v>1895</v>
      </c>
    </row>
    <row r="99" spans="2:11" x14ac:dyDescent="0.3">
      <c r="B99" s="104" t="s">
        <v>936</v>
      </c>
      <c r="F99" s="104" t="s">
        <v>1736</v>
      </c>
      <c r="G99" s="104" t="s">
        <v>1849</v>
      </c>
      <c r="J99" t="str">
        <f t="shared" si="1"/>
        <v>이유영</v>
      </c>
      <c r="K99" s="104" t="s">
        <v>1896</v>
      </c>
    </row>
    <row r="100" spans="2:11" x14ac:dyDescent="0.3">
      <c r="B100" s="104" t="s">
        <v>1146</v>
      </c>
      <c r="F100" s="104" t="s">
        <v>1769</v>
      </c>
      <c r="G100" s="104" t="s">
        <v>1887</v>
      </c>
      <c r="J100" t="str">
        <f t="shared" si="1"/>
        <v>추지훈</v>
      </c>
      <c r="K100" s="104" t="s">
        <v>1897</v>
      </c>
    </row>
    <row r="101" spans="2:11" x14ac:dyDescent="0.3">
      <c r="B101" s="104" t="s">
        <v>1688</v>
      </c>
      <c r="F101" s="104" t="s">
        <v>1760</v>
      </c>
      <c r="G101" s="104" t="s">
        <v>1878</v>
      </c>
      <c r="J101" t="str">
        <f t="shared" si="1"/>
        <v>배철현</v>
      </c>
      <c r="K101" s="104" t="s">
        <v>1898</v>
      </c>
    </row>
    <row r="102" spans="2:11" x14ac:dyDescent="0.3">
      <c r="B102" s="104" t="s">
        <v>1125</v>
      </c>
      <c r="F102" s="104" t="s">
        <v>1770</v>
      </c>
      <c r="G102" s="104" t="s">
        <v>1888</v>
      </c>
      <c r="J102" t="str">
        <f t="shared" si="1"/>
        <v>최장희</v>
      </c>
      <c r="K102" s="104" t="s">
        <v>1899</v>
      </c>
    </row>
    <row r="103" spans="2:11" x14ac:dyDescent="0.3">
      <c r="B103" s="104" t="s">
        <v>1128</v>
      </c>
      <c r="F103" s="104" t="s">
        <v>1771</v>
      </c>
      <c r="G103" s="104" t="s">
        <v>1889</v>
      </c>
      <c r="J103" t="str">
        <f t="shared" si="1"/>
        <v>김기웅</v>
      </c>
      <c r="K103" s="104" t="s">
        <v>1900</v>
      </c>
    </row>
    <row r="104" spans="2:11" x14ac:dyDescent="0.3">
      <c r="B104" s="104" t="s">
        <v>1132</v>
      </c>
      <c r="F104" s="104" t="s">
        <v>1772</v>
      </c>
      <c r="G104" s="104" t="s">
        <v>1890</v>
      </c>
      <c r="J104" t="str">
        <f t="shared" si="1"/>
        <v>홍인우</v>
      </c>
      <c r="K104" s="104" t="s">
        <v>1901</v>
      </c>
    </row>
    <row r="105" spans="2:11" x14ac:dyDescent="0.3">
      <c r="B105" s="104" t="s">
        <v>1137</v>
      </c>
      <c r="F105" s="104" t="s">
        <v>1773</v>
      </c>
      <c r="G105" s="104" t="s">
        <v>1891</v>
      </c>
      <c r="J105" t="str">
        <f t="shared" si="1"/>
        <v>홍준형</v>
      </c>
      <c r="K105" s="104" t="s">
        <v>1902</v>
      </c>
    </row>
    <row r="106" spans="2:11" x14ac:dyDescent="0.3">
      <c r="B106" s="104" t="s">
        <v>1693</v>
      </c>
      <c r="F106" s="104" t="s">
        <v>1716</v>
      </c>
      <c r="G106" s="104" t="s">
        <v>1822</v>
      </c>
      <c r="J106" t="str">
        <f t="shared" si="1"/>
        <v>김정우</v>
      </c>
      <c r="K106" s="104" t="s">
        <v>1903</v>
      </c>
    </row>
    <row r="107" spans="2:11" x14ac:dyDescent="0.3">
      <c r="B107" s="104" t="s">
        <v>1680</v>
      </c>
      <c r="F107" s="104" t="s">
        <v>1774</v>
      </c>
      <c r="G107" s="104" t="s">
        <v>1892</v>
      </c>
      <c r="J107" t="str">
        <f t="shared" si="1"/>
        <v>배슬기</v>
      </c>
      <c r="K107" s="104" t="s">
        <v>1904</v>
      </c>
    </row>
    <row r="108" spans="2:11" x14ac:dyDescent="0.3">
      <c r="B108" s="104" t="s">
        <v>1151</v>
      </c>
      <c r="F108" s="104" t="s">
        <v>1775</v>
      </c>
      <c r="G108" s="104" t="s">
        <v>1893</v>
      </c>
      <c r="J108" t="str">
        <f t="shared" si="1"/>
        <v>윤다산</v>
      </c>
      <c r="K108" s="104" t="s">
        <v>1905</v>
      </c>
    </row>
    <row r="109" spans="2:11" x14ac:dyDescent="0.3">
      <c r="B109" s="104" t="s">
        <v>930</v>
      </c>
      <c r="F109" s="104" t="s">
        <v>1735</v>
      </c>
      <c r="G109" s="104" t="s">
        <v>1847</v>
      </c>
      <c r="J109" t="str">
        <f t="shared" si="1"/>
        <v>김아정</v>
      </c>
      <c r="K109" s="104" t="s">
        <v>1906</v>
      </c>
    </row>
    <row r="110" spans="2:11" x14ac:dyDescent="0.3">
      <c r="B110" s="104" t="s">
        <v>1669</v>
      </c>
      <c r="F110" s="104" t="s">
        <v>1776</v>
      </c>
      <c r="G110" s="104" t="s">
        <v>1894</v>
      </c>
      <c r="J110" t="str">
        <f t="shared" si="1"/>
        <v>이진주</v>
      </c>
      <c r="K110" s="104" t="s">
        <v>1907</v>
      </c>
    </row>
    <row r="111" spans="2:11" x14ac:dyDescent="0.3">
      <c r="B111" s="104" t="s">
        <v>1125</v>
      </c>
      <c r="F111" s="104" t="s">
        <v>1770</v>
      </c>
      <c r="G111" s="104" t="s">
        <v>1888</v>
      </c>
      <c r="J111" t="str">
        <f t="shared" si="1"/>
        <v>민중기</v>
      </c>
      <c r="K111" s="104" t="s">
        <v>1908</v>
      </c>
    </row>
    <row r="112" spans="2:11" x14ac:dyDescent="0.3">
      <c r="B112" s="104" t="s">
        <v>1105</v>
      </c>
      <c r="F112" s="104" t="s">
        <v>1777</v>
      </c>
      <c r="G112" s="104" t="s">
        <v>1895</v>
      </c>
      <c r="J112" t="str">
        <f t="shared" si="1"/>
        <v>유민혁</v>
      </c>
      <c r="K112" s="104" t="s">
        <v>1909</v>
      </c>
    </row>
    <row r="113" spans="2:11" x14ac:dyDescent="0.3">
      <c r="B113" s="104" t="s">
        <v>1697</v>
      </c>
      <c r="F113" s="104" t="s">
        <v>1723</v>
      </c>
      <c r="G113" s="104" t="s">
        <v>1830</v>
      </c>
      <c r="J113" t="str">
        <f t="shared" si="1"/>
        <v>임현재</v>
      </c>
      <c r="K113" s="104" t="s">
        <v>1910</v>
      </c>
    </row>
    <row r="114" spans="2:11" x14ac:dyDescent="0.3">
      <c r="B114" s="104" t="s">
        <v>1682</v>
      </c>
      <c r="F114" s="104" t="s">
        <v>1778</v>
      </c>
      <c r="G114" s="104" t="s">
        <v>1896</v>
      </c>
      <c r="J114" t="str">
        <f t="shared" si="1"/>
        <v>박상언</v>
      </c>
      <c r="K114" s="104" t="s">
        <v>1911</v>
      </c>
    </row>
    <row r="115" spans="2:11" x14ac:dyDescent="0.3">
      <c r="B115" s="104" t="s">
        <v>1686</v>
      </c>
      <c r="F115" s="104" t="s">
        <v>1749</v>
      </c>
      <c r="G115" s="104" t="s">
        <v>1862</v>
      </c>
      <c r="J115" t="str">
        <f t="shared" si="1"/>
        <v>이태윤</v>
      </c>
      <c r="K115" s="104" t="s">
        <v>1912</v>
      </c>
    </row>
    <row r="116" spans="2:11" x14ac:dyDescent="0.3">
      <c r="B116" s="104" t="s">
        <v>1177</v>
      </c>
      <c r="F116" s="104" t="s">
        <v>1779</v>
      </c>
      <c r="G116" s="104" t="s">
        <v>1897</v>
      </c>
      <c r="J116" t="str">
        <f t="shared" si="1"/>
        <v>곽근영</v>
      </c>
      <c r="K116" s="104" t="s">
        <v>1913</v>
      </c>
    </row>
    <row r="117" spans="2:11" x14ac:dyDescent="0.3">
      <c r="B117" s="104" t="s">
        <v>1078</v>
      </c>
      <c r="F117" s="104" t="s">
        <v>1764</v>
      </c>
      <c r="G117" s="104" t="s">
        <v>1882</v>
      </c>
      <c r="J117" t="str">
        <f t="shared" si="1"/>
        <v>김희재</v>
      </c>
      <c r="K117" s="104" t="s">
        <v>1914</v>
      </c>
    </row>
    <row r="118" spans="2:11" x14ac:dyDescent="0.3">
      <c r="B118" s="104" t="s">
        <v>1182</v>
      </c>
      <c r="F118" s="104" t="s">
        <v>1780</v>
      </c>
      <c r="G118" s="104" t="s">
        <v>1898</v>
      </c>
      <c r="J118" t="str">
        <f t="shared" si="1"/>
        <v>윤민철</v>
      </c>
      <c r="K118" s="104" t="s">
        <v>1915</v>
      </c>
    </row>
    <row r="119" spans="2:11" x14ac:dyDescent="0.3">
      <c r="B119" s="104" t="s">
        <v>813</v>
      </c>
      <c r="F119" s="104" t="s">
        <v>1707</v>
      </c>
      <c r="G119" s="104" t="s">
        <v>1807</v>
      </c>
      <c r="J119" t="str">
        <f t="shared" si="1"/>
        <v>김지훈</v>
      </c>
      <c r="K119" s="104" t="s">
        <v>1916</v>
      </c>
    </row>
    <row r="120" spans="2:11" x14ac:dyDescent="0.3">
      <c r="B120" s="104" t="s">
        <v>1681</v>
      </c>
      <c r="F120" s="104" t="s">
        <v>1781</v>
      </c>
      <c r="G120" s="104" t="s">
        <v>1899</v>
      </c>
      <c r="J120" t="str">
        <f t="shared" si="1"/>
        <v>김준호</v>
      </c>
      <c r="K120" s="104" t="s">
        <v>1917</v>
      </c>
    </row>
    <row r="121" spans="2:11" x14ac:dyDescent="0.3">
      <c r="B121" s="104" t="s">
        <v>1191</v>
      </c>
      <c r="F121" s="104" t="s">
        <v>1782</v>
      </c>
      <c r="G121" s="104" t="s">
        <v>1900</v>
      </c>
      <c r="J121" t="str">
        <f t="shared" si="1"/>
        <v>구영모</v>
      </c>
      <c r="K121" s="104" t="s">
        <v>1918</v>
      </c>
    </row>
    <row r="122" spans="2:11" x14ac:dyDescent="0.3">
      <c r="B122" s="104" t="s">
        <v>1663</v>
      </c>
      <c r="F122" s="104" t="s">
        <v>1783</v>
      </c>
      <c r="G122" s="104" t="s">
        <v>1901</v>
      </c>
      <c r="K122" t="s">
        <v>1921</v>
      </c>
    </row>
    <row r="123" spans="2:11" x14ac:dyDescent="0.3">
      <c r="B123" s="104" t="s">
        <v>1014</v>
      </c>
      <c r="F123" s="104" t="s">
        <v>1784</v>
      </c>
      <c r="G123" s="104" t="s">
        <v>1902</v>
      </c>
      <c r="K123" t="s">
        <v>1922</v>
      </c>
    </row>
    <row r="124" spans="2:11" x14ac:dyDescent="0.3">
      <c r="B124" s="104" t="s">
        <v>1664</v>
      </c>
      <c r="F124" s="104" t="s">
        <v>1785</v>
      </c>
      <c r="G124" s="104" t="s">
        <v>1903</v>
      </c>
    </row>
    <row r="125" spans="2:11" x14ac:dyDescent="0.3">
      <c r="B125" s="104" t="s">
        <v>1665</v>
      </c>
      <c r="F125" s="104" t="s">
        <v>1786</v>
      </c>
      <c r="G125" s="104" t="s">
        <v>1904</v>
      </c>
    </row>
    <row r="126" spans="2:11" x14ac:dyDescent="0.3">
      <c r="B126" s="104" t="s">
        <v>1201</v>
      </c>
      <c r="F126" s="104" t="s">
        <v>1787</v>
      </c>
      <c r="G126" s="104" t="s">
        <v>1905</v>
      </c>
    </row>
    <row r="127" spans="2:11" x14ac:dyDescent="0.3">
      <c r="B127" s="104" t="s">
        <v>1675</v>
      </c>
      <c r="F127" s="104" t="s">
        <v>1788</v>
      </c>
      <c r="G127" s="104" t="s">
        <v>1906</v>
      </c>
    </row>
    <row r="128" spans="2:11" x14ac:dyDescent="0.3">
      <c r="B128" s="104" t="s">
        <v>1689</v>
      </c>
      <c r="F128" s="104" t="s">
        <v>1789</v>
      </c>
      <c r="G128" s="104" t="s">
        <v>1907</v>
      </c>
    </row>
    <row r="129" spans="2:7" x14ac:dyDescent="0.3">
      <c r="B129" s="104" t="s">
        <v>1210</v>
      </c>
      <c r="F129" s="104" t="s">
        <v>1790</v>
      </c>
      <c r="G129" s="104" t="s">
        <v>1908</v>
      </c>
    </row>
    <row r="130" spans="2:7" x14ac:dyDescent="0.3">
      <c r="B130" s="104" t="s">
        <v>1652</v>
      </c>
      <c r="F130" s="104" t="s">
        <v>1791</v>
      </c>
      <c r="G130" s="104" t="s">
        <v>1909</v>
      </c>
    </row>
    <row r="131" spans="2:7" x14ac:dyDescent="0.3">
      <c r="B131" s="104" t="s">
        <v>1217</v>
      </c>
      <c r="F131" s="104" t="s">
        <v>1792</v>
      </c>
      <c r="G131" s="104" t="s">
        <v>1910</v>
      </c>
    </row>
    <row r="132" spans="2:7" x14ac:dyDescent="0.3">
      <c r="B132" s="104" t="s">
        <v>1694</v>
      </c>
      <c r="F132" s="104" t="s">
        <v>1793</v>
      </c>
      <c r="G132" s="104" t="s">
        <v>1911</v>
      </c>
    </row>
    <row r="133" spans="2:7" x14ac:dyDescent="0.3">
      <c r="B133" s="104" t="s">
        <v>1658</v>
      </c>
      <c r="F133" s="104" t="s">
        <v>1794</v>
      </c>
      <c r="G133" s="104" t="s">
        <v>1912</v>
      </c>
    </row>
    <row r="134" spans="2:7" x14ac:dyDescent="0.3">
      <c r="B134" s="104" t="s">
        <v>1224</v>
      </c>
      <c r="F134" s="104" t="s">
        <v>1734</v>
      </c>
      <c r="G134" s="104" t="s">
        <v>1845</v>
      </c>
    </row>
    <row r="135" spans="2:7" x14ac:dyDescent="0.3">
      <c r="B135" s="104" t="s">
        <v>889</v>
      </c>
      <c r="F135" s="104" t="s">
        <v>320</v>
      </c>
      <c r="G135" s="104" t="s">
        <v>1835</v>
      </c>
    </row>
    <row r="136" spans="2:7" x14ac:dyDescent="0.3">
      <c r="B136" s="104" t="s">
        <v>1655</v>
      </c>
      <c r="F136" s="104" t="s">
        <v>1720</v>
      </c>
      <c r="G136" s="104" t="s">
        <v>1826</v>
      </c>
    </row>
    <row r="137" spans="2:7" x14ac:dyDescent="0.3">
      <c r="B137" s="104" t="s">
        <v>1651</v>
      </c>
      <c r="F137" s="104" t="s">
        <v>1795</v>
      </c>
      <c r="G137" s="104" t="s">
        <v>1913</v>
      </c>
    </row>
    <row r="138" spans="2:7" x14ac:dyDescent="0.3">
      <c r="B138" s="104" t="s">
        <v>1687</v>
      </c>
      <c r="F138" s="104" t="s">
        <v>270</v>
      </c>
      <c r="G138" s="104" t="s">
        <v>1867</v>
      </c>
    </row>
    <row r="139" spans="2:7" x14ac:dyDescent="0.3">
      <c r="B139" s="104" t="s">
        <v>1661</v>
      </c>
      <c r="F139" s="104" t="s">
        <v>1762</v>
      </c>
      <c r="G139" s="104" t="s">
        <v>1880</v>
      </c>
    </row>
    <row r="140" spans="2:7" x14ac:dyDescent="0.3">
      <c r="B140" s="104" t="s">
        <v>1177</v>
      </c>
      <c r="F140" s="104" t="s">
        <v>1779</v>
      </c>
      <c r="G140" s="104" t="s">
        <v>1897</v>
      </c>
    </row>
    <row r="141" spans="2:7" x14ac:dyDescent="0.3">
      <c r="B141" s="104" t="s">
        <v>891</v>
      </c>
      <c r="F141" s="104" t="s">
        <v>1727</v>
      </c>
      <c r="G141" s="104" t="s">
        <v>1836</v>
      </c>
    </row>
    <row r="142" spans="2:7" x14ac:dyDescent="0.3">
      <c r="B142" s="104" t="s">
        <v>1666</v>
      </c>
      <c r="F142" s="104" t="s">
        <v>1796</v>
      </c>
      <c r="G142" s="104" t="s">
        <v>1914</v>
      </c>
    </row>
    <row r="143" spans="2:7" x14ac:dyDescent="0.3">
      <c r="B143" s="104" t="s">
        <v>1253</v>
      </c>
      <c r="F143" s="104" t="s">
        <v>1797</v>
      </c>
      <c r="G143" s="104" t="s">
        <v>1915</v>
      </c>
    </row>
    <row r="144" spans="2:7" x14ac:dyDescent="0.3">
      <c r="B144" s="104" t="s">
        <v>855</v>
      </c>
      <c r="F144" s="104" t="s">
        <v>246</v>
      </c>
      <c r="G144" s="104" t="s">
        <v>1820</v>
      </c>
    </row>
    <row r="145" spans="2:7" x14ac:dyDescent="0.3">
      <c r="B145" s="104" t="s">
        <v>1258</v>
      </c>
      <c r="F145" s="104" t="s">
        <v>1798</v>
      </c>
      <c r="G145" s="104" t="s">
        <v>1916</v>
      </c>
    </row>
    <row r="146" spans="2:7" x14ac:dyDescent="0.3">
      <c r="B146" s="104" t="s">
        <v>1059</v>
      </c>
      <c r="F146" s="104" t="s">
        <v>254</v>
      </c>
      <c r="G146" s="104" t="s">
        <v>1875</v>
      </c>
    </row>
    <row r="147" spans="2:7" x14ac:dyDescent="0.3">
      <c r="B147" s="104" t="s">
        <v>1659</v>
      </c>
      <c r="F147" s="104" t="s">
        <v>1799</v>
      </c>
      <c r="G147" s="104" t="s">
        <v>1917</v>
      </c>
    </row>
    <row r="148" spans="2:7" x14ac:dyDescent="0.3">
      <c r="B148" s="104" t="s">
        <v>1177</v>
      </c>
      <c r="F148" s="104" t="s">
        <v>1779</v>
      </c>
      <c r="G148" s="104" t="s">
        <v>1897</v>
      </c>
    </row>
    <row r="149" spans="2:7" x14ac:dyDescent="0.3">
      <c r="B149" s="104" t="s">
        <v>1286</v>
      </c>
      <c r="F149" s="104" t="s">
        <v>1800</v>
      </c>
      <c r="G149" s="104" t="s">
        <v>1918</v>
      </c>
    </row>
    <row r="150" spans="2:7" x14ac:dyDescent="0.3">
      <c r="B150" s="104" t="s">
        <v>1132</v>
      </c>
      <c r="F150" s="104" t="s">
        <v>1772</v>
      </c>
      <c r="G150" s="104" t="s">
        <v>1890</v>
      </c>
    </row>
  </sheetData>
  <phoneticPr fontId="7" type="noConversion"/>
  <hyperlinks>
    <hyperlink ref="G6" r:id="rId1" xr:uid="{6A15F2B0-846D-4844-95BC-98F6338EEBE7}"/>
    <hyperlink ref="G81" r:id="rId2" xr:uid="{38236084-2514-46B3-BB3E-BEA77CD0C630}"/>
  </hyperlinks>
  <pageMargins left="0.7" right="0.7" top="0.75" bottom="0.75" header="0.3" footer="0.3"/>
  <customProperties>
    <customPr name="OrphanNamesChecked" r:id="rId3"/>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80BD9-557B-42ED-8247-D495B0D6577A}">
  <sheetPr codeName="Sheet11"/>
  <dimension ref="A1:AA526"/>
  <sheetViews>
    <sheetView tabSelected="1" zoomScale="115" zoomScaleNormal="115" workbookViewId="0">
      <pane xSplit="4" ySplit="2" topLeftCell="M3" activePane="bottomRight" state="frozen"/>
      <selection pane="topRight" activeCell="E1" sqref="E1"/>
      <selection pane="bottomLeft" activeCell="A3" sqref="A3"/>
      <selection pane="bottomRight" activeCell="P2" sqref="P2"/>
    </sheetView>
  </sheetViews>
  <sheetFormatPr defaultRowHeight="16.5" x14ac:dyDescent="0.3"/>
  <cols>
    <col min="1" max="2" width="9" style="128"/>
    <col min="3" max="3" width="13.75" style="128" bestFit="1" customWidth="1"/>
    <col min="4" max="4" width="26.25" style="128" bestFit="1" customWidth="1"/>
    <col min="5" max="5" width="26.25" style="128" customWidth="1"/>
    <col min="6" max="6" width="33.375" style="128" bestFit="1" customWidth="1"/>
    <col min="7" max="7" width="34.375" style="128" bestFit="1" customWidth="1"/>
    <col min="8" max="9" width="28.5" style="128" customWidth="1"/>
    <col min="10" max="10" width="22.5" style="128" bestFit="1" customWidth="1"/>
    <col min="11" max="11" width="22.5" style="128" customWidth="1"/>
    <col min="12" max="12" width="26.75" style="131" bestFit="1" customWidth="1"/>
    <col min="13" max="13" width="15.875" style="132" bestFit="1" customWidth="1"/>
    <col min="14" max="16" width="9" style="128"/>
    <col min="17" max="17" width="16" style="132" bestFit="1" customWidth="1"/>
    <col min="18" max="18" width="23.25" style="131" bestFit="1" customWidth="1"/>
    <col min="19" max="19" width="19.25" style="132" bestFit="1" customWidth="1"/>
    <col min="20" max="20" width="21.75" style="131" bestFit="1" customWidth="1"/>
    <col min="21" max="21" width="21.125" style="132" bestFit="1" customWidth="1"/>
    <col min="22" max="22" width="24.375" style="131" bestFit="1" customWidth="1"/>
    <col min="23" max="23" width="24.375" style="128" bestFit="1" customWidth="1"/>
    <col min="24" max="24" width="11" style="128" bestFit="1" customWidth="1"/>
    <col min="28" max="16384" width="9" style="128"/>
  </cols>
  <sheetData>
    <row r="1" spans="1:24" x14ac:dyDescent="0.3">
      <c r="N1" s="133">
        <f>SUBTOTAL(1,N3:N1297)</f>
        <v>3.3183195158429997E-2</v>
      </c>
      <c r="O1" s="133">
        <f>SUBTOTAL(1,O3:O1297)</f>
        <v>0.10093587905940501</v>
      </c>
      <c r="P1" s="133">
        <f>SUBTOTAL(1,P3:P1297)</f>
        <v>0.86588092578216447</v>
      </c>
      <c r="Q1" s="132">
        <f>SUBTOTAL(1,Q3:Q1425)</f>
        <v>175.0852390852391</v>
      </c>
    </row>
    <row r="2" spans="1:24" x14ac:dyDescent="0.3">
      <c r="A2" s="134" t="s">
        <v>2028</v>
      </c>
      <c r="B2" s="134" t="s">
        <v>2029</v>
      </c>
      <c r="C2" s="135" t="s">
        <v>2030</v>
      </c>
      <c r="D2" s="135" t="s">
        <v>2031</v>
      </c>
      <c r="E2" s="135" t="s">
        <v>4049</v>
      </c>
      <c r="F2" s="135" t="s">
        <v>1963</v>
      </c>
      <c r="G2" s="135" t="s">
        <v>1964</v>
      </c>
      <c r="H2" s="135" t="s">
        <v>2032</v>
      </c>
      <c r="I2" s="135" t="s">
        <v>2257</v>
      </c>
      <c r="J2" s="135" t="s">
        <v>2033</v>
      </c>
      <c r="K2" s="135" t="s">
        <v>2034</v>
      </c>
      <c r="L2" s="135" t="s">
        <v>3337</v>
      </c>
      <c r="M2" s="135" t="s">
        <v>1968</v>
      </c>
      <c r="N2" s="136" t="s">
        <v>2036</v>
      </c>
      <c r="O2" s="136" t="s">
        <v>2037</v>
      </c>
      <c r="P2" s="136" t="s">
        <v>2038</v>
      </c>
      <c r="Q2" s="208" t="s">
        <v>1972</v>
      </c>
      <c r="R2" s="208" t="s">
        <v>1973</v>
      </c>
      <c r="S2" s="208" t="s">
        <v>1974</v>
      </c>
      <c r="T2" s="208" t="s">
        <v>1975</v>
      </c>
      <c r="U2" s="208" t="s">
        <v>1976</v>
      </c>
      <c r="V2" s="208" t="s">
        <v>1977</v>
      </c>
    </row>
    <row r="3" spans="1:24" x14ac:dyDescent="0.3">
      <c r="A3" s="137">
        <v>1</v>
      </c>
      <c r="B3" s="137" t="s">
        <v>2040</v>
      </c>
      <c r="C3" s="137">
        <v>1000316445</v>
      </c>
      <c r="D3" s="137" t="s">
        <v>2041</v>
      </c>
      <c r="E3" s="137">
        <v>1668793</v>
      </c>
      <c r="F3" s="137" t="s">
        <v>2042</v>
      </c>
      <c r="G3" s="138" t="s">
        <v>2043</v>
      </c>
      <c r="H3" s="137" t="s">
        <v>2044</v>
      </c>
      <c r="I3" s="137" t="s">
        <v>2258</v>
      </c>
      <c r="J3" s="137" t="s">
        <v>2045</v>
      </c>
      <c r="K3" s="137" t="s">
        <v>2048</v>
      </c>
      <c r="L3" s="139">
        <f t="shared" ref="L3:L88" si="0">ABS(R3)+ABS(T3)+ABS(V3)</f>
        <v>18731898038976</v>
      </c>
      <c r="M3" s="140">
        <f t="shared" ref="M3:M88" si="1">Q3+S3+U3</f>
        <v>42454</v>
      </c>
      <c r="N3" s="141">
        <f t="shared" ref="N3:N88" si="2">ABS(R3)/$L3</f>
        <v>5.8455672947857806E-2</v>
      </c>
      <c r="O3" s="141">
        <f t="shared" ref="O3:O88" si="3">ABS(T3)/$L3</f>
        <v>7.2596739960972961E-2</v>
      </c>
      <c r="P3" s="141">
        <f t="shared" ref="P3:P88" si="4">ABS(V3)/$L3</f>
        <v>0.86894758709116926</v>
      </c>
      <c r="Q3" s="140">
        <v>16</v>
      </c>
      <c r="R3" s="139">
        <v>-1094985705459</v>
      </c>
      <c r="S3" s="140">
        <v>1188</v>
      </c>
      <c r="T3" s="139">
        <v>1359874730911</v>
      </c>
      <c r="U3" s="140">
        <v>41250</v>
      </c>
      <c r="V3" s="139">
        <v>16277037602606</v>
      </c>
    </row>
    <row r="4" spans="1:24" x14ac:dyDescent="0.3">
      <c r="A4" s="137">
        <v>1</v>
      </c>
      <c r="B4" s="137" t="s">
        <v>2040</v>
      </c>
      <c r="C4" s="137">
        <v>1000316445</v>
      </c>
      <c r="D4" s="137" t="s">
        <v>2041</v>
      </c>
      <c r="E4" s="137">
        <v>1668793</v>
      </c>
      <c r="F4" s="137" t="s">
        <v>2042</v>
      </c>
      <c r="G4" s="138" t="s">
        <v>2043</v>
      </c>
      <c r="H4" s="137" t="s">
        <v>2044</v>
      </c>
      <c r="I4" s="137" t="s">
        <v>2258</v>
      </c>
      <c r="J4" s="137" t="s">
        <v>2047</v>
      </c>
      <c r="K4" s="137" t="s">
        <v>2048</v>
      </c>
      <c r="L4" s="139">
        <f>ABS(R4)+ABS(T4)+ABS(V4)</f>
        <v>735541056678472</v>
      </c>
      <c r="M4" s="140">
        <f>Q4+S4+U4</f>
        <v>6821774</v>
      </c>
      <c r="N4" s="141">
        <f>ABS(R4)/$L4</f>
        <v>7.0418677601081321E-4</v>
      </c>
      <c r="O4" s="141">
        <f>ABS(T4)/$L4</f>
        <v>0</v>
      </c>
      <c r="P4" s="141">
        <f>ABS(V4)/$L4</f>
        <v>0.99929581322398919</v>
      </c>
      <c r="Q4" s="140">
        <v>8</v>
      </c>
      <c r="R4" s="139">
        <v>-517958285326</v>
      </c>
      <c r="S4" s="140">
        <v>0</v>
      </c>
      <c r="T4" s="139">
        <v>0</v>
      </c>
      <c r="U4" s="140">
        <v>6821766</v>
      </c>
      <c r="V4" s="139">
        <v>735023098393146</v>
      </c>
    </row>
    <row r="5" spans="1:24" x14ac:dyDescent="0.3">
      <c r="A5" s="137">
        <v>1</v>
      </c>
      <c r="B5" s="137" t="s">
        <v>3333</v>
      </c>
      <c r="C5" s="137">
        <v>1000316445</v>
      </c>
      <c r="D5" s="137" t="s">
        <v>2041</v>
      </c>
      <c r="E5" s="137">
        <v>1668793</v>
      </c>
      <c r="F5" s="137" t="s">
        <v>2042</v>
      </c>
      <c r="G5" s="206" t="s">
        <v>3966</v>
      </c>
      <c r="H5" s="137" t="s">
        <v>3334</v>
      </c>
      <c r="I5" s="137" t="s">
        <v>2258</v>
      </c>
      <c r="J5" s="137" t="s">
        <v>2045</v>
      </c>
      <c r="K5" s="137" t="s">
        <v>2245</v>
      </c>
      <c r="L5" s="139">
        <f>ABS(R5)+ABS(T5)+ABS(V5)</f>
        <v>58928558788679</v>
      </c>
      <c r="M5" s="140">
        <f>Q5+S5+U5</f>
        <v>136054</v>
      </c>
      <c r="N5" s="141">
        <f>ABS(R5)/$L5</f>
        <v>7.0191900791821884E-3</v>
      </c>
      <c r="O5" s="141">
        <f>ABS(T5)/$L5</f>
        <v>5.2752334890586346E-3</v>
      </c>
      <c r="P5" s="141">
        <f>ABS(V5)/$L5</f>
        <v>0.98770557643175916</v>
      </c>
      <c r="Q5" s="140">
        <v>59</v>
      </c>
      <c r="R5" s="139">
        <v>413630755230</v>
      </c>
      <c r="S5" s="140">
        <v>3005</v>
      </c>
      <c r="T5" s="139">
        <v>310861906784</v>
      </c>
      <c r="U5" s="140">
        <v>132990</v>
      </c>
      <c r="V5" s="139">
        <v>58204066126665</v>
      </c>
    </row>
    <row r="6" spans="1:24" x14ac:dyDescent="0.3">
      <c r="A6" s="137">
        <v>1</v>
      </c>
      <c r="B6" s="137" t="s">
        <v>3333</v>
      </c>
      <c r="C6" s="137">
        <v>1000316445</v>
      </c>
      <c r="D6" s="137" t="s">
        <v>2041</v>
      </c>
      <c r="E6" s="137">
        <v>1668793</v>
      </c>
      <c r="F6" s="137" t="s">
        <v>2042</v>
      </c>
      <c r="G6" s="206" t="s">
        <v>3966</v>
      </c>
      <c r="H6" s="137" t="s">
        <v>3334</v>
      </c>
      <c r="I6" s="137" t="s">
        <v>2258</v>
      </c>
      <c r="J6" s="137" t="s">
        <v>2047</v>
      </c>
      <c r="K6" s="137" t="s">
        <v>2048</v>
      </c>
      <c r="L6" s="139">
        <f>ABS(R6)+ABS(T6)+ABS(V6)</f>
        <v>2420122620997333</v>
      </c>
      <c r="M6" s="140">
        <f>Q6+S6+U6</f>
        <v>22060675</v>
      </c>
      <c r="N6" s="141">
        <f>ABS(R6)/$L6</f>
        <v>7.0525663703751684E-4</v>
      </c>
      <c r="O6" s="141">
        <f>ABS(T6)/$L6</f>
        <v>0</v>
      </c>
      <c r="P6" s="141">
        <f>ABS(V6)/$L6</f>
        <v>0.99929474336296253</v>
      </c>
      <c r="Q6" s="140">
        <v>61</v>
      </c>
      <c r="R6" s="139">
        <v>1706807540903</v>
      </c>
      <c r="S6" s="140">
        <v>0</v>
      </c>
      <c r="T6" s="139">
        <v>0</v>
      </c>
      <c r="U6" s="140">
        <v>22060614</v>
      </c>
      <c r="V6" s="139">
        <v>2418415813456430</v>
      </c>
    </row>
    <row r="7" spans="1:24" x14ac:dyDescent="0.3">
      <c r="A7" s="137">
        <v>1</v>
      </c>
      <c r="B7" s="207" t="s">
        <v>3967</v>
      </c>
      <c r="C7" s="137">
        <v>1000316445</v>
      </c>
      <c r="D7" s="137" t="s">
        <v>2041</v>
      </c>
      <c r="E7" s="137">
        <v>1668793</v>
      </c>
      <c r="F7" s="137" t="s">
        <v>2042</v>
      </c>
      <c r="G7" s="138" t="s">
        <v>3968</v>
      </c>
      <c r="H7" s="207" t="s">
        <v>3970</v>
      </c>
      <c r="I7" s="137" t="s">
        <v>2258</v>
      </c>
      <c r="J7" s="137" t="s">
        <v>2045</v>
      </c>
      <c r="K7" s="137" t="s">
        <v>2245</v>
      </c>
      <c r="L7" s="139">
        <f>ABS(R7)+ABS(T7)+ABS(V7)</f>
        <v>30523064712165</v>
      </c>
      <c r="M7" s="140">
        <f>Q7+S7+U7</f>
        <v>47376</v>
      </c>
      <c r="N7" s="141">
        <f>ABS(R7)/$L7</f>
        <v>5.021208642227758E-4</v>
      </c>
      <c r="O7" s="141">
        <f>ABS(T7)/$L7</f>
        <v>1.2238206704817626E-2</v>
      </c>
      <c r="P7" s="141">
        <f>ABS(V7)/$L7</f>
        <v>0.98725967243095958</v>
      </c>
      <c r="Q7" s="140">
        <v>24</v>
      </c>
      <c r="R7" s="139">
        <v>15326267632</v>
      </c>
      <c r="S7" s="140">
        <v>1606</v>
      </c>
      <c r="T7" s="139">
        <v>373547575212</v>
      </c>
      <c r="U7" s="140">
        <v>45746</v>
      </c>
      <c r="V7" s="139">
        <v>30134190869321</v>
      </c>
    </row>
    <row r="8" spans="1:24" x14ac:dyDescent="0.3">
      <c r="A8" s="137">
        <v>1</v>
      </c>
      <c r="B8" s="207" t="s">
        <v>3967</v>
      </c>
      <c r="C8" s="137">
        <v>1000316445</v>
      </c>
      <c r="D8" s="137" t="s">
        <v>2041</v>
      </c>
      <c r="E8" s="137">
        <v>1668793</v>
      </c>
      <c r="F8" s="137" t="s">
        <v>2042</v>
      </c>
      <c r="G8" s="206" t="s">
        <v>3968</v>
      </c>
      <c r="H8" s="207" t="s">
        <v>3970</v>
      </c>
      <c r="I8" s="137" t="s">
        <v>2258</v>
      </c>
      <c r="J8" s="137" t="s">
        <v>2047</v>
      </c>
      <c r="K8" s="137" t="s">
        <v>2077</v>
      </c>
      <c r="L8" s="139">
        <f>ABS(R8)+ABS(T8)+ABS(V8)</f>
        <v>1141332910581820</v>
      </c>
      <c r="M8" s="140">
        <f>Q8+S8+U8</f>
        <v>8022593</v>
      </c>
      <c r="N8" s="141">
        <f>ABS(R8)/$L8</f>
        <v>1.7930537636489999E-2</v>
      </c>
      <c r="O8" s="141">
        <f>ABS(T8)/$L8</f>
        <v>0</v>
      </c>
      <c r="P8" s="141">
        <f>ABS(V8)/$L8</f>
        <v>0.98206946236351</v>
      </c>
      <c r="Q8" s="140">
        <v>53</v>
      </c>
      <c r="R8" s="139">
        <v>20464712708952</v>
      </c>
      <c r="S8" s="140">
        <v>0</v>
      </c>
      <c r="T8" s="139">
        <v>0</v>
      </c>
      <c r="U8" s="140">
        <v>8022540</v>
      </c>
      <c r="V8" s="139">
        <v>1120868197872868</v>
      </c>
      <c r="W8" s="131"/>
    </row>
    <row r="9" spans="1:24" x14ac:dyDescent="0.3">
      <c r="A9" s="137">
        <v>2</v>
      </c>
      <c r="B9" s="137" t="s">
        <v>2040</v>
      </c>
      <c r="C9" s="137">
        <v>1000317342</v>
      </c>
      <c r="D9" s="137" t="s">
        <v>1534</v>
      </c>
      <c r="E9" s="137">
        <v>1698103</v>
      </c>
      <c r="F9" s="137" t="s">
        <v>635</v>
      </c>
      <c r="G9" s="137" t="s">
        <v>2049</v>
      </c>
      <c r="H9" s="137" t="s">
        <v>2044</v>
      </c>
      <c r="I9" s="137" t="s">
        <v>2258</v>
      </c>
      <c r="J9" s="137" t="s">
        <v>2047</v>
      </c>
      <c r="K9" s="137" t="s">
        <v>2048</v>
      </c>
      <c r="L9" s="139">
        <f t="shared" si="0"/>
        <v>6074151345713683</v>
      </c>
      <c r="M9" s="140">
        <f t="shared" si="1"/>
        <v>32890267</v>
      </c>
      <c r="N9" s="141">
        <f t="shared" si="2"/>
        <v>2.6727374210307091E-3</v>
      </c>
      <c r="O9" s="141">
        <f t="shared" si="3"/>
        <v>0</v>
      </c>
      <c r="P9" s="141">
        <f t="shared" si="4"/>
        <v>0.99732726257896931</v>
      </c>
      <c r="Q9" s="140">
        <v>58</v>
      </c>
      <c r="R9" s="139">
        <v>16234611602693</v>
      </c>
      <c r="S9" s="140">
        <v>0</v>
      </c>
      <c r="T9" s="139">
        <v>0</v>
      </c>
      <c r="U9" s="140">
        <v>32890209</v>
      </c>
      <c r="V9" s="139">
        <v>6057916734110990</v>
      </c>
    </row>
    <row r="10" spans="1:24" x14ac:dyDescent="0.3">
      <c r="A10" s="137">
        <v>2</v>
      </c>
      <c r="B10" s="137" t="s">
        <v>2040</v>
      </c>
      <c r="C10" s="137">
        <v>1000317342</v>
      </c>
      <c r="D10" s="137" t="s">
        <v>1534</v>
      </c>
      <c r="E10" s="137">
        <v>1698103</v>
      </c>
      <c r="F10" s="137" t="s">
        <v>635</v>
      </c>
      <c r="G10" s="137" t="s">
        <v>2049</v>
      </c>
      <c r="H10" s="137" t="s">
        <v>2044</v>
      </c>
      <c r="I10" s="137" t="s">
        <v>2258</v>
      </c>
      <c r="J10" s="137" t="s">
        <v>2050</v>
      </c>
      <c r="K10" s="137" t="s">
        <v>2048</v>
      </c>
      <c r="L10" s="139">
        <f t="shared" si="0"/>
        <v>63507912518644</v>
      </c>
      <c r="M10" s="140">
        <f t="shared" si="1"/>
        <v>40664</v>
      </c>
      <c r="N10" s="141">
        <f t="shared" si="2"/>
        <v>8.2462063293020013E-3</v>
      </c>
      <c r="O10" s="141">
        <f t="shared" si="3"/>
        <v>0.96057518275085862</v>
      </c>
      <c r="P10" s="141">
        <f t="shared" si="4"/>
        <v>3.1178610919839412E-2</v>
      </c>
      <c r="Q10" s="140">
        <v>361</v>
      </c>
      <c r="R10" s="139">
        <v>523699350172</v>
      </c>
      <c r="S10" s="140">
        <v>12236</v>
      </c>
      <c r="T10" s="139">
        <v>61004124673722</v>
      </c>
      <c r="U10" s="140">
        <v>28067</v>
      </c>
      <c r="V10" s="139">
        <v>1980088494750</v>
      </c>
    </row>
    <row r="11" spans="1:24" x14ac:dyDescent="0.3">
      <c r="A11" s="137">
        <v>2</v>
      </c>
      <c r="B11" s="137" t="s">
        <v>2040</v>
      </c>
      <c r="C11" s="137">
        <v>1000317342</v>
      </c>
      <c r="D11" s="137" t="s">
        <v>1534</v>
      </c>
      <c r="E11" s="137">
        <v>1698103</v>
      </c>
      <c r="F11" s="137" t="s">
        <v>635</v>
      </c>
      <c r="G11" s="137" t="s">
        <v>2049</v>
      </c>
      <c r="H11" s="137" t="s">
        <v>2044</v>
      </c>
      <c r="I11" s="137" t="s">
        <v>2258</v>
      </c>
      <c r="J11" s="137" t="s">
        <v>2045</v>
      </c>
      <c r="K11" s="137" t="s">
        <v>2048</v>
      </c>
      <c r="L11" s="139">
        <f t="shared" si="0"/>
        <v>6888603474060223</v>
      </c>
      <c r="M11" s="140">
        <f t="shared" si="1"/>
        <v>34598701</v>
      </c>
      <c r="N11" s="141">
        <f t="shared" si="2"/>
        <v>3.4901863899609925E-3</v>
      </c>
      <c r="O11" s="141">
        <f t="shared" si="3"/>
        <v>0</v>
      </c>
      <c r="P11" s="141">
        <f t="shared" si="4"/>
        <v>0.99650981361003899</v>
      </c>
      <c r="Q11" s="140">
        <v>141</v>
      </c>
      <c r="R11" s="139">
        <v>24042510091003</v>
      </c>
      <c r="S11" s="140">
        <v>0</v>
      </c>
      <c r="T11" s="139">
        <v>0</v>
      </c>
      <c r="U11" s="140">
        <v>34598560</v>
      </c>
      <c r="V11" s="139">
        <v>6864560963969220</v>
      </c>
    </row>
    <row r="12" spans="1:24" x14ac:dyDescent="0.3">
      <c r="A12" s="207">
        <v>2</v>
      </c>
      <c r="B12" s="207" t="s">
        <v>2054</v>
      </c>
      <c r="C12" s="207">
        <v>1000317342</v>
      </c>
      <c r="D12" s="207" t="s">
        <v>1534</v>
      </c>
      <c r="E12" s="207">
        <v>1698103</v>
      </c>
      <c r="F12" s="207" t="s">
        <v>635</v>
      </c>
      <c r="G12" s="207" t="s">
        <v>3971</v>
      </c>
      <c r="H12" s="207" t="s">
        <v>2056</v>
      </c>
      <c r="I12" s="207" t="s">
        <v>2258</v>
      </c>
      <c r="J12" s="207" t="s">
        <v>2047</v>
      </c>
      <c r="K12" s="207" t="s">
        <v>2048</v>
      </c>
      <c r="L12" s="209">
        <f>ABS(R12)+ABS(T12)+ABS(V12)</f>
        <v>2985725735348853</v>
      </c>
      <c r="M12" s="210">
        <f>Q12+S12+U12</f>
        <v>47726117</v>
      </c>
      <c r="N12" s="211">
        <f>ABS(R12)/$L12</f>
        <v>3.0172288881753001E-3</v>
      </c>
      <c r="O12" s="211">
        <f>ABS(T12)/$L12</f>
        <v>0</v>
      </c>
      <c r="P12" s="211">
        <f>ABS(V12)/$L12</f>
        <v>0.99698277111182465</v>
      </c>
      <c r="Q12" s="210">
        <v>437</v>
      </c>
      <c r="R12" s="209">
        <v>9008617940863</v>
      </c>
      <c r="S12" s="210">
        <v>0</v>
      </c>
      <c r="T12" s="209">
        <v>0</v>
      </c>
      <c r="U12" s="210">
        <v>47725680</v>
      </c>
      <c r="V12" s="209">
        <v>2976717117407990</v>
      </c>
      <c r="W12" s="212"/>
      <c r="X12" s="212"/>
    </row>
    <row r="13" spans="1:24" x14ac:dyDescent="0.3">
      <c r="A13" s="207">
        <v>2</v>
      </c>
      <c r="B13" s="207" t="s">
        <v>2054</v>
      </c>
      <c r="C13" s="207">
        <v>1000317342</v>
      </c>
      <c r="D13" s="207" t="s">
        <v>1534</v>
      </c>
      <c r="E13" s="207">
        <v>1698103</v>
      </c>
      <c r="F13" s="207" t="s">
        <v>635</v>
      </c>
      <c r="G13" s="207" t="s">
        <v>3971</v>
      </c>
      <c r="H13" s="207" t="s">
        <v>2056</v>
      </c>
      <c r="I13" s="207" t="s">
        <v>2258</v>
      </c>
      <c r="J13" s="207" t="s">
        <v>2050</v>
      </c>
      <c r="K13" s="207" t="s">
        <v>2046</v>
      </c>
      <c r="L13" s="209">
        <f>ABS(R13)+ABS(T13)+ABS(V13)</f>
        <v>3337611750987</v>
      </c>
      <c r="M13" s="210">
        <f>Q13+S13+U13</f>
        <v>4698274</v>
      </c>
      <c r="N13" s="211">
        <f>ABS(R13)/$L13</f>
        <v>1.4813581673895711E-2</v>
      </c>
      <c r="O13" s="211">
        <f>ABS(T13)/$L13</f>
        <v>0.1881272221399983</v>
      </c>
      <c r="P13" s="211">
        <f>ABS(V13)/$L13</f>
        <v>0.79705919618610599</v>
      </c>
      <c r="Q13" s="210">
        <v>98</v>
      </c>
      <c r="R13" s="209">
        <v>49441984269</v>
      </c>
      <c r="S13" s="210">
        <v>15455</v>
      </c>
      <c r="T13" s="209">
        <v>627895627295</v>
      </c>
      <c r="U13" s="210">
        <v>4682721</v>
      </c>
      <c r="V13" s="209">
        <v>2660274139423</v>
      </c>
      <c r="W13" s="212"/>
      <c r="X13" s="212"/>
    </row>
    <row r="14" spans="1:24" x14ac:dyDescent="0.3">
      <c r="A14" s="207">
        <v>2</v>
      </c>
      <c r="B14" s="207" t="s">
        <v>3983</v>
      </c>
      <c r="C14" s="207">
        <v>1000317342</v>
      </c>
      <c r="D14" s="207" t="s">
        <v>1534</v>
      </c>
      <c r="E14" s="207">
        <v>1698103</v>
      </c>
      <c r="F14" s="207" t="s">
        <v>635</v>
      </c>
      <c r="G14" s="207" t="s">
        <v>3972</v>
      </c>
      <c r="H14" s="213" t="s">
        <v>3974</v>
      </c>
      <c r="I14" s="207" t="s">
        <v>2258</v>
      </c>
      <c r="J14" s="207" t="s">
        <v>2047</v>
      </c>
      <c r="K14" s="207" t="s">
        <v>2048</v>
      </c>
      <c r="L14" s="209">
        <f>ABS(R14)+ABS(T14)+ABS(V14)</f>
        <v>2559039330259922</v>
      </c>
      <c r="M14" s="210">
        <f>Q14+S14+U14</f>
        <v>192850079</v>
      </c>
      <c r="N14" s="211">
        <f>ABS(R14)/$L14</f>
        <v>3.3234225144512216E-3</v>
      </c>
      <c r="O14" s="211">
        <f>ABS(T14)/$L14</f>
        <v>0</v>
      </c>
      <c r="P14" s="211">
        <f>ABS(V14)/$L14</f>
        <v>0.99667657748554883</v>
      </c>
      <c r="Q14" s="210">
        <v>937</v>
      </c>
      <c r="R14" s="209">
        <v>8504768925552</v>
      </c>
      <c r="S14" s="210">
        <v>0</v>
      </c>
      <c r="T14" s="209">
        <v>0</v>
      </c>
      <c r="U14" s="210">
        <v>192849142</v>
      </c>
      <c r="V14" s="209">
        <v>2550534561334370</v>
      </c>
      <c r="W14" s="212"/>
      <c r="X14" s="212"/>
    </row>
    <row r="15" spans="1:24" x14ac:dyDescent="0.3">
      <c r="A15" s="207">
        <v>2</v>
      </c>
      <c r="B15" s="207" t="s">
        <v>3983</v>
      </c>
      <c r="C15" s="207">
        <v>1000317342</v>
      </c>
      <c r="D15" s="207" t="s">
        <v>1534</v>
      </c>
      <c r="E15" s="207">
        <v>1698103</v>
      </c>
      <c r="F15" s="207" t="s">
        <v>635</v>
      </c>
      <c r="G15" s="207" t="s">
        <v>3972</v>
      </c>
      <c r="H15" s="213" t="s">
        <v>3974</v>
      </c>
      <c r="I15" s="207" t="s">
        <v>2258</v>
      </c>
      <c r="J15" s="207" t="s">
        <v>2050</v>
      </c>
      <c r="K15" s="207" t="s">
        <v>2046</v>
      </c>
      <c r="L15" s="209">
        <f>ABS(R15)+ABS(T15)+ABS(V15)</f>
        <v>9544149429634</v>
      </c>
      <c r="M15" s="210">
        <f>Q15+S15+U15</f>
        <v>7035569</v>
      </c>
      <c r="N15" s="211">
        <f>ABS(R15)/$L15</f>
        <v>1.4585841547363369E-2</v>
      </c>
      <c r="O15" s="211">
        <f>ABS(T15)/$L15</f>
        <v>6.5755315314993595E-2</v>
      </c>
      <c r="P15" s="211">
        <f>ABS(V15)/$L15</f>
        <v>0.91965884313764301</v>
      </c>
      <c r="Q15" s="210">
        <v>261</v>
      </c>
      <c r="R15" s="209">
        <v>139209451285</v>
      </c>
      <c r="S15" s="210">
        <v>17735</v>
      </c>
      <c r="T15" s="209">
        <v>627578555159</v>
      </c>
      <c r="U15" s="210">
        <v>7017573</v>
      </c>
      <c r="V15" s="209">
        <v>8777361423190</v>
      </c>
      <c r="W15" s="212"/>
      <c r="X15" s="212"/>
    </row>
    <row r="16" spans="1:24" x14ac:dyDescent="0.3">
      <c r="A16" s="137">
        <v>3</v>
      </c>
      <c r="B16" s="137" t="s">
        <v>2040</v>
      </c>
      <c r="C16" s="137">
        <v>1000314674</v>
      </c>
      <c r="D16" s="137" t="s">
        <v>1535</v>
      </c>
      <c r="E16" s="137">
        <v>1698595</v>
      </c>
      <c r="F16" s="137" t="s">
        <v>636</v>
      </c>
      <c r="G16" s="137" t="s">
        <v>2051</v>
      </c>
      <c r="H16" s="137" t="s">
        <v>2044</v>
      </c>
      <c r="I16" s="137" t="s">
        <v>2258</v>
      </c>
      <c r="J16" s="137" t="s">
        <v>2047</v>
      </c>
      <c r="K16" s="137" t="s">
        <v>2048</v>
      </c>
      <c r="L16" s="139">
        <f t="shared" si="0"/>
        <v>153672662547410</v>
      </c>
      <c r="M16" s="140">
        <f t="shared" si="1"/>
        <v>1669400</v>
      </c>
      <c r="N16" s="141">
        <f t="shared" si="2"/>
        <v>2.4107168049080164E-3</v>
      </c>
      <c r="O16" s="141">
        <f t="shared" si="3"/>
        <v>0</v>
      </c>
      <c r="P16" s="141">
        <f t="shared" si="4"/>
        <v>0.99758928319509199</v>
      </c>
      <c r="Q16" s="140">
        <v>9</v>
      </c>
      <c r="R16" s="139">
        <v>370461270058</v>
      </c>
      <c r="S16" s="140">
        <v>0</v>
      </c>
      <c r="T16" s="139"/>
      <c r="U16" s="140">
        <v>1669391</v>
      </c>
      <c r="V16" s="139">
        <v>153302201277352</v>
      </c>
    </row>
    <row r="17" spans="1:22" x14ac:dyDescent="0.3">
      <c r="A17" s="137">
        <v>3</v>
      </c>
      <c r="B17" s="137" t="s">
        <v>2040</v>
      </c>
      <c r="C17" s="137">
        <v>1000314674</v>
      </c>
      <c r="D17" s="137" t="s">
        <v>1535</v>
      </c>
      <c r="E17" s="137">
        <v>1698595</v>
      </c>
      <c r="F17" s="137" t="s">
        <v>636</v>
      </c>
      <c r="G17" s="137" t="s">
        <v>2051</v>
      </c>
      <c r="H17" s="137" t="s">
        <v>2044</v>
      </c>
      <c r="I17" s="137" t="s">
        <v>2258</v>
      </c>
      <c r="J17" s="137" t="s">
        <v>2050</v>
      </c>
      <c r="K17" s="137" t="s">
        <v>2048</v>
      </c>
      <c r="L17" s="139">
        <f t="shared" si="0"/>
        <v>2249231665688</v>
      </c>
      <c r="M17" s="140">
        <f t="shared" si="1"/>
        <v>183893</v>
      </c>
      <c r="N17" s="141">
        <f t="shared" si="2"/>
        <v>1.0126581951723017E-2</v>
      </c>
      <c r="O17" s="141">
        <f t="shared" si="3"/>
        <v>9.7811272739976224E-2</v>
      </c>
      <c r="P17" s="141">
        <f t="shared" si="4"/>
        <v>0.89206214530830075</v>
      </c>
      <c r="Q17" s="140">
        <v>72</v>
      </c>
      <c r="R17" s="139">
        <v>22777028791</v>
      </c>
      <c r="S17" s="140">
        <v>2246</v>
      </c>
      <c r="T17" s="139">
        <v>220000211908</v>
      </c>
      <c r="U17" s="140">
        <v>181575</v>
      </c>
      <c r="V17" s="139">
        <v>2006454424989</v>
      </c>
    </row>
    <row r="18" spans="1:22" x14ac:dyDescent="0.3">
      <c r="A18" s="137">
        <v>3</v>
      </c>
      <c r="B18" s="137" t="s">
        <v>2040</v>
      </c>
      <c r="C18" s="137">
        <v>1000314674</v>
      </c>
      <c r="D18" s="137" t="s">
        <v>1535</v>
      </c>
      <c r="E18" s="137">
        <v>1698595</v>
      </c>
      <c r="F18" s="137" t="s">
        <v>636</v>
      </c>
      <c r="G18" s="137" t="s">
        <v>2051</v>
      </c>
      <c r="H18" s="137" t="s">
        <v>2044</v>
      </c>
      <c r="I18" s="137" t="s">
        <v>2258</v>
      </c>
      <c r="J18" s="137" t="s">
        <v>2045</v>
      </c>
      <c r="K18" s="137" t="s">
        <v>2048</v>
      </c>
      <c r="L18" s="139">
        <f t="shared" si="0"/>
        <v>6639171315356</v>
      </c>
      <c r="M18" s="140">
        <f t="shared" si="1"/>
        <v>2876</v>
      </c>
      <c r="N18" s="141">
        <f t="shared" si="2"/>
        <v>0</v>
      </c>
      <c r="O18" s="141">
        <f t="shared" si="3"/>
        <v>0.18111160152259517</v>
      </c>
      <c r="P18" s="141">
        <f t="shared" si="4"/>
        <v>0.8188883984774048</v>
      </c>
      <c r="Q18" s="140">
        <v>0</v>
      </c>
      <c r="R18" s="139">
        <v>0</v>
      </c>
      <c r="S18" s="140">
        <v>147</v>
      </c>
      <c r="T18" s="139">
        <v>-1202430949707</v>
      </c>
      <c r="U18" s="140">
        <v>2729</v>
      </c>
      <c r="V18" s="139">
        <v>5436740365649</v>
      </c>
    </row>
    <row r="19" spans="1:22" x14ac:dyDescent="0.3">
      <c r="A19" s="137">
        <v>3</v>
      </c>
      <c r="B19" s="137" t="s">
        <v>2040</v>
      </c>
      <c r="C19" s="137">
        <v>1000314674</v>
      </c>
      <c r="D19" s="137" t="s">
        <v>1535</v>
      </c>
      <c r="E19" s="137">
        <v>1698595</v>
      </c>
      <c r="F19" s="137" t="s">
        <v>636</v>
      </c>
      <c r="G19" s="137" t="s">
        <v>2051</v>
      </c>
      <c r="H19" s="137" t="s">
        <v>2044</v>
      </c>
      <c r="I19" s="137" t="s">
        <v>2258</v>
      </c>
      <c r="J19" s="137" t="s">
        <v>2045</v>
      </c>
      <c r="K19" s="137" t="s">
        <v>2048</v>
      </c>
      <c r="L19" s="139">
        <f t="shared" si="0"/>
        <v>12377368465</v>
      </c>
      <c r="M19" s="140">
        <f t="shared" si="1"/>
        <v>48</v>
      </c>
      <c r="N19" s="141">
        <f t="shared" si="2"/>
        <v>0</v>
      </c>
      <c r="O19" s="141">
        <f t="shared" si="3"/>
        <v>0</v>
      </c>
      <c r="P19" s="141">
        <f t="shared" si="4"/>
        <v>1</v>
      </c>
      <c r="Q19" s="140">
        <v>0</v>
      </c>
      <c r="R19" s="139">
        <v>0</v>
      </c>
      <c r="S19" s="140">
        <v>0</v>
      </c>
      <c r="T19" s="139">
        <v>0</v>
      </c>
      <c r="U19" s="140">
        <v>48</v>
      </c>
      <c r="V19" s="139">
        <v>12377368465</v>
      </c>
    </row>
    <row r="20" spans="1:22" x14ac:dyDescent="0.3">
      <c r="A20" s="137">
        <v>4</v>
      </c>
      <c r="B20" s="137" t="s">
        <v>2052</v>
      </c>
      <c r="C20" s="137">
        <v>1000315445</v>
      </c>
      <c r="D20" s="137" t="s">
        <v>1536</v>
      </c>
      <c r="E20" s="137">
        <v>1683891</v>
      </c>
      <c r="F20" s="137" t="s">
        <v>655</v>
      </c>
      <c r="G20" s="137" t="s">
        <v>2053</v>
      </c>
      <c r="H20" s="137" t="s">
        <v>2044</v>
      </c>
      <c r="I20" s="137" t="s">
        <v>2258</v>
      </c>
      <c r="J20" s="137" t="s">
        <v>2047</v>
      </c>
      <c r="K20" s="137" t="s">
        <v>2048</v>
      </c>
      <c r="L20" s="139">
        <f t="shared" si="0"/>
        <v>99682530838788</v>
      </c>
      <c r="M20" s="140">
        <f t="shared" si="1"/>
        <v>2259811</v>
      </c>
      <c r="N20" s="141">
        <f t="shared" si="2"/>
        <v>4.1064262904601124E-3</v>
      </c>
      <c r="O20" s="141">
        <f t="shared" si="3"/>
        <v>0</v>
      </c>
      <c r="P20" s="141">
        <f t="shared" si="4"/>
        <v>0.9958935737095399</v>
      </c>
      <c r="Q20" s="140">
        <v>28</v>
      </c>
      <c r="R20" s="139">
        <v>409338965336</v>
      </c>
      <c r="S20" s="140">
        <v>0</v>
      </c>
      <c r="T20" s="139">
        <v>0</v>
      </c>
      <c r="U20" s="140">
        <v>2259783</v>
      </c>
      <c r="V20" s="139">
        <v>99273191873452</v>
      </c>
    </row>
    <row r="21" spans="1:22" x14ac:dyDescent="0.3">
      <c r="A21" s="137">
        <v>4</v>
      </c>
      <c r="B21" s="137" t="s">
        <v>2052</v>
      </c>
      <c r="C21" s="137">
        <v>1000315445</v>
      </c>
      <c r="D21" s="137" t="s">
        <v>1536</v>
      </c>
      <c r="E21" s="137">
        <v>1683891</v>
      </c>
      <c r="F21" s="137" t="s">
        <v>655</v>
      </c>
      <c r="G21" s="137" t="s">
        <v>2053</v>
      </c>
      <c r="H21" s="137" t="s">
        <v>2044</v>
      </c>
      <c r="I21" s="137" t="s">
        <v>2258</v>
      </c>
      <c r="J21" s="137" t="s">
        <v>2050</v>
      </c>
      <c r="K21" s="137" t="s">
        <v>2046</v>
      </c>
      <c r="L21" s="139">
        <f t="shared" si="0"/>
        <v>2267910146825</v>
      </c>
      <c r="M21" s="140">
        <f t="shared" si="1"/>
        <v>726077</v>
      </c>
      <c r="N21" s="141">
        <f t="shared" si="2"/>
        <v>9.8967916124994247E-3</v>
      </c>
      <c r="O21" s="141">
        <f t="shared" si="3"/>
        <v>0.35059466980080234</v>
      </c>
      <c r="P21" s="141">
        <f t="shared" si="4"/>
        <v>0.63950853858669821</v>
      </c>
      <c r="Q21" s="140">
        <v>43</v>
      </c>
      <c r="R21" s="139">
        <v>22445034119</v>
      </c>
      <c r="S21" s="140">
        <v>19936</v>
      </c>
      <c r="T21" s="139">
        <v>795117209064</v>
      </c>
      <c r="U21" s="140">
        <v>706098</v>
      </c>
      <c r="V21" s="139">
        <v>1450347903642</v>
      </c>
    </row>
    <row r="22" spans="1:22" x14ac:dyDescent="0.3">
      <c r="A22" s="137">
        <v>4</v>
      </c>
      <c r="B22" s="137" t="s">
        <v>2052</v>
      </c>
      <c r="C22" s="137">
        <v>1000315445</v>
      </c>
      <c r="D22" s="137" t="s">
        <v>1536</v>
      </c>
      <c r="E22" s="137">
        <v>1683891</v>
      </c>
      <c r="F22" s="137" t="s">
        <v>655</v>
      </c>
      <c r="G22" s="137" t="s">
        <v>2053</v>
      </c>
      <c r="H22" s="137" t="s">
        <v>2044</v>
      </c>
      <c r="I22" s="137" t="s">
        <v>2258</v>
      </c>
      <c r="J22" s="137" t="s">
        <v>2045</v>
      </c>
      <c r="K22" s="137" t="s">
        <v>2046</v>
      </c>
      <c r="L22" s="139">
        <f t="shared" si="0"/>
        <v>3690460683183</v>
      </c>
      <c r="M22" s="140">
        <f t="shared" si="1"/>
        <v>36739</v>
      </c>
      <c r="N22" s="141">
        <f t="shared" si="2"/>
        <v>0.40074257554681125</v>
      </c>
      <c r="O22" s="141">
        <f t="shared" si="3"/>
        <v>0.33956857871173773</v>
      </c>
      <c r="P22" s="141">
        <f t="shared" si="4"/>
        <v>0.25968884574145101</v>
      </c>
      <c r="Q22" s="140">
        <v>204</v>
      </c>
      <c r="R22" s="139">
        <v>1478924719133</v>
      </c>
      <c r="S22" s="140">
        <v>5777</v>
      </c>
      <c r="T22" s="139">
        <v>1253164488980</v>
      </c>
      <c r="U22" s="140">
        <v>30758</v>
      </c>
      <c r="V22" s="139">
        <v>958371475070</v>
      </c>
    </row>
    <row r="23" spans="1:22" x14ac:dyDescent="0.3">
      <c r="A23" s="137">
        <v>4</v>
      </c>
      <c r="B23" s="137" t="s">
        <v>2052</v>
      </c>
      <c r="C23" s="137">
        <v>1000315445</v>
      </c>
      <c r="D23" s="137" t="s">
        <v>1536</v>
      </c>
      <c r="E23" s="137">
        <v>1683891</v>
      </c>
      <c r="F23" s="137" t="s">
        <v>655</v>
      </c>
      <c r="G23" s="137" t="s">
        <v>2053</v>
      </c>
      <c r="H23" s="137" t="s">
        <v>2044</v>
      </c>
      <c r="I23" s="137" t="s">
        <v>2258</v>
      </c>
      <c r="J23" s="137" t="s">
        <v>2045</v>
      </c>
      <c r="K23" s="137" t="s">
        <v>2046</v>
      </c>
      <c r="L23" s="139">
        <f t="shared" si="0"/>
        <v>3594691519182</v>
      </c>
      <c r="M23" s="140">
        <f t="shared" si="1"/>
        <v>32283</v>
      </c>
      <c r="N23" s="141">
        <f t="shared" si="2"/>
        <v>0.41038110879252632</v>
      </c>
      <c r="O23" s="141">
        <f t="shared" si="3"/>
        <v>0.33195366194831039</v>
      </c>
      <c r="P23" s="141">
        <f t="shared" si="4"/>
        <v>0.2576652292591633</v>
      </c>
      <c r="Q23" s="140">
        <v>195</v>
      </c>
      <c r="R23" s="139">
        <v>1475193491409</v>
      </c>
      <c r="S23" s="140">
        <v>5339</v>
      </c>
      <c r="T23" s="139">
        <v>1193271013367</v>
      </c>
      <c r="U23" s="140">
        <v>26749</v>
      </c>
      <c r="V23" s="139">
        <v>926227014406</v>
      </c>
    </row>
    <row r="24" spans="1:22" x14ac:dyDescent="0.3">
      <c r="A24" s="137">
        <v>4</v>
      </c>
      <c r="B24" s="137" t="s">
        <v>2052</v>
      </c>
      <c r="C24" s="137">
        <v>1000315445</v>
      </c>
      <c r="D24" s="137" t="s">
        <v>1536</v>
      </c>
      <c r="E24" s="137">
        <v>1683891</v>
      </c>
      <c r="F24" s="137" t="s">
        <v>655</v>
      </c>
      <c r="G24" s="137" t="s">
        <v>2053</v>
      </c>
      <c r="H24" s="137" t="s">
        <v>2044</v>
      </c>
      <c r="I24" s="137" t="s">
        <v>2258</v>
      </c>
      <c r="J24" s="137" t="s">
        <v>2045</v>
      </c>
      <c r="K24" s="137" t="s">
        <v>2046</v>
      </c>
      <c r="L24" s="139">
        <f t="shared" si="0"/>
        <v>95769164001</v>
      </c>
      <c r="M24" s="140">
        <f t="shared" si="1"/>
        <v>4456</v>
      </c>
      <c r="N24" s="141">
        <f t="shared" si="2"/>
        <v>3.8960637935202602E-2</v>
      </c>
      <c r="O24" s="141">
        <f t="shared" si="3"/>
        <v>0.62539415727148462</v>
      </c>
      <c r="P24" s="141">
        <f t="shared" si="4"/>
        <v>0.33564520479331272</v>
      </c>
      <c r="Q24" s="140">
        <v>9</v>
      </c>
      <c r="R24" s="139">
        <v>3731227724</v>
      </c>
      <c r="S24" s="140">
        <v>438</v>
      </c>
      <c r="T24" s="139">
        <v>59893475613</v>
      </c>
      <c r="U24" s="140">
        <v>4009</v>
      </c>
      <c r="V24" s="139">
        <v>32144460664</v>
      </c>
    </row>
    <row r="25" spans="1:22" x14ac:dyDescent="0.3">
      <c r="A25" s="137">
        <v>4</v>
      </c>
      <c r="B25" s="207" t="s">
        <v>2054</v>
      </c>
      <c r="C25" s="137">
        <v>1000315445</v>
      </c>
      <c r="D25" s="137" t="s">
        <v>1536</v>
      </c>
      <c r="E25" s="137">
        <v>1683891</v>
      </c>
      <c r="F25" s="137" t="s">
        <v>655</v>
      </c>
      <c r="G25" s="207" t="s">
        <v>3973</v>
      </c>
      <c r="H25" s="207" t="s">
        <v>2056</v>
      </c>
      <c r="I25" s="137" t="s">
        <v>2258</v>
      </c>
      <c r="J25" s="137" t="s">
        <v>2047</v>
      </c>
      <c r="K25" s="137" t="s">
        <v>2048</v>
      </c>
      <c r="L25" s="139">
        <f t="shared" ref="L25:L27" si="5">ABS(R25)+ABS(T25)+ABS(V25)</f>
        <v>258715357033820</v>
      </c>
      <c r="M25" s="140">
        <f t="shared" ref="M25:M27" si="6">Q25+S25+U25</f>
        <v>4410298</v>
      </c>
      <c r="N25" s="141">
        <f t="shared" ref="N25:N27" si="7">ABS(R25)/$L25</f>
        <v>3.512234755554987E-3</v>
      </c>
      <c r="O25" s="141">
        <f t="shared" ref="O25:O27" si="8">ABS(T25)/$L25</f>
        <v>0</v>
      </c>
      <c r="P25" s="141">
        <f t="shared" ref="P25:P27" si="9">ABS(V25)/$L25</f>
        <v>0.99648776524444505</v>
      </c>
      <c r="Q25" s="140">
        <v>59</v>
      </c>
      <c r="R25" s="139">
        <v>908669068770</v>
      </c>
      <c r="S25" s="140">
        <v>0</v>
      </c>
      <c r="T25" s="139">
        <v>0</v>
      </c>
      <c r="U25" s="140">
        <v>4410239</v>
      </c>
      <c r="V25" s="139">
        <v>257806687965050</v>
      </c>
    </row>
    <row r="26" spans="1:22" x14ac:dyDescent="0.3">
      <c r="A26" s="137">
        <v>4</v>
      </c>
      <c r="B26" s="207" t="s">
        <v>2054</v>
      </c>
      <c r="C26" s="137">
        <v>1000315445</v>
      </c>
      <c r="D26" s="137" t="s">
        <v>1536</v>
      </c>
      <c r="E26" s="137">
        <v>1683891</v>
      </c>
      <c r="F26" s="137" t="s">
        <v>655</v>
      </c>
      <c r="G26" s="207" t="s">
        <v>3973</v>
      </c>
      <c r="H26" s="207" t="s">
        <v>2056</v>
      </c>
      <c r="I26" s="137" t="s">
        <v>2258</v>
      </c>
      <c r="J26" s="137" t="s">
        <v>2045</v>
      </c>
      <c r="K26" s="137" t="s">
        <v>2046</v>
      </c>
      <c r="L26" s="139">
        <f t="shared" si="5"/>
        <v>2418697305303</v>
      </c>
      <c r="M26" s="140">
        <f t="shared" si="6"/>
        <v>17951</v>
      </c>
      <c r="N26" s="141">
        <f t="shared" si="7"/>
        <v>3.5796286339829417E-3</v>
      </c>
      <c r="O26" s="141">
        <f t="shared" si="8"/>
        <v>0.11739266549496156</v>
      </c>
      <c r="P26" s="141">
        <f t="shared" si="9"/>
        <v>0.8790277058710555</v>
      </c>
      <c r="Q26" s="140">
        <v>191</v>
      </c>
      <c r="R26" s="139">
        <v>8658038131</v>
      </c>
      <c r="S26" s="140">
        <v>903</v>
      </c>
      <c r="T26" s="139">
        <v>283937323695</v>
      </c>
      <c r="U26" s="140">
        <v>16857</v>
      </c>
      <c r="V26" s="139">
        <v>2126101943477</v>
      </c>
    </row>
    <row r="27" spans="1:22" x14ac:dyDescent="0.3">
      <c r="A27" s="137">
        <v>4</v>
      </c>
      <c r="B27" s="207" t="s">
        <v>2054</v>
      </c>
      <c r="C27" s="137">
        <v>1000315445</v>
      </c>
      <c r="D27" s="137" t="s">
        <v>1536</v>
      </c>
      <c r="E27" s="137">
        <v>1683891</v>
      </c>
      <c r="F27" s="137" t="s">
        <v>655</v>
      </c>
      <c r="G27" s="207" t="s">
        <v>3973</v>
      </c>
      <c r="H27" s="207" t="s">
        <v>2056</v>
      </c>
      <c r="I27" s="137" t="s">
        <v>2258</v>
      </c>
      <c r="J27" s="137" t="s">
        <v>2045</v>
      </c>
      <c r="K27" s="137" t="s">
        <v>2046</v>
      </c>
      <c r="L27" s="139">
        <f t="shared" si="5"/>
        <v>255677330673</v>
      </c>
      <c r="M27" s="140">
        <f t="shared" si="6"/>
        <v>8611</v>
      </c>
      <c r="N27" s="141">
        <f t="shared" si="7"/>
        <v>3.1087013999553419E-2</v>
      </c>
      <c r="O27" s="141">
        <f t="shared" si="8"/>
        <v>0.28439033182803225</v>
      </c>
      <c r="P27" s="141">
        <f t="shared" si="9"/>
        <v>0.68452265417241431</v>
      </c>
      <c r="Q27" s="140">
        <v>187</v>
      </c>
      <c r="R27" s="139">
        <v>7948244758</v>
      </c>
      <c r="S27" s="140">
        <v>575</v>
      </c>
      <c r="T27" s="139">
        <v>72712160911</v>
      </c>
      <c r="U27" s="140">
        <v>7849</v>
      </c>
      <c r="V27" s="139">
        <v>175016925004</v>
      </c>
    </row>
    <row r="28" spans="1:22" x14ac:dyDescent="0.3">
      <c r="A28" s="137">
        <v>4</v>
      </c>
      <c r="B28" s="207" t="s">
        <v>3983</v>
      </c>
      <c r="C28" s="137">
        <v>1000315445</v>
      </c>
      <c r="D28" s="137" t="s">
        <v>1536</v>
      </c>
      <c r="E28" s="137">
        <v>1683891</v>
      </c>
      <c r="F28" s="137" t="s">
        <v>655</v>
      </c>
      <c r="G28" s="207" t="s">
        <v>3973</v>
      </c>
      <c r="H28" s="213" t="s">
        <v>3974</v>
      </c>
      <c r="I28" s="137" t="s">
        <v>2258</v>
      </c>
      <c r="J28" s="137" t="s">
        <v>2047</v>
      </c>
      <c r="K28" s="137" t="s">
        <v>2048</v>
      </c>
      <c r="L28" s="139">
        <f t="shared" ref="L28:L30" si="10">ABS(R28)+ABS(T28)+ABS(V28)</f>
        <v>245095979529562</v>
      </c>
      <c r="M28" s="140">
        <f t="shared" ref="M28:M30" si="11">Q28+S28+U28</f>
        <v>4504496</v>
      </c>
      <c r="N28" s="141">
        <f t="shared" ref="N28:N30" si="12">ABS(R28)/$L28</f>
        <v>9.4325741045546366E-3</v>
      </c>
      <c r="O28" s="141">
        <f t="shared" ref="O28:O30" si="13">ABS(T28)/$L28</f>
        <v>0</v>
      </c>
      <c r="P28" s="141">
        <f t="shared" ref="P28:P30" si="14">ABS(V28)/$L28</f>
        <v>0.99056742589544533</v>
      </c>
      <c r="Q28" s="140">
        <v>201</v>
      </c>
      <c r="R28" s="139">
        <v>2311885989641</v>
      </c>
      <c r="S28" s="140">
        <v>0</v>
      </c>
      <c r="T28" s="139">
        <v>0</v>
      </c>
      <c r="U28" s="140">
        <v>4504295</v>
      </c>
      <c r="V28" s="139">
        <v>242784093539921</v>
      </c>
    </row>
    <row r="29" spans="1:22" x14ac:dyDescent="0.3">
      <c r="A29" s="137">
        <v>4</v>
      </c>
      <c r="B29" s="207" t="s">
        <v>3983</v>
      </c>
      <c r="C29" s="137">
        <v>1000315445</v>
      </c>
      <c r="D29" s="137" t="s">
        <v>1536</v>
      </c>
      <c r="E29" s="137">
        <v>1683891</v>
      </c>
      <c r="F29" s="137" t="s">
        <v>655</v>
      </c>
      <c r="G29" s="207" t="s">
        <v>3973</v>
      </c>
      <c r="H29" s="213" t="s">
        <v>3974</v>
      </c>
      <c r="I29" s="137" t="s">
        <v>2258</v>
      </c>
      <c r="J29" s="137" t="s">
        <v>2045</v>
      </c>
      <c r="K29" s="137" t="s">
        <v>2046</v>
      </c>
      <c r="L29" s="139">
        <f t="shared" si="10"/>
        <v>2699813880779</v>
      </c>
      <c r="M29" s="140">
        <f t="shared" si="11"/>
        <v>19137</v>
      </c>
      <c r="N29" s="141">
        <f t="shared" si="12"/>
        <v>5.3937618147211911E-3</v>
      </c>
      <c r="O29" s="141">
        <f t="shared" si="13"/>
        <v>0.12812349283914037</v>
      </c>
      <c r="P29" s="141">
        <f t="shared" si="14"/>
        <v>0.86648274534613845</v>
      </c>
      <c r="Q29" s="140">
        <v>309</v>
      </c>
      <c r="R29" s="139">
        <v>14562153017</v>
      </c>
      <c r="S29" s="140">
        <v>1143</v>
      </c>
      <c r="T29" s="139">
        <v>345909584421</v>
      </c>
      <c r="U29" s="140">
        <v>17685</v>
      </c>
      <c r="V29" s="139">
        <v>2339342143341</v>
      </c>
    </row>
    <row r="30" spans="1:22" x14ac:dyDescent="0.3">
      <c r="A30" s="137">
        <v>4</v>
      </c>
      <c r="B30" s="207" t="s">
        <v>3983</v>
      </c>
      <c r="C30" s="137">
        <v>1000315445</v>
      </c>
      <c r="D30" s="137" t="s">
        <v>1536</v>
      </c>
      <c r="E30" s="137">
        <v>1683891</v>
      </c>
      <c r="F30" s="137" t="s">
        <v>655</v>
      </c>
      <c r="G30" s="207" t="s">
        <v>3973</v>
      </c>
      <c r="H30" s="213" t="s">
        <v>3974</v>
      </c>
      <c r="I30" s="137" t="s">
        <v>2258</v>
      </c>
      <c r="J30" s="137" t="s">
        <v>2045</v>
      </c>
      <c r="K30" s="137" t="s">
        <v>2046</v>
      </c>
      <c r="L30" s="139">
        <f t="shared" si="10"/>
        <v>202567650530</v>
      </c>
      <c r="M30" s="140">
        <f t="shared" si="11"/>
        <v>9287</v>
      </c>
      <c r="N30" s="141">
        <f t="shared" si="12"/>
        <v>4.122306846701225E-2</v>
      </c>
      <c r="O30" s="141">
        <f t="shared" si="13"/>
        <v>0.1056649221926482</v>
      </c>
      <c r="P30" s="141">
        <f t="shared" si="14"/>
        <v>0.85311200934033959</v>
      </c>
      <c r="Q30" s="140">
        <v>296</v>
      </c>
      <c r="R30" s="139">
        <v>8350460127</v>
      </c>
      <c r="S30" s="140">
        <v>814</v>
      </c>
      <c r="T30" s="139">
        <v>21404295032</v>
      </c>
      <c r="U30" s="140">
        <v>8177</v>
      </c>
      <c r="V30" s="139">
        <v>172812895371</v>
      </c>
    </row>
    <row r="31" spans="1:22" x14ac:dyDescent="0.3">
      <c r="A31" s="137">
        <v>5</v>
      </c>
      <c r="B31" s="137" t="s">
        <v>2054</v>
      </c>
      <c r="C31" s="137">
        <v>1000316943</v>
      </c>
      <c r="D31" s="137" t="s">
        <v>1537</v>
      </c>
      <c r="E31" s="137">
        <v>1658093</v>
      </c>
      <c r="F31" s="137" t="s">
        <v>650</v>
      </c>
      <c r="G31" s="137" t="s">
        <v>2055</v>
      </c>
      <c r="H31" s="137" t="s">
        <v>2056</v>
      </c>
      <c r="I31" s="137" t="s">
        <v>2258</v>
      </c>
      <c r="J31" s="137" t="s">
        <v>2047</v>
      </c>
      <c r="K31" s="137" t="s">
        <v>2048</v>
      </c>
      <c r="L31" s="139">
        <f>ABS(R31)+ABS(T31)+ABS(V31)</f>
        <v>218987438614968</v>
      </c>
      <c r="M31" s="140">
        <f>Q31+S31+U31</f>
        <v>663981</v>
      </c>
      <c r="N31" s="141">
        <f>ABS(R31)/$L31</f>
        <v>9.783119038785662E-3</v>
      </c>
      <c r="O31" s="141">
        <f>ABS(T31)/$L31</f>
        <v>0</v>
      </c>
      <c r="P31" s="141">
        <f>ABS(V31)/$L31</f>
        <v>0.9902168809612143</v>
      </c>
      <c r="Q31" s="140">
        <v>45</v>
      </c>
      <c r="R31" s="139">
        <v>2142380179969</v>
      </c>
      <c r="S31" s="140">
        <v>0</v>
      </c>
      <c r="T31" s="139">
        <v>0</v>
      </c>
      <c r="U31" s="140">
        <v>663936</v>
      </c>
      <c r="V31" s="139">
        <v>216845058434999</v>
      </c>
    </row>
    <row r="32" spans="1:22" x14ac:dyDescent="0.3">
      <c r="A32" s="137">
        <v>5</v>
      </c>
      <c r="B32" s="137" t="s">
        <v>2054</v>
      </c>
      <c r="C32" s="137">
        <v>1000316943</v>
      </c>
      <c r="D32" s="137" t="s">
        <v>1537</v>
      </c>
      <c r="E32" s="137">
        <v>1658093</v>
      </c>
      <c r="F32" s="137" t="s">
        <v>650</v>
      </c>
      <c r="G32" s="137" t="s">
        <v>2055</v>
      </c>
      <c r="H32" s="137" t="s">
        <v>2056</v>
      </c>
      <c r="I32" s="137" t="s">
        <v>2258</v>
      </c>
      <c r="J32" s="137" t="s">
        <v>2050</v>
      </c>
      <c r="K32" s="137" t="s">
        <v>2048</v>
      </c>
      <c r="L32" s="139">
        <f>ABS(R32)+ABS(T32)+ABS(V32)</f>
        <v>254462387513</v>
      </c>
      <c r="M32" s="140">
        <f>Q32+S32+U32</f>
        <v>1314</v>
      </c>
      <c r="N32" s="141">
        <f>ABS(R32)/$L32</f>
        <v>6.7282488666916745E-2</v>
      </c>
      <c r="O32" s="141">
        <f>ABS(T32)/$L32</f>
        <v>0.46838260314959523</v>
      </c>
      <c r="P32" s="141">
        <f>ABS(V32)/$L32</f>
        <v>0.46433490818348799</v>
      </c>
      <c r="Q32" s="140">
        <v>18</v>
      </c>
      <c r="R32" s="139">
        <v>17120862704</v>
      </c>
      <c r="S32" s="140">
        <v>125</v>
      </c>
      <c r="T32" s="139">
        <v>119185755467</v>
      </c>
      <c r="U32" s="140">
        <v>1171</v>
      </c>
      <c r="V32" s="139">
        <v>118155769342</v>
      </c>
    </row>
    <row r="33" spans="1:22" x14ac:dyDescent="0.3">
      <c r="A33" s="137">
        <v>5</v>
      </c>
      <c r="B33" s="137" t="s">
        <v>2054</v>
      </c>
      <c r="C33" s="137">
        <v>1000316943</v>
      </c>
      <c r="D33" s="137" t="s">
        <v>1537</v>
      </c>
      <c r="E33" s="137">
        <v>1658093</v>
      </c>
      <c r="F33" s="137" t="s">
        <v>650</v>
      </c>
      <c r="G33" s="137" t="s">
        <v>2055</v>
      </c>
      <c r="H33" s="137" t="s">
        <v>2056</v>
      </c>
      <c r="I33" s="137" t="s">
        <v>2258</v>
      </c>
      <c r="J33" s="137" t="s">
        <v>2045</v>
      </c>
      <c r="K33" s="137" t="s">
        <v>2048</v>
      </c>
      <c r="L33" s="139">
        <f>ABS(R33)+ABS(T33)+ABS(V33)</f>
        <v>214849009293</v>
      </c>
      <c r="M33" s="140">
        <f>Q33+S33+U33</f>
        <v>2480</v>
      </c>
      <c r="N33" s="141">
        <f>ABS(R33)/$L33</f>
        <v>2.8888753177984615E-3</v>
      </c>
      <c r="O33" s="141">
        <f>ABS(T33)/$L33</f>
        <v>0.11252360754910712</v>
      </c>
      <c r="P33" s="141">
        <f>ABS(V33)/$L33</f>
        <v>0.88458751713309447</v>
      </c>
      <c r="Q33" s="140">
        <v>1</v>
      </c>
      <c r="R33" s="139">
        <v>620672000</v>
      </c>
      <c r="S33" s="140">
        <v>84</v>
      </c>
      <c r="T33" s="139">
        <v>24175585604</v>
      </c>
      <c r="U33" s="140">
        <v>2395</v>
      </c>
      <c r="V33" s="139">
        <v>190052751689</v>
      </c>
    </row>
    <row r="34" spans="1:22" x14ac:dyDescent="0.3">
      <c r="A34" s="137">
        <v>5</v>
      </c>
      <c r="B34" s="207" t="s">
        <v>3422</v>
      </c>
      <c r="C34" s="137">
        <v>1000316943</v>
      </c>
      <c r="D34" s="137" t="s">
        <v>1537</v>
      </c>
      <c r="E34" s="137">
        <v>1658093</v>
      </c>
      <c r="F34" s="137" t="s">
        <v>650</v>
      </c>
      <c r="G34" s="137" t="s">
        <v>3976</v>
      </c>
      <c r="H34" s="137" t="s">
        <v>3975</v>
      </c>
      <c r="I34" s="137" t="s">
        <v>2258</v>
      </c>
      <c r="J34" s="137" t="s">
        <v>2047</v>
      </c>
      <c r="K34" s="137" t="s">
        <v>2048</v>
      </c>
      <c r="L34" s="139">
        <f t="shared" ref="L34:L39" si="15">ABS(R34)+ABS(T34)+ABS(V34)</f>
        <v>596068726722996</v>
      </c>
      <c r="M34" s="140">
        <f t="shared" ref="M34:M39" si="16">Q34+S34+U34</f>
        <v>1586255</v>
      </c>
      <c r="N34" s="141">
        <f t="shared" ref="N34:N39" si="17">ABS(R34)/$L34</f>
        <v>2.8879566927690462E-3</v>
      </c>
      <c r="O34" s="141">
        <f t="shared" ref="O34:O39" si="18">ABS(T34)/$L34</f>
        <v>0</v>
      </c>
      <c r="P34" s="141">
        <f t="shared" ref="P34:P39" si="19">ABS(V34)/$L34</f>
        <v>0.99711204330723091</v>
      </c>
      <c r="Q34" s="140">
        <v>54</v>
      </c>
      <c r="R34" s="139">
        <v>1721420668690</v>
      </c>
      <c r="S34" s="140">
        <v>0</v>
      </c>
      <c r="T34" s="139">
        <v>0</v>
      </c>
      <c r="U34" s="140">
        <v>1586201</v>
      </c>
      <c r="V34" s="139">
        <v>594347306054306</v>
      </c>
    </row>
    <row r="35" spans="1:22" x14ac:dyDescent="0.3">
      <c r="A35" s="137">
        <v>5</v>
      </c>
      <c r="B35" s="207" t="s">
        <v>3422</v>
      </c>
      <c r="C35" s="137">
        <v>1000316943</v>
      </c>
      <c r="D35" s="137" t="s">
        <v>1537</v>
      </c>
      <c r="E35" s="137">
        <v>1658093</v>
      </c>
      <c r="F35" s="137" t="s">
        <v>650</v>
      </c>
      <c r="G35" s="137" t="s">
        <v>3976</v>
      </c>
      <c r="H35" s="137" t="s">
        <v>3975</v>
      </c>
      <c r="I35" s="137" t="s">
        <v>2258</v>
      </c>
      <c r="J35" s="137" t="s">
        <v>2050</v>
      </c>
      <c r="K35" s="137" t="s">
        <v>2048</v>
      </c>
      <c r="L35" s="139">
        <f t="shared" si="15"/>
        <v>1655328454559</v>
      </c>
      <c r="M35" s="140">
        <f t="shared" si="16"/>
        <v>32186</v>
      </c>
      <c r="N35" s="141">
        <f t="shared" si="17"/>
        <v>9.3431518527966884E-2</v>
      </c>
      <c r="O35" s="141">
        <f t="shared" si="18"/>
        <v>0.48930936836024208</v>
      </c>
      <c r="P35" s="141">
        <f t="shared" si="19"/>
        <v>0.41725911311179104</v>
      </c>
      <c r="Q35" s="140">
        <v>19</v>
      </c>
      <c r="R35" s="139">
        <v>154659851172</v>
      </c>
      <c r="S35" s="140">
        <v>301</v>
      </c>
      <c r="T35" s="139">
        <v>809967720529</v>
      </c>
      <c r="U35" s="140">
        <v>31866</v>
      </c>
      <c r="V35" s="139">
        <v>690700882858</v>
      </c>
    </row>
    <row r="36" spans="1:22" x14ac:dyDescent="0.3">
      <c r="A36" s="137">
        <v>5</v>
      </c>
      <c r="B36" s="207" t="s">
        <v>3422</v>
      </c>
      <c r="C36" s="137">
        <v>1000316943</v>
      </c>
      <c r="D36" s="137" t="s">
        <v>1537</v>
      </c>
      <c r="E36" s="137">
        <v>1658093</v>
      </c>
      <c r="F36" s="137" t="s">
        <v>650</v>
      </c>
      <c r="G36" s="137" t="s">
        <v>3976</v>
      </c>
      <c r="H36" s="137" t="s">
        <v>3975</v>
      </c>
      <c r="I36" s="137" t="s">
        <v>2258</v>
      </c>
      <c r="J36" s="137" t="s">
        <v>2045</v>
      </c>
      <c r="K36" s="137" t="s">
        <v>2048</v>
      </c>
      <c r="L36" s="139">
        <f t="shared" ref="L36" si="20">ABS(R36)+ABS(T36)+ABS(V36)</f>
        <v>1461806521707</v>
      </c>
      <c r="M36" s="140">
        <f t="shared" ref="M36" si="21">Q36+S36+U36</f>
        <v>4320</v>
      </c>
      <c r="N36" s="141">
        <f t="shared" ref="N36" si="22">ABS(R36)/$L36</f>
        <v>4.5414959426009857E-2</v>
      </c>
      <c r="O36" s="141">
        <f t="shared" ref="O36" si="23">ABS(T36)/$L36</f>
        <v>0.33908385043061912</v>
      </c>
      <c r="P36" s="141">
        <f t="shared" ref="P36" si="24">ABS(V36)/$L36</f>
        <v>0.61550119014337101</v>
      </c>
      <c r="Q36" s="140">
        <v>6</v>
      </c>
      <c r="R36" s="139">
        <v>66387883872</v>
      </c>
      <c r="S36" s="140">
        <v>120</v>
      </c>
      <c r="T36" s="139">
        <v>495674983965</v>
      </c>
      <c r="U36" s="140">
        <v>4194</v>
      </c>
      <c r="V36" s="139">
        <v>899743653870</v>
      </c>
    </row>
    <row r="37" spans="1:22" x14ac:dyDescent="0.3">
      <c r="A37" s="137">
        <v>5</v>
      </c>
      <c r="B37" s="207" t="s">
        <v>3983</v>
      </c>
      <c r="C37" s="137">
        <v>1000316943</v>
      </c>
      <c r="D37" s="137" t="s">
        <v>1537</v>
      </c>
      <c r="E37" s="137">
        <v>1658093</v>
      </c>
      <c r="F37" s="137" t="s">
        <v>650</v>
      </c>
      <c r="G37" s="137" t="s">
        <v>3976</v>
      </c>
      <c r="H37" s="207" t="s">
        <v>3969</v>
      </c>
      <c r="I37" s="137" t="s">
        <v>2258</v>
      </c>
      <c r="J37" s="137" t="s">
        <v>2047</v>
      </c>
      <c r="K37" s="137" t="s">
        <v>2048</v>
      </c>
      <c r="L37" s="139">
        <f t="shared" ref="L37:L38" si="25">ABS(R37)+ABS(T37)+ABS(V37)</f>
        <v>1461806521707</v>
      </c>
      <c r="M37" s="140">
        <f t="shared" ref="M37:M38" si="26">Q37+S37+U37</f>
        <v>4320</v>
      </c>
      <c r="N37" s="141">
        <f t="shared" ref="N37:N38" si="27">ABS(R37)/$L37</f>
        <v>4.5414959426009857E-2</v>
      </c>
      <c r="O37" s="141">
        <f t="shared" ref="O37:O38" si="28">ABS(T37)/$L37</f>
        <v>0.33908385043061912</v>
      </c>
      <c r="P37" s="141">
        <f t="shared" ref="P37:P38" si="29">ABS(V37)/$L37</f>
        <v>0.61550119014337101</v>
      </c>
      <c r="Q37" s="140">
        <v>6</v>
      </c>
      <c r="R37" s="139">
        <v>66387883872</v>
      </c>
      <c r="S37" s="140">
        <v>120</v>
      </c>
      <c r="T37" s="139">
        <v>495674983965</v>
      </c>
      <c r="U37" s="140">
        <v>4194</v>
      </c>
      <c r="V37" s="139">
        <v>899743653870</v>
      </c>
    </row>
    <row r="38" spans="1:22" x14ac:dyDescent="0.3">
      <c r="A38" s="137">
        <v>5</v>
      </c>
      <c r="B38" s="207" t="s">
        <v>3983</v>
      </c>
      <c r="C38" s="137">
        <v>1000316943</v>
      </c>
      <c r="D38" s="137" t="s">
        <v>1537</v>
      </c>
      <c r="E38" s="137">
        <v>1658093</v>
      </c>
      <c r="F38" s="137" t="s">
        <v>650</v>
      </c>
      <c r="G38" s="137" t="s">
        <v>3976</v>
      </c>
      <c r="H38" s="207" t="s">
        <v>3969</v>
      </c>
      <c r="I38" s="137" t="s">
        <v>2258</v>
      </c>
      <c r="J38" s="137" t="s">
        <v>2050</v>
      </c>
      <c r="K38" s="137" t="s">
        <v>2046</v>
      </c>
      <c r="L38" s="139">
        <f t="shared" si="25"/>
        <v>622742807503262</v>
      </c>
      <c r="M38" s="140">
        <f t="shared" si="26"/>
        <v>1749883</v>
      </c>
      <c r="N38" s="141">
        <f t="shared" si="27"/>
        <v>7.6641534922858171E-3</v>
      </c>
      <c r="O38" s="141">
        <f t="shared" si="28"/>
        <v>0</v>
      </c>
      <c r="P38" s="141">
        <f t="shared" si="29"/>
        <v>0.99233584650771423</v>
      </c>
      <c r="Q38" s="140">
        <v>103</v>
      </c>
      <c r="R38" s="139">
        <v>4772796462922</v>
      </c>
      <c r="S38" s="140">
        <v>0</v>
      </c>
      <c r="T38" s="139">
        <v>0</v>
      </c>
      <c r="U38" s="140">
        <v>1749780</v>
      </c>
      <c r="V38" s="139">
        <v>617970011040340</v>
      </c>
    </row>
    <row r="39" spans="1:22" x14ac:dyDescent="0.3">
      <c r="A39" s="137">
        <v>5</v>
      </c>
      <c r="B39" s="207" t="s">
        <v>3983</v>
      </c>
      <c r="C39" s="137">
        <v>1000316943</v>
      </c>
      <c r="D39" s="137" t="s">
        <v>1537</v>
      </c>
      <c r="E39" s="137">
        <v>1658093</v>
      </c>
      <c r="F39" s="137" t="s">
        <v>650</v>
      </c>
      <c r="G39" s="137" t="s">
        <v>3976</v>
      </c>
      <c r="H39" s="207" t="s">
        <v>3969</v>
      </c>
      <c r="I39" s="137" t="s">
        <v>2258</v>
      </c>
      <c r="J39" s="137" t="s">
        <v>2045</v>
      </c>
      <c r="K39" s="137" t="s">
        <v>2046</v>
      </c>
      <c r="L39" s="139">
        <f t="shared" si="15"/>
        <v>2094818529432</v>
      </c>
      <c r="M39" s="140">
        <f t="shared" si="16"/>
        <v>36633</v>
      </c>
      <c r="N39" s="141">
        <f t="shared" si="17"/>
        <v>0.24237458278912052</v>
      </c>
      <c r="O39" s="141">
        <f t="shared" si="18"/>
        <v>0.3445352091031465</v>
      </c>
      <c r="P39" s="141">
        <f t="shared" si="19"/>
        <v>0.41309020810773295</v>
      </c>
      <c r="Q39" s="140">
        <v>27</v>
      </c>
      <c r="R39" s="139">
        <v>507730767090</v>
      </c>
      <c r="S39" s="140">
        <v>323</v>
      </c>
      <c r="T39" s="139">
        <v>721738740071</v>
      </c>
      <c r="U39" s="140">
        <v>36283</v>
      </c>
      <c r="V39" s="139">
        <v>865349022271</v>
      </c>
    </row>
    <row r="40" spans="1:22" x14ac:dyDescent="0.3">
      <c r="A40" s="137">
        <v>5</v>
      </c>
      <c r="B40" s="137" t="s">
        <v>2054</v>
      </c>
      <c r="C40" s="137">
        <v>1000359362</v>
      </c>
      <c r="D40" s="137" t="s">
        <v>1537</v>
      </c>
      <c r="E40" s="137">
        <v>1658093</v>
      </c>
      <c r="F40" s="137" t="s">
        <v>2057</v>
      </c>
      <c r="G40" s="138" t="s">
        <v>2058</v>
      </c>
      <c r="H40" s="137" t="s">
        <v>2056</v>
      </c>
      <c r="I40" s="137" t="s">
        <v>2258</v>
      </c>
      <c r="J40" s="137" t="s">
        <v>2047</v>
      </c>
      <c r="K40" s="137" t="s">
        <v>2048</v>
      </c>
      <c r="L40" s="139">
        <f t="shared" si="0"/>
        <v>149312212067532</v>
      </c>
      <c r="M40" s="140">
        <f t="shared" si="1"/>
        <v>371197</v>
      </c>
      <c r="N40" s="141">
        <f t="shared" si="2"/>
        <v>3.4796942464405345E-2</v>
      </c>
      <c r="O40" s="141">
        <f t="shared" si="3"/>
        <v>0</v>
      </c>
      <c r="P40" s="141">
        <f t="shared" si="4"/>
        <v>0.96520305753559466</v>
      </c>
      <c r="Q40" s="140">
        <v>17</v>
      </c>
      <c r="R40" s="139">
        <v>5195608452547</v>
      </c>
      <c r="S40" s="140">
        <v>0</v>
      </c>
      <c r="T40" s="139">
        <v>0</v>
      </c>
      <c r="U40" s="140">
        <v>371180</v>
      </c>
      <c r="V40" s="139">
        <v>144116603614985</v>
      </c>
    </row>
    <row r="41" spans="1:22" x14ac:dyDescent="0.3">
      <c r="A41" s="137">
        <v>5</v>
      </c>
      <c r="B41" s="137" t="s">
        <v>2054</v>
      </c>
      <c r="C41" s="137">
        <v>1000359362</v>
      </c>
      <c r="D41" s="137" t="s">
        <v>1537</v>
      </c>
      <c r="E41" s="137">
        <v>1658093</v>
      </c>
      <c r="F41" s="137" t="s">
        <v>2057</v>
      </c>
      <c r="G41" s="138" t="s">
        <v>2058</v>
      </c>
      <c r="H41" s="137" t="s">
        <v>2056</v>
      </c>
      <c r="I41" s="137" t="s">
        <v>2258</v>
      </c>
      <c r="J41" s="137" t="s">
        <v>2050</v>
      </c>
      <c r="K41" s="137" t="s">
        <v>2048</v>
      </c>
      <c r="L41" s="139">
        <f t="shared" si="0"/>
        <v>222922914822</v>
      </c>
      <c r="M41" s="140">
        <f t="shared" si="1"/>
        <v>56972</v>
      </c>
      <c r="N41" s="141">
        <f t="shared" si="2"/>
        <v>2.1963448597958152E-2</v>
      </c>
      <c r="O41" s="141">
        <f t="shared" si="3"/>
        <v>8.0163143090377406E-2</v>
      </c>
      <c r="P41" s="141">
        <f t="shared" si="4"/>
        <v>0.8978734083116644</v>
      </c>
      <c r="Q41" s="140">
        <v>59</v>
      </c>
      <c r="R41" s="139">
        <v>4896155981</v>
      </c>
      <c r="S41" s="140">
        <v>957</v>
      </c>
      <c r="T41" s="139">
        <v>17870201519</v>
      </c>
      <c r="U41" s="140">
        <v>55956</v>
      </c>
      <c r="V41" s="139">
        <v>200156557322</v>
      </c>
    </row>
    <row r="42" spans="1:22" x14ac:dyDescent="0.3">
      <c r="A42" s="137">
        <v>5</v>
      </c>
      <c r="B42" s="137" t="s">
        <v>2054</v>
      </c>
      <c r="C42" s="137">
        <v>1000359362</v>
      </c>
      <c r="D42" s="137" t="s">
        <v>1537</v>
      </c>
      <c r="E42" s="137">
        <v>1658093</v>
      </c>
      <c r="F42" s="137" t="s">
        <v>2057</v>
      </c>
      <c r="G42" s="138" t="s">
        <v>2058</v>
      </c>
      <c r="H42" s="137" t="s">
        <v>2056</v>
      </c>
      <c r="I42" s="137" t="s">
        <v>2258</v>
      </c>
      <c r="J42" s="137" t="s">
        <v>2045</v>
      </c>
      <c r="K42" s="137" t="s">
        <v>2048</v>
      </c>
      <c r="L42" s="139">
        <f t="shared" si="0"/>
        <v>1961865715609</v>
      </c>
      <c r="M42" s="140">
        <f t="shared" si="1"/>
        <v>2025</v>
      </c>
      <c r="N42" s="141">
        <f t="shared" si="2"/>
        <v>2.4302158884100785E-3</v>
      </c>
      <c r="O42" s="141">
        <f t="shared" si="3"/>
        <v>0.36842467706492815</v>
      </c>
      <c r="P42" s="141">
        <f t="shared" si="4"/>
        <v>0.62914510704666182</v>
      </c>
      <c r="Q42" s="140">
        <v>40</v>
      </c>
      <c r="R42" s="139">
        <v>4767757233</v>
      </c>
      <c r="S42" s="140">
        <v>102</v>
      </c>
      <c r="T42" s="139">
        <v>722799742718</v>
      </c>
      <c r="U42" s="140">
        <v>1883</v>
      </c>
      <c r="V42" s="139">
        <v>1234298215658</v>
      </c>
    </row>
    <row r="43" spans="1:22" x14ac:dyDescent="0.3">
      <c r="A43" s="137">
        <v>5</v>
      </c>
      <c r="B43" s="207" t="s">
        <v>3422</v>
      </c>
      <c r="C43" s="137">
        <v>1000359362</v>
      </c>
      <c r="D43" s="137" t="s">
        <v>1537</v>
      </c>
      <c r="E43" s="137">
        <v>1658093</v>
      </c>
      <c r="F43" s="137" t="s">
        <v>2057</v>
      </c>
      <c r="G43" s="206" t="s">
        <v>3977</v>
      </c>
      <c r="H43" s="137" t="s">
        <v>3975</v>
      </c>
      <c r="I43" s="137" t="s">
        <v>2258</v>
      </c>
      <c r="J43" s="137" t="s">
        <v>2047</v>
      </c>
      <c r="K43" s="137" t="s">
        <v>2048</v>
      </c>
      <c r="L43" s="139">
        <f t="shared" ref="L43:L48" si="30">ABS(R43)+ABS(T43)+ABS(V43)</f>
        <v>343408252007588</v>
      </c>
      <c r="M43" s="140">
        <f t="shared" ref="M43:M48" si="31">Q43+S43+U43</f>
        <v>651614</v>
      </c>
      <c r="N43" s="141">
        <f t="shared" ref="N43:N48" si="32">ABS(R43)/$L43</f>
        <v>7.0817937088776288E-3</v>
      </c>
      <c r="O43" s="141">
        <f t="shared" ref="O43:O48" si="33">ABS(T43)/$L43</f>
        <v>0</v>
      </c>
      <c r="P43" s="141">
        <f t="shared" ref="P43:P48" si="34">ABS(V43)/$L43</f>
        <v>0.99291820629112237</v>
      </c>
      <c r="Q43" s="140">
        <v>23</v>
      </c>
      <c r="R43" s="139">
        <v>2431946398644</v>
      </c>
      <c r="S43" s="140">
        <v>0</v>
      </c>
      <c r="T43" s="139">
        <v>0</v>
      </c>
      <c r="U43" s="140">
        <v>651591</v>
      </c>
      <c r="V43" s="139">
        <v>340976305608944</v>
      </c>
    </row>
    <row r="44" spans="1:22" x14ac:dyDescent="0.3">
      <c r="A44" s="137">
        <v>5</v>
      </c>
      <c r="B44" s="207" t="s">
        <v>3422</v>
      </c>
      <c r="C44" s="137">
        <v>1000359362</v>
      </c>
      <c r="D44" s="137" t="s">
        <v>1537</v>
      </c>
      <c r="E44" s="137">
        <v>1658093</v>
      </c>
      <c r="F44" s="137" t="s">
        <v>2057</v>
      </c>
      <c r="G44" s="206" t="s">
        <v>3977</v>
      </c>
      <c r="H44" s="137" t="s">
        <v>3975</v>
      </c>
      <c r="I44" s="137" t="s">
        <v>2258</v>
      </c>
      <c r="J44" s="137" t="s">
        <v>2050</v>
      </c>
      <c r="K44" s="137" t="s">
        <v>2048</v>
      </c>
      <c r="L44" s="139">
        <f t="shared" si="30"/>
        <v>321070475352</v>
      </c>
      <c r="M44" s="140">
        <f t="shared" si="31"/>
        <v>92281</v>
      </c>
      <c r="N44" s="141">
        <f t="shared" si="32"/>
        <v>2.8900639602028107E-2</v>
      </c>
      <c r="O44" s="141">
        <f t="shared" si="33"/>
        <v>0.16731109018699553</v>
      </c>
      <c r="P44" s="141">
        <f t="shared" si="34"/>
        <v>0.80378827021097632</v>
      </c>
      <c r="Q44" s="140">
        <v>162</v>
      </c>
      <c r="R44" s="139">
        <v>9279142095</v>
      </c>
      <c r="S44" s="140">
        <v>1774</v>
      </c>
      <c r="T44" s="139">
        <v>53718651258</v>
      </c>
      <c r="U44" s="140">
        <v>90345</v>
      </c>
      <c r="V44" s="139">
        <v>258072681999</v>
      </c>
    </row>
    <row r="45" spans="1:22" x14ac:dyDescent="0.3">
      <c r="A45" s="137">
        <v>5</v>
      </c>
      <c r="B45" s="207" t="s">
        <v>3422</v>
      </c>
      <c r="C45" s="137">
        <v>1000359362</v>
      </c>
      <c r="D45" s="137" t="s">
        <v>1537</v>
      </c>
      <c r="E45" s="137">
        <v>1658093</v>
      </c>
      <c r="F45" s="137" t="s">
        <v>2057</v>
      </c>
      <c r="G45" s="206" t="s">
        <v>3977</v>
      </c>
      <c r="H45" s="137" t="s">
        <v>3975</v>
      </c>
      <c r="I45" s="137" t="s">
        <v>2258</v>
      </c>
      <c r="J45" s="137" t="s">
        <v>2045</v>
      </c>
      <c r="K45" s="137" t="s">
        <v>2048</v>
      </c>
      <c r="L45" s="139">
        <f t="shared" si="30"/>
        <v>3840502264352</v>
      </c>
      <c r="M45" s="140">
        <f t="shared" si="31"/>
        <v>3594</v>
      </c>
      <c r="N45" s="141">
        <f t="shared" si="32"/>
        <v>2.7878967515220453E-3</v>
      </c>
      <c r="O45" s="141">
        <f t="shared" si="33"/>
        <v>0.26199530939237003</v>
      </c>
      <c r="P45" s="141">
        <f t="shared" si="34"/>
        <v>0.73521679385610794</v>
      </c>
      <c r="Q45" s="140">
        <v>76</v>
      </c>
      <c r="R45" s="139">
        <v>10706923787</v>
      </c>
      <c r="S45" s="140">
        <v>275</v>
      </c>
      <c r="T45" s="139">
        <v>1006193578971</v>
      </c>
      <c r="U45" s="140">
        <v>3243</v>
      </c>
      <c r="V45" s="139">
        <v>2823601761594</v>
      </c>
    </row>
    <row r="46" spans="1:22" x14ac:dyDescent="0.3">
      <c r="A46" s="137">
        <v>5</v>
      </c>
      <c r="B46" s="207" t="s">
        <v>3983</v>
      </c>
      <c r="C46" s="137">
        <v>1000359362</v>
      </c>
      <c r="D46" s="137" t="s">
        <v>1537</v>
      </c>
      <c r="E46" s="137">
        <v>1658093</v>
      </c>
      <c r="F46" s="137" t="s">
        <v>2057</v>
      </c>
      <c r="G46" s="206" t="s">
        <v>3977</v>
      </c>
      <c r="H46" s="207" t="s">
        <v>3969</v>
      </c>
      <c r="I46" s="137" t="s">
        <v>2258</v>
      </c>
      <c r="J46" s="137" t="s">
        <v>2047</v>
      </c>
      <c r="K46" s="137" t="s">
        <v>2048</v>
      </c>
      <c r="L46" s="139">
        <f t="shared" si="30"/>
        <v>382184908683486</v>
      </c>
      <c r="M46" s="140">
        <f t="shared" si="31"/>
        <v>737005</v>
      </c>
      <c r="N46" s="141">
        <f t="shared" si="32"/>
        <v>1.3243496949657822E-2</v>
      </c>
      <c r="O46" s="141">
        <f t="shared" si="33"/>
        <v>0</v>
      </c>
      <c r="P46" s="141">
        <f t="shared" si="34"/>
        <v>0.98675650305034213</v>
      </c>
      <c r="Q46" s="140">
        <v>60</v>
      </c>
      <c r="R46" s="139">
        <v>5061464672355</v>
      </c>
      <c r="S46" s="140">
        <v>0</v>
      </c>
      <c r="T46" s="139">
        <v>0</v>
      </c>
      <c r="U46" s="140">
        <v>736945</v>
      </c>
      <c r="V46" s="139">
        <v>377123444011131</v>
      </c>
    </row>
    <row r="47" spans="1:22" x14ac:dyDescent="0.3">
      <c r="A47" s="137">
        <v>5</v>
      </c>
      <c r="B47" s="207" t="s">
        <v>3983</v>
      </c>
      <c r="C47" s="137">
        <v>1000359362</v>
      </c>
      <c r="D47" s="137" t="s">
        <v>1537</v>
      </c>
      <c r="E47" s="137">
        <v>1658093</v>
      </c>
      <c r="F47" s="137" t="s">
        <v>2057</v>
      </c>
      <c r="G47" s="206" t="s">
        <v>3977</v>
      </c>
      <c r="H47" s="207" t="s">
        <v>3969</v>
      </c>
      <c r="I47" s="137" t="s">
        <v>2258</v>
      </c>
      <c r="J47" s="137" t="s">
        <v>2050</v>
      </c>
      <c r="K47" s="137" t="s">
        <v>2046</v>
      </c>
      <c r="L47" s="139">
        <f t="shared" si="30"/>
        <v>373394632711</v>
      </c>
      <c r="M47" s="140">
        <f t="shared" si="31"/>
        <v>103880</v>
      </c>
      <c r="N47" s="141">
        <f t="shared" si="32"/>
        <v>3.5862477319978658E-2</v>
      </c>
      <c r="O47" s="141">
        <f t="shared" si="33"/>
        <v>0.13203090937613163</v>
      </c>
      <c r="P47" s="141">
        <f t="shared" si="34"/>
        <v>0.83210661330388969</v>
      </c>
      <c r="Q47" s="140">
        <v>131</v>
      </c>
      <c r="R47" s="139">
        <v>13390856547</v>
      </c>
      <c r="S47" s="140">
        <v>2155</v>
      </c>
      <c r="T47" s="139">
        <v>49299632913</v>
      </c>
      <c r="U47" s="140">
        <v>101594</v>
      </c>
      <c r="V47" s="139">
        <v>310704143251</v>
      </c>
    </row>
    <row r="48" spans="1:22" x14ac:dyDescent="0.3">
      <c r="A48" s="137">
        <v>5</v>
      </c>
      <c r="B48" s="207" t="s">
        <v>3983</v>
      </c>
      <c r="C48" s="137">
        <v>1000359362</v>
      </c>
      <c r="D48" s="137" t="s">
        <v>1537</v>
      </c>
      <c r="E48" s="137">
        <v>1658093</v>
      </c>
      <c r="F48" s="137" t="s">
        <v>2057</v>
      </c>
      <c r="G48" s="206" t="s">
        <v>3977</v>
      </c>
      <c r="H48" s="207" t="s">
        <v>3969</v>
      </c>
      <c r="I48" s="137" t="s">
        <v>2258</v>
      </c>
      <c r="J48" s="137" t="s">
        <v>2045</v>
      </c>
      <c r="K48" s="137" t="s">
        <v>2046</v>
      </c>
      <c r="L48" s="139">
        <f t="shared" si="30"/>
        <v>4475091066769</v>
      </c>
      <c r="M48" s="140">
        <f t="shared" si="31"/>
        <v>4068</v>
      </c>
      <c r="N48" s="141">
        <f t="shared" si="32"/>
        <v>2.774224878056732E-3</v>
      </c>
      <c r="O48" s="141">
        <f t="shared" si="33"/>
        <v>0.19508521700773351</v>
      </c>
      <c r="P48" s="141">
        <f t="shared" si="34"/>
        <v>0.80214055811420981</v>
      </c>
      <c r="Q48" s="140">
        <v>89</v>
      </c>
      <c r="R48" s="139">
        <v>12414908969</v>
      </c>
      <c r="S48" s="140">
        <v>220</v>
      </c>
      <c r="T48" s="139">
        <v>873024111890</v>
      </c>
      <c r="U48" s="140">
        <v>3759</v>
      </c>
      <c r="V48" s="139">
        <v>3589652045910</v>
      </c>
    </row>
    <row r="49" spans="1:22" x14ac:dyDescent="0.3">
      <c r="A49" s="137">
        <v>7</v>
      </c>
      <c r="B49" s="137" t="s">
        <v>2052</v>
      </c>
      <c r="C49" s="137">
        <v>1000325286</v>
      </c>
      <c r="D49" s="137" t="s">
        <v>1538</v>
      </c>
      <c r="E49" s="137">
        <v>1683431</v>
      </c>
      <c r="F49" s="137" t="s">
        <v>1302</v>
      </c>
      <c r="G49" s="138" t="s">
        <v>2059</v>
      </c>
      <c r="H49" s="137" t="s">
        <v>2044</v>
      </c>
      <c r="I49" s="137" t="s">
        <v>2258</v>
      </c>
      <c r="J49" s="137" t="s">
        <v>2047</v>
      </c>
      <c r="K49" s="137" t="s">
        <v>2048</v>
      </c>
      <c r="L49" s="139">
        <f t="shared" si="0"/>
        <v>2098103861547666</v>
      </c>
      <c r="M49" s="140">
        <f t="shared" si="1"/>
        <v>14021607</v>
      </c>
      <c r="N49" s="141">
        <f t="shared" si="2"/>
        <v>9.773149622933552E-4</v>
      </c>
      <c r="O49" s="141">
        <f t="shared" si="3"/>
        <v>0</v>
      </c>
      <c r="P49" s="141">
        <f t="shared" si="4"/>
        <v>0.99902268503770664</v>
      </c>
      <c r="Q49" s="140">
        <v>10</v>
      </c>
      <c r="R49" s="139">
        <v>2050508296336</v>
      </c>
      <c r="S49" s="140">
        <v>0</v>
      </c>
      <c r="T49" s="139">
        <v>0</v>
      </c>
      <c r="U49" s="140">
        <v>14021597</v>
      </c>
      <c r="V49" s="139">
        <v>2096053353251330</v>
      </c>
    </row>
    <row r="50" spans="1:22" x14ac:dyDescent="0.3">
      <c r="A50" s="137">
        <v>7</v>
      </c>
      <c r="B50" s="137" t="s">
        <v>2052</v>
      </c>
      <c r="C50" s="137">
        <v>1000325286</v>
      </c>
      <c r="D50" s="137" t="s">
        <v>1538</v>
      </c>
      <c r="E50" s="137">
        <v>1683431</v>
      </c>
      <c r="F50" s="137" t="s">
        <v>1302</v>
      </c>
      <c r="G50" s="138" t="s">
        <v>2059</v>
      </c>
      <c r="H50" s="137" t="s">
        <v>2044</v>
      </c>
      <c r="I50" s="137" t="s">
        <v>2258</v>
      </c>
      <c r="J50" s="137" t="s">
        <v>2045</v>
      </c>
      <c r="K50" s="137" t="s">
        <v>2048</v>
      </c>
      <c r="L50" s="139">
        <f t="shared" si="0"/>
        <v>39216867758075</v>
      </c>
      <c r="M50" s="140">
        <f t="shared" si="1"/>
        <v>1812889</v>
      </c>
      <c r="N50" s="141">
        <f t="shared" si="2"/>
        <v>6.2903215132270639E-4</v>
      </c>
      <c r="O50" s="141">
        <f t="shared" si="3"/>
        <v>7.2257615898264071E-2</v>
      </c>
      <c r="P50" s="141">
        <f t="shared" si="4"/>
        <v>0.92711335195041322</v>
      </c>
      <c r="Q50" s="140">
        <v>46</v>
      </c>
      <c r="R50" s="139">
        <v>24668670694</v>
      </c>
      <c r="S50" s="140">
        <v>1563</v>
      </c>
      <c r="T50" s="139">
        <v>2833717367196</v>
      </c>
      <c r="U50" s="140">
        <v>1811280</v>
      </c>
      <c r="V50" s="139">
        <v>36358481720185</v>
      </c>
    </row>
    <row r="51" spans="1:22" x14ac:dyDescent="0.3">
      <c r="A51" s="137">
        <v>7</v>
      </c>
      <c r="B51" s="207" t="s">
        <v>2054</v>
      </c>
      <c r="C51" s="137">
        <v>1000325286</v>
      </c>
      <c r="D51" s="137" t="s">
        <v>1538</v>
      </c>
      <c r="E51" s="137">
        <v>1683431</v>
      </c>
      <c r="F51" s="137" t="s">
        <v>1302</v>
      </c>
      <c r="G51" s="206" t="s">
        <v>3978</v>
      </c>
      <c r="H51" s="137" t="s">
        <v>2056</v>
      </c>
      <c r="I51" s="137" t="s">
        <v>2258</v>
      </c>
      <c r="J51" s="137" t="s">
        <v>2047</v>
      </c>
      <c r="K51" s="137" t="s">
        <v>2048</v>
      </c>
      <c r="L51" s="139">
        <f t="shared" ref="L51:L54" si="35">ABS(R51)+ABS(T51)+ABS(V51)</f>
        <v>2098103861547666</v>
      </c>
      <c r="M51" s="140">
        <f t="shared" ref="M51:M54" si="36">Q51+S51+U51</f>
        <v>14021607</v>
      </c>
      <c r="N51" s="141">
        <f t="shared" ref="N51:N54" si="37">ABS(R51)/$L51</f>
        <v>9.773149622933552E-4</v>
      </c>
      <c r="O51" s="141">
        <f t="shared" ref="O51:O54" si="38">ABS(T51)/$L51</f>
        <v>0</v>
      </c>
      <c r="P51" s="141">
        <f t="shared" ref="P51:P54" si="39">ABS(V51)/$L51</f>
        <v>0.99902268503770664</v>
      </c>
      <c r="Q51" s="140">
        <v>10</v>
      </c>
      <c r="R51" s="139">
        <v>2050508296336</v>
      </c>
      <c r="S51" s="140">
        <v>0</v>
      </c>
      <c r="T51" s="139">
        <v>0</v>
      </c>
      <c r="U51" s="140">
        <v>14021597</v>
      </c>
      <c r="V51" s="139">
        <v>2096053353251330</v>
      </c>
    </row>
    <row r="52" spans="1:22" x14ac:dyDescent="0.3">
      <c r="A52" s="137">
        <v>7</v>
      </c>
      <c r="B52" s="207" t="s">
        <v>2054</v>
      </c>
      <c r="C52" s="137">
        <v>1000325286</v>
      </c>
      <c r="D52" s="137" t="s">
        <v>1538</v>
      </c>
      <c r="E52" s="137">
        <v>1683431</v>
      </c>
      <c r="F52" s="137" t="s">
        <v>1302</v>
      </c>
      <c r="G52" s="206" t="s">
        <v>3978</v>
      </c>
      <c r="H52" s="137" t="s">
        <v>2056</v>
      </c>
      <c r="I52" s="137" t="s">
        <v>2258</v>
      </c>
      <c r="J52" s="137" t="s">
        <v>2045</v>
      </c>
      <c r="K52" s="137" t="s">
        <v>2046</v>
      </c>
      <c r="L52" s="139">
        <f t="shared" si="35"/>
        <v>39216867758075</v>
      </c>
      <c r="M52" s="140">
        <f t="shared" si="36"/>
        <v>1812889</v>
      </c>
      <c r="N52" s="141">
        <f t="shared" si="37"/>
        <v>6.2903215132270639E-4</v>
      </c>
      <c r="O52" s="141">
        <f t="shared" si="38"/>
        <v>7.2257615898264071E-2</v>
      </c>
      <c r="P52" s="141">
        <f t="shared" si="39"/>
        <v>0.92711335195041322</v>
      </c>
      <c r="Q52" s="140">
        <v>46</v>
      </c>
      <c r="R52" s="139">
        <v>24668670694</v>
      </c>
      <c r="S52" s="140">
        <v>1563</v>
      </c>
      <c r="T52" s="139">
        <v>2833717367196</v>
      </c>
      <c r="U52" s="140">
        <v>1811280</v>
      </c>
      <c r="V52" s="139">
        <v>36358481720185</v>
      </c>
    </row>
    <row r="53" spans="1:22" x14ac:dyDescent="0.3">
      <c r="A53" s="137">
        <v>7</v>
      </c>
      <c r="B53" s="207" t="s">
        <v>3983</v>
      </c>
      <c r="C53" s="137">
        <v>1000325286</v>
      </c>
      <c r="D53" s="137" t="s">
        <v>1538</v>
      </c>
      <c r="E53" s="137">
        <v>1683431</v>
      </c>
      <c r="F53" s="137" t="s">
        <v>1302</v>
      </c>
      <c r="G53" s="206" t="s">
        <v>3979</v>
      </c>
      <c r="H53" s="213" t="s">
        <v>3974</v>
      </c>
      <c r="I53" s="137" t="s">
        <v>2258</v>
      </c>
      <c r="J53" s="137" t="s">
        <v>2047</v>
      </c>
      <c r="K53" s="137" t="s">
        <v>2048</v>
      </c>
      <c r="L53" s="139">
        <f t="shared" si="35"/>
        <v>1932015871946991</v>
      </c>
      <c r="M53" s="140">
        <f t="shared" si="36"/>
        <v>12281756</v>
      </c>
      <c r="N53" s="141">
        <f t="shared" si="37"/>
        <v>3.5030572240535372E-4</v>
      </c>
      <c r="O53" s="141">
        <f t="shared" si="38"/>
        <v>0</v>
      </c>
      <c r="P53" s="141">
        <f t="shared" si="39"/>
        <v>0.99964969427759465</v>
      </c>
      <c r="Q53" s="140">
        <v>209</v>
      </c>
      <c r="R53" s="139">
        <v>676796215721</v>
      </c>
      <c r="S53" s="140">
        <v>0</v>
      </c>
      <c r="T53" s="139">
        <v>0</v>
      </c>
      <c r="U53" s="140">
        <v>12281547</v>
      </c>
      <c r="V53" s="139">
        <v>1931339075731270</v>
      </c>
    </row>
    <row r="54" spans="1:22" x14ac:dyDescent="0.3">
      <c r="A54" s="137">
        <v>7</v>
      </c>
      <c r="B54" s="207" t="s">
        <v>3983</v>
      </c>
      <c r="C54" s="137">
        <v>1000325286</v>
      </c>
      <c r="D54" s="137" t="s">
        <v>1538</v>
      </c>
      <c r="E54" s="137">
        <v>1683431</v>
      </c>
      <c r="F54" s="137" t="s">
        <v>1302</v>
      </c>
      <c r="G54" s="206" t="s">
        <v>3979</v>
      </c>
      <c r="H54" s="213" t="s">
        <v>3974</v>
      </c>
      <c r="I54" s="137" t="s">
        <v>2258</v>
      </c>
      <c r="J54" s="137" t="s">
        <v>2045</v>
      </c>
      <c r="K54" s="137" t="s">
        <v>2046</v>
      </c>
      <c r="L54" s="139">
        <f t="shared" si="35"/>
        <v>41945175939503</v>
      </c>
      <c r="M54" s="140">
        <f t="shared" si="36"/>
        <v>1601894</v>
      </c>
      <c r="N54" s="141">
        <f t="shared" si="37"/>
        <v>1.9902856965818027E-3</v>
      </c>
      <c r="O54" s="141">
        <f t="shared" si="38"/>
        <v>6.3001099234662348E-3</v>
      </c>
      <c r="P54" s="141">
        <f t="shared" si="39"/>
        <v>0.99170960437995193</v>
      </c>
      <c r="Q54" s="140">
        <v>48</v>
      </c>
      <c r="R54" s="139">
        <v>83482883713</v>
      </c>
      <c r="S54" s="140">
        <v>1263</v>
      </c>
      <c r="T54" s="139">
        <v>264259219178</v>
      </c>
      <c r="U54" s="140">
        <v>1600583</v>
      </c>
      <c r="V54" s="139">
        <v>41597433836612</v>
      </c>
    </row>
    <row r="55" spans="1:22" x14ac:dyDescent="0.3">
      <c r="A55" s="137">
        <v>8</v>
      </c>
      <c r="B55" s="137" t="s">
        <v>2054</v>
      </c>
      <c r="C55" s="137">
        <v>1000314822</v>
      </c>
      <c r="D55" s="137" t="s">
        <v>2060</v>
      </c>
      <c r="E55" s="137">
        <v>1669411</v>
      </c>
      <c r="F55" s="137" t="s">
        <v>2061</v>
      </c>
      <c r="G55" s="138" t="s">
        <v>2062</v>
      </c>
      <c r="H55" s="137" t="s">
        <v>2056</v>
      </c>
      <c r="I55" s="137" t="s">
        <v>2258</v>
      </c>
      <c r="J55" s="137" t="s">
        <v>2047</v>
      </c>
      <c r="K55" s="137" t="s">
        <v>2048</v>
      </c>
      <c r="L55" s="139">
        <f t="shared" si="0"/>
        <v>1.4776164873819728E+16</v>
      </c>
      <c r="M55" s="140">
        <f t="shared" si="1"/>
        <v>93180561</v>
      </c>
      <c r="N55" s="141">
        <f t="shared" si="2"/>
        <v>5.610925731897832E-4</v>
      </c>
      <c r="O55" s="141">
        <f t="shared" si="3"/>
        <v>0</v>
      </c>
      <c r="P55" s="141">
        <f t="shared" si="4"/>
        <v>0.99943890742681019</v>
      </c>
      <c r="Q55" s="140">
        <v>64</v>
      </c>
      <c r="R55" s="139">
        <v>8290796370928</v>
      </c>
      <c r="S55" s="140">
        <v>0</v>
      </c>
      <c r="T55" s="139">
        <v>0</v>
      </c>
      <c r="U55" s="140">
        <v>93180497</v>
      </c>
      <c r="V55" s="139">
        <v>1.47678740774488E+16</v>
      </c>
    </row>
    <row r="56" spans="1:22" x14ac:dyDescent="0.3">
      <c r="A56" s="137">
        <v>8</v>
      </c>
      <c r="B56" s="137" t="s">
        <v>2054</v>
      </c>
      <c r="C56" s="137">
        <v>1000314822</v>
      </c>
      <c r="D56" s="137" t="s">
        <v>2060</v>
      </c>
      <c r="E56" s="137">
        <v>1669411</v>
      </c>
      <c r="F56" s="137" t="s">
        <v>2061</v>
      </c>
      <c r="G56" s="138" t="s">
        <v>2062</v>
      </c>
      <c r="H56" s="137" t="s">
        <v>2056</v>
      </c>
      <c r="I56" s="137" t="s">
        <v>2258</v>
      </c>
      <c r="J56" s="137" t="s">
        <v>2050</v>
      </c>
      <c r="K56" s="137" t="s">
        <v>2046</v>
      </c>
      <c r="L56" s="139">
        <f t="shared" si="0"/>
        <v>77922090673810</v>
      </c>
      <c r="M56" s="140">
        <f t="shared" si="1"/>
        <v>4389281</v>
      </c>
      <c r="N56" s="141">
        <f t="shared" si="2"/>
        <v>0.20653848633409733</v>
      </c>
      <c r="O56" s="141">
        <f t="shared" si="3"/>
        <v>0.34533184733445865</v>
      </c>
      <c r="P56" s="141">
        <f t="shared" si="4"/>
        <v>0.44812966633144402</v>
      </c>
      <c r="Q56" s="140">
        <v>2299</v>
      </c>
      <c r="R56" s="139">
        <v>16093910659757</v>
      </c>
      <c r="S56" s="140">
        <v>69833</v>
      </c>
      <c r="T56" s="139">
        <v>26908979520550</v>
      </c>
      <c r="U56" s="140">
        <v>4317149</v>
      </c>
      <c r="V56" s="139">
        <v>34919200493503</v>
      </c>
    </row>
    <row r="57" spans="1:22" x14ac:dyDescent="0.3">
      <c r="A57" s="137">
        <v>8</v>
      </c>
      <c r="B57" s="137" t="s">
        <v>2054</v>
      </c>
      <c r="C57" s="137">
        <v>1000314822</v>
      </c>
      <c r="D57" s="137" t="s">
        <v>2060</v>
      </c>
      <c r="E57" s="137">
        <v>1669411</v>
      </c>
      <c r="F57" s="137" t="s">
        <v>2061</v>
      </c>
      <c r="G57" s="138" t="s">
        <v>2062</v>
      </c>
      <c r="H57" s="137" t="s">
        <v>2056</v>
      </c>
      <c r="I57" s="137" t="s">
        <v>2258</v>
      </c>
      <c r="J57" s="137" t="s">
        <v>2045</v>
      </c>
      <c r="K57" s="137" t="s">
        <v>2046</v>
      </c>
      <c r="L57" s="139">
        <f t="shared" si="0"/>
        <v>155937615864373</v>
      </c>
      <c r="M57" s="140">
        <f t="shared" si="1"/>
        <v>3843813</v>
      </c>
      <c r="N57" s="141">
        <f t="shared" si="2"/>
        <v>9.3112624475556849E-2</v>
      </c>
      <c r="O57" s="141">
        <f t="shared" si="3"/>
        <v>2.370296621342962E-2</v>
      </c>
      <c r="P57" s="141">
        <f t="shared" si="4"/>
        <v>0.8831844093110135</v>
      </c>
      <c r="Q57" s="140">
        <v>647</v>
      </c>
      <c r="R57" s="139">
        <v>14519760667593</v>
      </c>
      <c r="S57" s="140">
        <v>1088</v>
      </c>
      <c r="T57" s="139">
        <v>3696184040236</v>
      </c>
      <c r="U57" s="140">
        <v>3842078</v>
      </c>
      <c r="V57" s="139">
        <v>137721671156544</v>
      </c>
    </row>
    <row r="58" spans="1:22" x14ac:dyDescent="0.3">
      <c r="A58" s="137">
        <v>8</v>
      </c>
      <c r="B58" s="207" t="s">
        <v>3983</v>
      </c>
      <c r="C58" s="137">
        <v>1000314822</v>
      </c>
      <c r="D58" s="137" t="s">
        <v>2060</v>
      </c>
      <c r="E58" s="137">
        <v>1669411</v>
      </c>
      <c r="F58" s="137" t="s">
        <v>2061</v>
      </c>
      <c r="G58" s="206" t="s">
        <v>3980</v>
      </c>
      <c r="H58" s="213" t="s">
        <v>3974</v>
      </c>
      <c r="I58" s="137" t="s">
        <v>2258</v>
      </c>
      <c r="J58" s="137" t="s">
        <v>2047</v>
      </c>
      <c r="K58" s="137" t="s">
        <v>2048</v>
      </c>
      <c r="L58" s="139">
        <f t="shared" ref="L58:L60" si="40">ABS(R58)+ABS(T58)+ABS(V58)</f>
        <v>24463621885998</v>
      </c>
      <c r="M58" s="140">
        <f t="shared" ref="M58:M60" si="41">Q58+S58+U58</f>
        <v>102360021</v>
      </c>
      <c r="N58" s="141">
        <f t="shared" ref="N58:N60" si="42">ABS(R58)/$L58</f>
        <v>0.24037697123122059</v>
      </c>
      <c r="O58" s="141">
        <f t="shared" ref="O58:O60" si="43">ABS(T58)/$L58</f>
        <v>0</v>
      </c>
      <c r="P58" s="141">
        <f t="shared" ref="P58:P60" si="44">ABS(V58)/$L58</f>
        <v>0.75962302876877941</v>
      </c>
      <c r="Q58" s="140">
        <v>396</v>
      </c>
      <c r="R58" s="139">
        <v>5880491334302</v>
      </c>
      <c r="S58" s="140">
        <v>0</v>
      </c>
      <c r="T58" s="139">
        <v>0</v>
      </c>
      <c r="U58" s="140">
        <v>102359625</v>
      </c>
      <c r="V58" s="209">
        <v>18583130551696</v>
      </c>
    </row>
    <row r="59" spans="1:22" x14ac:dyDescent="0.3">
      <c r="A59" s="137">
        <v>8</v>
      </c>
      <c r="B59" s="207" t="s">
        <v>3983</v>
      </c>
      <c r="C59" s="137">
        <v>1000314822</v>
      </c>
      <c r="D59" s="137" t="s">
        <v>2060</v>
      </c>
      <c r="E59" s="137">
        <v>1669411</v>
      </c>
      <c r="F59" s="137" t="s">
        <v>2061</v>
      </c>
      <c r="G59" s="206" t="s">
        <v>3980</v>
      </c>
      <c r="H59" s="213" t="s">
        <v>3974</v>
      </c>
      <c r="I59" s="137" t="s">
        <v>2258</v>
      </c>
      <c r="J59" s="137" t="s">
        <v>2050</v>
      </c>
      <c r="K59" s="137" t="s">
        <v>2046</v>
      </c>
      <c r="L59" s="139">
        <f t="shared" si="40"/>
        <v>75353665219428</v>
      </c>
      <c r="M59" s="140">
        <f t="shared" si="41"/>
        <v>4927435</v>
      </c>
      <c r="N59" s="141">
        <f t="shared" si="42"/>
        <v>2.8030609039192713E-2</v>
      </c>
      <c r="O59" s="141">
        <f t="shared" si="43"/>
        <v>0.47662300490027348</v>
      </c>
      <c r="P59" s="141">
        <f t="shared" si="44"/>
        <v>0.49534638606053377</v>
      </c>
      <c r="Q59" s="140">
        <v>2307</v>
      </c>
      <c r="R59" s="139">
        <v>2112209129436</v>
      </c>
      <c r="S59" s="140">
        <v>65604</v>
      </c>
      <c r="T59" s="139">
        <v>35915290347133</v>
      </c>
      <c r="U59" s="140">
        <v>4859524</v>
      </c>
      <c r="V59" s="139">
        <v>37326165742859</v>
      </c>
    </row>
    <row r="60" spans="1:22" x14ac:dyDescent="0.3">
      <c r="A60" s="137">
        <v>8</v>
      </c>
      <c r="B60" s="207" t="s">
        <v>3983</v>
      </c>
      <c r="C60" s="137">
        <v>1000314822</v>
      </c>
      <c r="D60" s="137" t="s">
        <v>2060</v>
      </c>
      <c r="E60" s="137">
        <v>1669411</v>
      </c>
      <c r="F60" s="137" t="s">
        <v>2061</v>
      </c>
      <c r="G60" s="206" t="s">
        <v>3980</v>
      </c>
      <c r="H60" s="213" t="s">
        <v>3974</v>
      </c>
      <c r="I60" s="137" t="s">
        <v>2258</v>
      </c>
      <c r="J60" s="137" t="s">
        <v>2045</v>
      </c>
      <c r="K60" s="137" t="s">
        <v>2046</v>
      </c>
      <c r="L60" s="139">
        <f t="shared" si="40"/>
        <v>195958687020449</v>
      </c>
      <c r="M60" s="140">
        <f t="shared" si="41"/>
        <v>3828138</v>
      </c>
      <c r="N60" s="141">
        <f t="shared" si="42"/>
        <v>0.15868966168567947</v>
      </c>
      <c r="O60" s="141">
        <f t="shared" si="43"/>
        <v>2.6498722073990667E-2</v>
      </c>
      <c r="P60" s="141">
        <f t="shared" si="44"/>
        <v>0.81481161624032983</v>
      </c>
      <c r="Q60" s="140">
        <v>663</v>
      </c>
      <c r="R60" s="139">
        <v>31096617747645</v>
      </c>
      <c r="S60" s="140">
        <v>1306</v>
      </c>
      <c r="T60" s="139">
        <v>5192654785339</v>
      </c>
      <c r="U60" s="140">
        <v>3826169</v>
      </c>
      <c r="V60" s="139">
        <v>159669414487465</v>
      </c>
    </row>
    <row r="61" spans="1:22" x14ac:dyDescent="0.3">
      <c r="A61" s="137">
        <v>10</v>
      </c>
      <c r="B61" s="207" t="s">
        <v>3983</v>
      </c>
      <c r="C61" s="137">
        <v>1000317527</v>
      </c>
      <c r="D61" s="137" t="s">
        <v>3984</v>
      </c>
      <c r="E61" s="137">
        <v>1666520</v>
      </c>
      <c r="F61" s="137" t="s">
        <v>3586</v>
      </c>
      <c r="G61" s="206" t="s">
        <v>3982</v>
      </c>
      <c r="H61" s="213" t="s">
        <v>3981</v>
      </c>
      <c r="I61" s="137" t="s">
        <v>2258</v>
      </c>
      <c r="J61" s="137" t="s">
        <v>2047</v>
      </c>
      <c r="K61" s="137" t="s">
        <v>2048</v>
      </c>
      <c r="L61" s="139">
        <f t="shared" ref="L61:L63" si="45">ABS(R61)+ABS(T61)+ABS(V61)</f>
        <v>546512881846384</v>
      </c>
      <c r="M61" s="140">
        <f t="shared" ref="M61:M63" si="46">Q61+S61+U61</f>
        <v>36413933</v>
      </c>
      <c r="N61" s="141">
        <f t="shared" ref="N61:N63" si="47">ABS(R61)/$L61</f>
        <v>3.3130198494917321E-4</v>
      </c>
      <c r="O61" s="141">
        <f t="shared" ref="O61:O63" si="48">ABS(T61)/$L61</f>
        <v>0</v>
      </c>
      <c r="P61" s="141">
        <f t="shared" ref="P61:P63" si="49">ABS(V61)/$L61</f>
        <v>0.99966869801505087</v>
      </c>
      <c r="Q61" s="140">
        <v>34</v>
      </c>
      <c r="R61" s="139">
        <v>181060802556</v>
      </c>
      <c r="S61" s="140">
        <v>0</v>
      </c>
      <c r="T61" s="139">
        <v>0</v>
      </c>
      <c r="U61" s="140">
        <v>36413899</v>
      </c>
      <c r="V61" s="139">
        <v>546331821043828</v>
      </c>
    </row>
    <row r="62" spans="1:22" x14ac:dyDescent="0.3">
      <c r="A62" s="137">
        <v>10</v>
      </c>
      <c r="B62" s="207" t="s">
        <v>3983</v>
      </c>
      <c r="C62" s="137">
        <v>1000317527</v>
      </c>
      <c r="D62" s="137" t="s">
        <v>3984</v>
      </c>
      <c r="E62" s="137">
        <v>1666520</v>
      </c>
      <c r="F62" s="137" t="s">
        <v>3586</v>
      </c>
      <c r="G62" s="206" t="s">
        <v>3982</v>
      </c>
      <c r="H62" s="213" t="s">
        <v>3981</v>
      </c>
      <c r="I62" s="137" t="s">
        <v>2258</v>
      </c>
      <c r="J62" s="137" t="s">
        <v>2045</v>
      </c>
      <c r="K62" s="137" t="s">
        <v>2046</v>
      </c>
      <c r="L62" s="139">
        <f t="shared" si="45"/>
        <v>7246514146574</v>
      </c>
      <c r="M62" s="140">
        <f t="shared" si="46"/>
        <v>2730114</v>
      </c>
      <c r="N62" s="141">
        <f t="shared" si="47"/>
        <v>0.11184738917058337</v>
      </c>
      <c r="O62" s="141">
        <f t="shared" si="48"/>
        <v>0.59210575503472307</v>
      </c>
      <c r="P62" s="141">
        <f t="shared" si="49"/>
        <v>0.29604685579469359</v>
      </c>
      <c r="Q62" s="140">
        <v>4324</v>
      </c>
      <c r="R62" s="139">
        <v>810503687882</v>
      </c>
      <c r="S62" s="140">
        <v>86122</v>
      </c>
      <c r="T62" s="139">
        <v>4290702730127</v>
      </c>
      <c r="U62" s="140">
        <v>2639668</v>
      </c>
      <c r="V62" s="139">
        <v>2145307728565</v>
      </c>
    </row>
    <row r="63" spans="1:22" x14ac:dyDescent="0.3">
      <c r="A63" s="137">
        <v>10</v>
      </c>
      <c r="B63" s="207" t="s">
        <v>3983</v>
      </c>
      <c r="C63" s="137">
        <v>1000317527</v>
      </c>
      <c r="D63" s="137" t="s">
        <v>3984</v>
      </c>
      <c r="E63" s="137">
        <v>1666520</v>
      </c>
      <c r="F63" s="137" t="s">
        <v>3586</v>
      </c>
      <c r="G63" s="206" t="s">
        <v>3982</v>
      </c>
      <c r="H63" s="213" t="s">
        <v>3981</v>
      </c>
      <c r="I63" s="137" t="s">
        <v>2258</v>
      </c>
      <c r="J63" s="137" t="s">
        <v>2045</v>
      </c>
      <c r="K63" s="137" t="s">
        <v>2046</v>
      </c>
      <c r="L63" s="139">
        <f t="shared" si="45"/>
        <v>5667777469646</v>
      </c>
      <c r="M63" s="140">
        <f t="shared" si="46"/>
        <v>838997</v>
      </c>
      <c r="N63" s="141">
        <f t="shared" si="47"/>
        <v>9.3559198935013937E-2</v>
      </c>
      <c r="O63" s="141">
        <f t="shared" si="48"/>
        <v>0.60606142508653327</v>
      </c>
      <c r="P63" s="141">
        <f t="shared" si="49"/>
        <v>0.30037937597845288</v>
      </c>
      <c r="Q63" s="140">
        <v>479</v>
      </c>
      <c r="R63" s="139">
        <v>530272719802</v>
      </c>
      <c r="S63" s="140">
        <v>24752</v>
      </c>
      <c r="T63" s="139">
        <v>3435021290327</v>
      </c>
      <c r="U63" s="140">
        <v>813766</v>
      </c>
      <c r="V63" s="139">
        <v>1702483459517</v>
      </c>
    </row>
    <row r="64" spans="1:22" x14ac:dyDescent="0.3">
      <c r="A64" s="137">
        <v>11</v>
      </c>
      <c r="B64" s="137" t="s">
        <v>2054</v>
      </c>
      <c r="C64" s="137">
        <v>1000317244</v>
      </c>
      <c r="D64" s="137" t="s">
        <v>3330</v>
      </c>
      <c r="E64" s="137">
        <v>1669406</v>
      </c>
      <c r="F64" s="137" t="s">
        <v>3259</v>
      </c>
      <c r="G64" s="166" t="s">
        <v>3331</v>
      </c>
      <c r="H64" s="137" t="s">
        <v>2056</v>
      </c>
      <c r="I64" s="137" t="s">
        <v>2258</v>
      </c>
      <c r="J64" s="137" t="s">
        <v>2047</v>
      </c>
      <c r="K64" s="137" t="s">
        <v>2048</v>
      </c>
      <c r="L64" s="139">
        <f t="shared" si="0"/>
        <v>275184864353834</v>
      </c>
      <c r="M64" s="140">
        <f t="shared" si="1"/>
        <v>5871763</v>
      </c>
      <c r="N64" s="141">
        <f t="shared" si="2"/>
        <v>7.2621135664039183E-3</v>
      </c>
      <c r="O64" s="141">
        <f t="shared" si="3"/>
        <v>0</v>
      </c>
      <c r="P64" s="141">
        <f t="shared" si="4"/>
        <v>0.99273788643359606</v>
      </c>
      <c r="Q64" s="140">
        <v>37</v>
      </c>
      <c r="R64" s="139">
        <v>1998423736693</v>
      </c>
      <c r="S64" s="140">
        <v>0</v>
      </c>
      <c r="T64" s="139">
        <v>0</v>
      </c>
      <c r="U64" s="140">
        <v>5871726</v>
      </c>
      <c r="V64" s="139">
        <v>273186440617141</v>
      </c>
    </row>
    <row r="65" spans="1:22" x14ac:dyDescent="0.3">
      <c r="A65" s="137">
        <v>11</v>
      </c>
      <c r="B65" s="137" t="s">
        <v>2054</v>
      </c>
      <c r="C65" s="137">
        <v>1000317244</v>
      </c>
      <c r="D65" s="137" t="s">
        <v>3330</v>
      </c>
      <c r="E65" s="137">
        <v>1669406</v>
      </c>
      <c r="F65" s="137" t="s">
        <v>3259</v>
      </c>
      <c r="G65" s="166" t="s">
        <v>3331</v>
      </c>
      <c r="H65" s="137" t="s">
        <v>2056</v>
      </c>
      <c r="I65" s="137" t="s">
        <v>2258</v>
      </c>
      <c r="J65" s="137" t="s">
        <v>2050</v>
      </c>
      <c r="K65" s="137" t="s">
        <v>2048</v>
      </c>
      <c r="L65" s="139">
        <f t="shared" si="0"/>
        <v>7486782958668</v>
      </c>
      <c r="M65" s="140">
        <f t="shared" si="1"/>
        <v>117875</v>
      </c>
      <c r="N65" s="141">
        <f t="shared" si="2"/>
        <v>0.1552535803455157</v>
      </c>
      <c r="O65" s="141">
        <f t="shared" si="3"/>
        <v>0.26632061280640346</v>
      </c>
      <c r="P65" s="141">
        <f t="shared" si="4"/>
        <v>0.57842580684808087</v>
      </c>
      <c r="Q65" s="140">
        <v>172</v>
      </c>
      <c r="R65" s="139">
        <v>1162349859603</v>
      </c>
      <c r="S65" s="140">
        <v>5713</v>
      </c>
      <c r="T65" s="139">
        <v>1993884625501</v>
      </c>
      <c r="U65" s="140">
        <v>111990</v>
      </c>
      <c r="V65" s="139">
        <v>4330548473564</v>
      </c>
    </row>
    <row r="66" spans="1:22" x14ac:dyDescent="0.3">
      <c r="A66" s="137">
        <v>11</v>
      </c>
      <c r="B66" s="137" t="s">
        <v>2054</v>
      </c>
      <c r="C66" s="137">
        <v>1000317244</v>
      </c>
      <c r="D66" s="137" t="s">
        <v>3330</v>
      </c>
      <c r="E66" s="137">
        <v>1669406</v>
      </c>
      <c r="F66" s="137" t="s">
        <v>3259</v>
      </c>
      <c r="G66" s="166" t="s">
        <v>3331</v>
      </c>
      <c r="H66" s="137" t="s">
        <v>2056</v>
      </c>
      <c r="I66" s="137" t="s">
        <v>2258</v>
      </c>
      <c r="J66" s="137" t="s">
        <v>2045</v>
      </c>
      <c r="K66" s="137" t="s">
        <v>2048</v>
      </c>
      <c r="L66" s="139">
        <f t="shared" si="0"/>
        <v>3502630430256</v>
      </c>
      <c r="M66" s="140">
        <f t="shared" si="1"/>
        <v>607109</v>
      </c>
      <c r="N66" s="141">
        <f t="shared" si="2"/>
        <v>5.1776664141739088E-3</v>
      </c>
      <c r="O66" s="141">
        <f t="shared" si="3"/>
        <v>3.4314219336356179E-2</v>
      </c>
      <c r="P66" s="141">
        <f t="shared" si="4"/>
        <v>0.96050811424946991</v>
      </c>
      <c r="Q66" s="140">
        <v>35</v>
      </c>
      <c r="R66" s="139">
        <v>18135451940</v>
      </c>
      <c r="S66" s="140">
        <v>277</v>
      </c>
      <c r="T66" s="139">
        <v>120190028838</v>
      </c>
      <c r="U66" s="140">
        <v>606797</v>
      </c>
      <c r="V66" s="139">
        <v>3364304949478</v>
      </c>
    </row>
    <row r="67" spans="1:22" x14ac:dyDescent="0.3">
      <c r="A67" s="137">
        <v>11</v>
      </c>
      <c r="B67" s="207" t="s">
        <v>3983</v>
      </c>
      <c r="C67" s="137">
        <v>1000317244</v>
      </c>
      <c r="D67" s="137" t="s">
        <v>3330</v>
      </c>
      <c r="E67" s="137">
        <v>1669406</v>
      </c>
      <c r="F67" s="137" t="s">
        <v>3259</v>
      </c>
      <c r="G67" s="206" t="s">
        <v>3985</v>
      </c>
      <c r="H67" s="207" t="s">
        <v>3969</v>
      </c>
      <c r="I67" s="137" t="s">
        <v>2258</v>
      </c>
      <c r="J67" s="137" t="s">
        <v>2047</v>
      </c>
      <c r="K67" s="137" t="s">
        <v>2046</v>
      </c>
      <c r="L67" s="139">
        <f t="shared" ref="L67:L69" si="50">ABS(R67)+ABS(T67)+ABS(V67)</f>
        <v>659633779551244</v>
      </c>
      <c r="M67" s="140">
        <f t="shared" ref="M67:M69" si="51">Q67+S67+U67</f>
        <v>12854333</v>
      </c>
      <c r="N67" s="141">
        <f t="shared" ref="N67:N69" si="52">ABS(R67)/$L67</f>
        <v>8.6581370684266513E-3</v>
      </c>
      <c r="O67" s="141">
        <f t="shared" ref="O67:O69" si="53">ABS(T67)/$L67</f>
        <v>0</v>
      </c>
      <c r="P67" s="141">
        <f t="shared" ref="P67:P69" si="54">ABS(V67)/$L67</f>
        <v>0.99134186293157334</v>
      </c>
      <c r="Q67" s="140">
        <v>143</v>
      </c>
      <c r="R67" s="139">
        <v>5711199678319</v>
      </c>
      <c r="S67" s="140">
        <v>0</v>
      </c>
      <c r="T67" s="139">
        <v>0</v>
      </c>
      <c r="U67" s="140">
        <v>12854190</v>
      </c>
      <c r="V67" s="139">
        <v>653922579872925</v>
      </c>
    </row>
    <row r="68" spans="1:22" x14ac:dyDescent="0.3">
      <c r="A68" s="137">
        <v>11</v>
      </c>
      <c r="B68" s="207" t="s">
        <v>3983</v>
      </c>
      <c r="C68" s="137">
        <v>1000317244</v>
      </c>
      <c r="D68" s="137" t="s">
        <v>3330</v>
      </c>
      <c r="E68" s="137">
        <v>1669406</v>
      </c>
      <c r="F68" s="137" t="s">
        <v>3259</v>
      </c>
      <c r="G68" s="206" t="s">
        <v>3985</v>
      </c>
      <c r="H68" s="207" t="s">
        <v>3969</v>
      </c>
      <c r="I68" s="137" t="s">
        <v>2258</v>
      </c>
      <c r="J68" s="137" t="s">
        <v>2050</v>
      </c>
      <c r="K68" s="137" t="s">
        <v>2046</v>
      </c>
      <c r="L68" s="139">
        <f t="shared" si="50"/>
        <v>14085013345554</v>
      </c>
      <c r="M68" s="140">
        <f t="shared" si="51"/>
        <v>244535</v>
      </c>
      <c r="N68" s="141">
        <f t="shared" si="52"/>
        <v>0.12648314942891722</v>
      </c>
      <c r="O68" s="141">
        <f t="shared" si="53"/>
        <v>0.30768833024968217</v>
      </c>
      <c r="P68" s="141">
        <f t="shared" si="54"/>
        <v>0.56582852032140063</v>
      </c>
      <c r="Q68" s="140">
        <v>413</v>
      </c>
      <c r="R68" s="139">
        <v>1781516847694</v>
      </c>
      <c r="S68" s="210">
        <v>10918</v>
      </c>
      <c r="T68" s="139">
        <v>4333794237838</v>
      </c>
      <c r="U68" s="140">
        <v>233204</v>
      </c>
      <c r="V68" s="139">
        <v>7969702260022</v>
      </c>
    </row>
    <row r="69" spans="1:22" x14ac:dyDescent="0.3">
      <c r="A69" s="137">
        <v>11</v>
      </c>
      <c r="B69" s="207" t="s">
        <v>3983</v>
      </c>
      <c r="C69" s="137">
        <v>1000317244</v>
      </c>
      <c r="D69" s="137" t="s">
        <v>3330</v>
      </c>
      <c r="E69" s="137">
        <v>1669406</v>
      </c>
      <c r="F69" s="137" t="s">
        <v>3259</v>
      </c>
      <c r="G69" s="206" t="s">
        <v>3985</v>
      </c>
      <c r="H69" s="207" t="s">
        <v>3969</v>
      </c>
      <c r="I69" s="137" t="s">
        <v>2258</v>
      </c>
      <c r="J69" s="137" t="s">
        <v>2045</v>
      </c>
      <c r="K69" s="137" t="s">
        <v>2046</v>
      </c>
      <c r="L69" s="139">
        <f t="shared" si="50"/>
        <v>9109095890778</v>
      </c>
      <c r="M69" s="140">
        <f t="shared" si="51"/>
        <v>1193274</v>
      </c>
      <c r="N69" s="141">
        <f t="shared" si="52"/>
        <v>8.3072979107190973E-3</v>
      </c>
      <c r="O69" s="141">
        <f t="shared" si="53"/>
        <v>0.17689262099077294</v>
      </c>
      <c r="P69" s="141">
        <f t="shared" si="54"/>
        <v>0.81480008109850799</v>
      </c>
      <c r="Q69" s="140">
        <v>111</v>
      </c>
      <c r="R69" s="139">
        <v>75671973262</v>
      </c>
      <c r="S69" s="140">
        <v>383</v>
      </c>
      <c r="T69" s="139">
        <v>1611331846976</v>
      </c>
      <c r="U69" s="140">
        <v>1192780</v>
      </c>
      <c r="V69" s="139">
        <v>7422092070540</v>
      </c>
    </row>
    <row r="70" spans="1:22" x14ac:dyDescent="0.3">
      <c r="A70" s="137">
        <v>12</v>
      </c>
      <c r="B70" s="207" t="s">
        <v>2040</v>
      </c>
      <c r="C70" s="207">
        <v>1000317488</v>
      </c>
      <c r="D70" s="137" t="s">
        <v>3986</v>
      </c>
      <c r="E70" s="137">
        <v>1668904</v>
      </c>
      <c r="F70" s="137" t="s">
        <v>3588</v>
      </c>
      <c r="G70" s="207" t="s">
        <v>3987</v>
      </c>
      <c r="H70" s="137" t="s">
        <v>2044</v>
      </c>
      <c r="I70" s="137" t="s">
        <v>2258</v>
      </c>
      <c r="J70" s="137" t="s">
        <v>2047</v>
      </c>
      <c r="K70" s="137" t="s">
        <v>2048</v>
      </c>
      <c r="L70" s="139">
        <f t="shared" ref="L70:L71" si="55">ABS(R70)+ABS(T70)+ABS(V70)</f>
        <v>1201093263738945</v>
      </c>
      <c r="M70" s="140">
        <f t="shared" ref="M70:M71" si="56">Q70+S70+U70</f>
        <v>227124310</v>
      </c>
      <c r="N70" s="141">
        <f t="shared" ref="N70:N71" si="57">ABS(R70)/$L70</f>
        <v>8.8294577095013782E-4</v>
      </c>
      <c r="O70" s="141">
        <f t="shared" ref="O70:O71" si="58">ABS(T70)/$L70</f>
        <v>0</v>
      </c>
      <c r="P70" s="141">
        <f t="shared" ref="P70:P71" si="59">ABS(V70)/$L70</f>
        <v>0.99911705422904984</v>
      </c>
      <c r="Q70" s="140">
        <v>174</v>
      </c>
      <c r="R70" s="139">
        <v>1060500217735</v>
      </c>
      <c r="S70" s="140">
        <v>0</v>
      </c>
      <c r="T70" s="139">
        <v>0</v>
      </c>
      <c r="U70" s="140">
        <v>227124136</v>
      </c>
      <c r="V70" s="139">
        <v>1200032763521210</v>
      </c>
    </row>
    <row r="71" spans="1:22" x14ac:dyDescent="0.3">
      <c r="A71" s="137">
        <v>12</v>
      </c>
      <c r="B71" s="207" t="s">
        <v>2040</v>
      </c>
      <c r="C71" s="207">
        <v>1000317488</v>
      </c>
      <c r="D71" s="137" t="s">
        <v>3986</v>
      </c>
      <c r="E71" s="137">
        <v>1668904</v>
      </c>
      <c r="F71" s="137" t="s">
        <v>3588</v>
      </c>
      <c r="G71" s="207" t="s">
        <v>3987</v>
      </c>
      <c r="H71" s="137" t="s">
        <v>2044</v>
      </c>
      <c r="I71" s="137" t="s">
        <v>2258</v>
      </c>
      <c r="J71" s="137" t="s">
        <v>2045</v>
      </c>
      <c r="K71" s="137" t="s">
        <v>2046</v>
      </c>
      <c r="L71" s="139">
        <f t="shared" si="55"/>
        <v>2089622911416</v>
      </c>
      <c r="M71" s="140">
        <f t="shared" si="56"/>
        <v>127554</v>
      </c>
      <c r="N71" s="141">
        <f t="shared" si="57"/>
        <v>2.5848267749609835E-3</v>
      </c>
      <c r="O71" s="141">
        <f t="shared" si="58"/>
        <v>1.7229849572046724E-2</v>
      </c>
      <c r="P71" s="141">
        <f t="shared" si="59"/>
        <v>0.98018532365299227</v>
      </c>
      <c r="Q71" s="140">
        <v>176</v>
      </c>
      <c r="R71" s="139">
        <v>5401313251</v>
      </c>
      <c r="S71" s="140">
        <v>5444</v>
      </c>
      <c r="T71" s="139">
        <v>36003888426</v>
      </c>
      <c r="U71" s="140">
        <v>121934</v>
      </c>
      <c r="V71" s="139">
        <v>2048217709739</v>
      </c>
    </row>
    <row r="72" spans="1:22" x14ac:dyDescent="0.3">
      <c r="A72" s="137">
        <v>12</v>
      </c>
      <c r="B72" s="207" t="s">
        <v>2054</v>
      </c>
      <c r="C72" s="207">
        <v>1000317488</v>
      </c>
      <c r="D72" s="137" t="s">
        <v>3986</v>
      </c>
      <c r="E72" s="137">
        <v>1668904</v>
      </c>
      <c r="F72" s="137" t="s">
        <v>3588</v>
      </c>
      <c r="G72" s="207" t="s">
        <v>3989</v>
      </c>
      <c r="H72" s="207" t="s">
        <v>3988</v>
      </c>
      <c r="I72" s="137" t="s">
        <v>2258</v>
      </c>
      <c r="J72" s="137" t="s">
        <v>2047</v>
      </c>
      <c r="K72" s="137" t="s">
        <v>2048</v>
      </c>
      <c r="L72" s="139">
        <f t="shared" ref="L72" si="60">ABS(R72)+ABS(T72)+ABS(V72)</f>
        <v>1197284408917312</v>
      </c>
      <c r="M72" s="140">
        <f t="shared" ref="M72" si="61">Q72+S72+U72</f>
        <v>259348077</v>
      </c>
      <c r="N72" s="141">
        <f t="shared" ref="N72" si="62">ABS(R72)/$L72</f>
        <v>7.1440771041650884E-4</v>
      </c>
      <c r="O72" s="141">
        <f t="shared" ref="O72" si="63">ABS(T72)/$L72</f>
        <v>0</v>
      </c>
      <c r="P72" s="141">
        <f t="shared" ref="P72" si="64">ABS(V72)/$L72</f>
        <v>0.99928559228958347</v>
      </c>
      <c r="Q72" s="140">
        <v>124</v>
      </c>
      <c r="R72" s="139">
        <v>855349213292</v>
      </c>
      <c r="S72" s="140">
        <v>0</v>
      </c>
      <c r="T72" s="139">
        <v>0</v>
      </c>
      <c r="U72" s="140">
        <v>259347953</v>
      </c>
      <c r="V72" s="209">
        <v>1196429059704020</v>
      </c>
    </row>
    <row r="73" spans="1:22" x14ac:dyDescent="0.3">
      <c r="A73" s="137">
        <v>12</v>
      </c>
      <c r="B73" s="207" t="s">
        <v>2054</v>
      </c>
      <c r="C73" s="207">
        <v>1000317488</v>
      </c>
      <c r="D73" s="137" t="s">
        <v>3986</v>
      </c>
      <c r="E73" s="137">
        <v>1668904</v>
      </c>
      <c r="F73" s="137" t="s">
        <v>3588</v>
      </c>
      <c r="G73" s="207" t="s">
        <v>3989</v>
      </c>
      <c r="H73" s="207" t="s">
        <v>3988</v>
      </c>
      <c r="I73" s="137" t="s">
        <v>2258</v>
      </c>
      <c r="J73" s="137" t="s">
        <v>2045</v>
      </c>
      <c r="K73" s="137" t="s">
        <v>2046</v>
      </c>
      <c r="L73" s="139">
        <f t="shared" ref="L73" si="65">ABS(R73)+ABS(T73)+ABS(V73)</f>
        <v>2178087397279</v>
      </c>
      <c r="M73" s="140">
        <f t="shared" ref="M73" si="66">Q73+S73+U73</f>
        <v>131528</v>
      </c>
      <c r="N73" s="141">
        <f t="shared" ref="N73" si="67">ABS(R73)/$L73</f>
        <v>2.2608122672908675E-3</v>
      </c>
      <c r="O73" s="141">
        <f t="shared" ref="O73" si="68">ABS(T73)/$L73</f>
        <v>1.5995163737012041E-2</v>
      </c>
      <c r="P73" s="141">
        <f t="shared" ref="P73" si="69">ABS(V73)/$L73</f>
        <v>0.98174402399569705</v>
      </c>
      <c r="Q73" s="140">
        <v>162</v>
      </c>
      <c r="R73" s="139">
        <v>4924246707</v>
      </c>
      <c r="S73" s="140">
        <v>5728</v>
      </c>
      <c r="T73" s="139">
        <v>34838864553</v>
      </c>
      <c r="U73" s="140">
        <v>125638</v>
      </c>
      <c r="V73" s="139">
        <v>2138324286019</v>
      </c>
    </row>
    <row r="74" spans="1:22" x14ac:dyDescent="0.3">
      <c r="A74" s="137">
        <v>12</v>
      </c>
      <c r="B74" s="207" t="s">
        <v>3422</v>
      </c>
      <c r="C74" s="207">
        <v>1000317488</v>
      </c>
      <c r="D74" s="137" t="s">
        <v>3986</v>
      </c>
      <c r="E74" s="137">
        <v>1668904</v>
      </c>
      <c r="F74" s="137" t="s">
        <v>3588</v>
      </c>
      <c r="G74" s="207" t="s">
        <v>3992</v>
      </c>
      <c r="H74" s="207" t="s">
        <v>3990</v>
      </c>
      <c r="I74" s="137" t="s">
        <v>2258</v>
      </c>
      <c r="J74" s="137" t="s">
        <v>2047</v>
      </c>
      <c r="K74" s="137" t="s">
        <v>2048</v>
      </c>
      <c r="L74" s="139">
        <f t="shared" ref="L74:L75" si="70">ABS(R74)+ABS(T74)+ABS(V74)</f>
        <v>1068998341586017</v>
      </c>
      <c r="M74" s="140">
        <f t="shared" ref="M74:M75" si="71">Q74+S74+U74</f>
        <v>214378835</v>
      </c>
      <c r="N74" s="141">
        <f t="shared" ref="N74:N75" si="72">ABS(R74)/$L74</f>
        <v>1.0976977740639266E-3</v>
      </c>
      <c r="O74" s="141">
        <f t="shared" ref="O74:O75" si="73">ABS(T74)/$L74</f>
        <v>0</v>
      </c>
      <c r="P74" s="141">
        <f t="shared" ref="P74:P75" si="74">ABS(V74)/$L74</f>
        <v>0.99890230222593612</v>
      </c>
      <c r="Q74" s="140">
        <v>139</v>
      </c>
      <c r="R74" s="139">
        <v>1173437100037</v>
      </c>
      <c r="S74" s="140">
        <v>0</v>
      </c>
      <c r="T74" s="139">
        <v>0</v>
      </c>
      <c r="U74" s="140">
        <v>214378696</v>
      </c>
      <c r="V74" s="139">
        <v>1067824904485980</v>
      </c>
    </row>
    <row r="75" spans="1:22" x14ac:dyDescent="0.3">
      <c r="A75" s="137">
        <v>12</v>
      </c>
      <c r="B75" s="207" t="s">
        <v>3422</v>
      </c>
      <c r="C75" s="207">
        <v>1000317488</v>
      </c>
      <c r="D75" s="137" t="s">
        <v>3986</v>
      </c>
      <c r="E75" s="137">
        <v>1668904</v>
      </c>
      <c r="F75" s="137" t="s">
        <v>3588</v>
      </c>
      <c r="G75" s="207" t="s">
        <v>3992</v>
      </c>
      <c r="H75" s="207" t="s">
        <v>3990</v>
      </c>
      <c r="I75" s="137" t="s">
        <v>2258</v>
      </c>
      <c r="J75" s="137" t="s">
        <v>2045</v>
      </c>
      <c r="K75" s="137" t="s">
        <v>2046</v>
      </c>
      <c r="L75" s="139">
        <f t="shared" si="70"/>
        <v>1977397643730</v>
      </c>
      <c r="M75" s="140">
        <f t="shared" si="71"/>
        <v>133224</v>
      </c>
      <c r="N75" s="141">
        <f t="shared" si="72"/>
        <v>4.7068443666411323E-3</v>
      </c>
      <c r="O75" s="141">
        <f t="shared" si="73"/>
        <v>2.1402579610729371E-2</v>
      </c>
      <c r="P75" s="141">
        <f t="shared" si="74"/>
        <v>0.97389057602262952</v>
      </c>
      <c r="Q75" s="140">
        <v>256</v>
      </c>
      <c r="R75" s="139">
        <v>9307302960</v>
      </c>
      <c r="S75" s="140">
        <v>6263</v>
      </c>
      <c r="T75" s="139">
        <v>42321410492</v>
      </c>
      <c r="U75" s="140">
        <v>126705</v>
      </c>
      <c r="V75" s="139">
        <v>1925768930278</v>
      </c>
    </row>
    <row r="76" spans="1:22" x14ac:dyDescent="0.3">
      <c r="A76" s="137">
        <v>12</v>
      </c>
      <c r="B76" s="207" t="s">
        <v>3983</v>
      </c>
      <c r="C76" s="207">
        <v>1000317488</v>
      </c>
      <c r="D76" s="137" t="s">
        <v>3986</v>
      </c>
      <c r="E76" s="137">
        <v>1668904</v>
      </c>
      <c r="F76" s="137" t="s">
        <v>3588</v>
      </c>
      <c r="G76" s="207" t="s">
        <v>3991</v>
      </c>
      <c r="H76" s="207" t="s">
        <v>3970</v>
      </c>
      <c r="I76" s="137" t="s">
        <v>2258</v>
      </c>
      <c r="J76" s="137" t="s">
        <v>2047</v>
      </c>
      <c r="K76" s="137" t="s">
        <v>2048</v>
      </c>
      <c r="L76" s="139">
        <f t="shared" ref="L76" si="75">ABS(R76)+ABS(T76)+ABS(V76)</f>
        <v>971694043354918</v>
      </c>
      <c r="M76" s="140">
        <f t="shared" ref="M76" si="76">Q76+S76+U76</f>
        <v>272674002</v>
      </c>
      <c r="N76" s="141">
        <f t="shared" ref="N76" si="77">ABS(R76)/$L76</f>
        <v>1.5046852570135187E-3</v>
      </c>
      <c r="O76" s="141">
        <f t="shared" ref="O76" si="78">ABS(T76)/$L76</f>
        <v>0</v>
      </c>
      <c r="P76" s="141">
        <f t="shared" ref="P76" si="79">ABS(V76)/$L76</f>
        <v>0.99849531474298647</v>
      </c>
      <c r="Q76" s="140">
        <v>3504</v>
      </c>
      <c r="R76" s="139">
        <v>1462093701364</v>
      </c>
      <c r="S76" s="140">
        <v>0</v>
      </c>
      <c r="T76" s="139">
        <v>0</v>
      </c>
      <c r="U76" s="140">
        <v>272670498</v>
      </c>
      <c r="V76" s="139">
        <v>970231949653554</v>
      </c>
    </row>
    <row r="77" spans="1:22" x14ac:dyDescent="0.3">
      <c r="A77" s="137">
        <v>12</v>
      </c>
      <c r="B77" s="207" t="s">
        <v>3983</v>
      </c>
      <c r="C77" s="207">
        <v>1000317488</v>
      </c>
      <c r="D77" s="137" t="s">
        <v>3986</v>
      </c>
      <c r="E77" s="137">
        <v>1668904</v>
      </c>
      <c r="F77" s="137" t="s">
        <v>3588</v>
      </c>
      <c r="G77" s="207" t="s">
        <v>3991</v>
      </c>
      <c r="H77" s="207" t="s">
        <v>3970</v>
      </c>
      <c r="I77" s="137" t="s">
        <v>2258</v>
      </c>
      <c r="J77" s="137" t="s">
        <v>2045</v>
      </c>
      <c r="K77" s="137" t="s">
        <v>2046</v>
      </c>
      <c r="L77" s="139">
        <f t="shared" ref="L77" si="80">ABS(R77)+ABS(T77)+ABS(V77)</f>
        <v>2065658832111</v>
      </c>
      <c r="M77" s="140">
        <f t="shared" ref="M77" si="81">Q77+S77+U77</f>
        <v>128008</v>
      </c>
      <c r="N77" s="141">
        <f t="shared" ref="N77" si="82">ABS(R77)/$L77</f>
        <v>2.8836403782674194E-3</v>
      </c>
      <c r="O77" s="141">
        <f t="shared" ref="O77" si="83">ABS(T77)/$L77</f>
        <v>2.0826352347369761E-2</v>
      </c>
      <c r="P77" s="141">
        <f t="shared" ref="P77" si="84">ABS(V77)/$L77</f>
        <v>0.97629000727436277</v>
      </c>
      <c r="Q77" s="140">
        <v>204</v>
      </c>
      <c r="R77" s="139">
        <v>5956617216</v>
      </c>
      <c r="S77" s="140">
        <v>5904</v>
      </c>
      <c r="T77" s="139">
        <v>43020138667</v>
      </c>
      <c r="U77" s="140">
        <v>121900</v>
      </c>
      <c r="V77" s="139">
        <v>2016682076228</v>
      </c>
    </row>
    <row r="78" spans="1:22" x14ac:dyDescent="0.3">
      <c r="A78" s="137">
        <v>13</v>
      </c>
      <c r="B78" s="137" t="s">
        <v>2246</v>
      </c>
      <c r="C78" s="137">
        <v>1000316588</v>
      </c>
      <c r="D78" s="137" t="s">
        <v>2309</v>
      </c>
      <c r="E78" s="137">
        <v>1668870</v>
      </c>
      <c r="F78" s="137" t="s">
        <v>2280</v>
      </c>
      <c r="G78" s="150" t="s">
        <v>2310</v>
      </c>
      <c r="H78" s="137" t="s">
        <v>2056</v>
      </c>
      <c r="I78" s="137" t="s">
        <v>2258</v>
      </c>
      <c r="J78" s="137" t="s">
        <v>2047</v>
      </c>
      <c r="K78" s="137" t="s">
        <v>2048</v>
      </c>
      <c r="L78" s="139">
        <f t="shared" si="0"/>
        <v>1615804156498861</v>
      </c>
      <c r="M78" s="140">
        <f t="shared" si="1"/>
        <v>24703663</v>
      </c>
      <c r="N78" s="141">
        <f t="shared" si="2"/>
        <v>0.64056636054223415</v>
      </c>
      <c r="O78" s="141">
        <f t="shared" si="3"/>
        <v>0</v>
      </c>
      <c r="P78" s="141">
        <f t="shared" si="4"/>
        <v>0.3594336394577658</v>
      </c>
      <c r="Q78" s="140">
        <v>495</v>
      </c>
      <c r="R78" s="139">
        <v>1035029787877490</v>
      </c>
      <c r="S78" s="140">
        <v>0</v>
      </c>
      <c r="T78" s="139">
        <v>0</v>
      </c>
      <c r="U78" s="140">
        <v>24703168</v>
      </c>
      <c r="V78" s="139">
        <v>580774368621371</v>
      </c>
    </row>
    <row r="79" spans="1:22" x14ac:dyDescent="0.3">
      <c r="A79" s="137">
        <v>13</v>
      </c>
      <c r="B79" s="137" t="s">
        <v>2246</v>
      </c>
      <c r="C79" s="137">
        <v>1000316588</v>
      </c>
      <c r="D79" s="137" t="s">
        <v>2309</v>
      </c>
      <c r="E79" s="137">
        <v>1668870</v>
      </c>
      <c r="F79" s="137" t="s">
        <v>2280</v>
      </c>
      <c r="G79" s="150" t="s">
        <v>2310</v>
      </c>
      <c r="H79" s="137" t="s">
        <v>2056</v>
      </c>
      <c r="I79" s="137" t="s">
        <v>2258</v>
      </c>
      <c r="J79" s="137" t="s">
        <v>2045</v>
      </c>
      <c r="K79" s="137" t="s">
        <v>2048</v>
      </c>
      <c r="L79" s="139">
        <f t="shared" si="0"/>
        <v>9968693458398</v>
      </c>
      <c r="M79" s="140">
        <f t="shared" si="1"/>
        <v>3480712</v>
      </c>
      <c r="N79" s="141">
        <f t="shared" si="2"/>
        <v>2.6100920743410409E-2</v>
      </c>
      <c r="O79" s="141">
        <f t="shared" si="3"/>
        <v>0.13704914014384315</v>
      </c>
      <c r="P79" s="141">
        <f t="shared" si="4"/>
        <v>0.83684993911274641</v>
      </c>
      <c r="Q79" s="140">
        <v>5434</v>
      </c>
      <c r="R79" s="139">
        <v>260192077873</v>
      </c>
      <c r="S79" s="140">
        <v>57442</v>
      </c>
      <c r="T79" s="139">
        <v>1366200866831</v>
      </c>
      <c r="U79" s="140">
        <v>3417836</v>
      </c>
      <c r="V79" s="139">
        <v>8342300513694</v>
      </c>
    </row>
    <row r="80" spans="1:22" x14ac:dyDescent="0.3">
      <c r="A80" s="137">
        <v>13</v>
      </c>
      <c r="B80" s="207" t="s">
        <v>3983</v>
      </c>
      <c r="C80" s="137">
        <v>1000316588</v>
      </c>
      <c r="D80" s="137" t="s">
        <v>2309</v>
      </c>
      <c r="E80" s="137">
        <v>1668870</v>
      </c>
      <c r="F80" s="137" t="s">
        <v>2280</v>
      </c>
      <c r="G80" s="206" t="s">
        <v>3993</v>
      </c>
      <c r="H80" s="207" t="s">
        <v>3969</v>
      </c>
      <c r="I80" s="137" t="s">
        <v>2258</v>
      </c>
      <c r="J80" s="137" t="s">
        <v>2047</v>
      </c>
      <c r="K80" s="137" t="s">
        <v>2048</v>
      </c>
      <c r="L80" s="139">
        <f t="shared" ref="L80:L81" si="85">ABS(R80)+ABS(T80)+ABS(V80)</f>
        <v>4.4257396321252208E+16</v>
      </c>
      <c r="M80" s="140">
        <f t="shared" ref="M80:M81" si="86">Q80+S80+U80</f>
        <v>25362456</v>
      </c>
      <c r="N80" s="141">
        <f t="shared" ref="N80:N81" si="87">ABS(R80)/$L80</f>
        <v>9.681857173086324E-4</v>
      </c>
      <c r="O80" s="141">
        <f t="shared" ref="O80:O81" si="88">ABS(T80)/$L80</f>
        <v>0</v>
      </c>
      <c r="P80" s="141">
        <f t="shared" ref="P80:P81" si="89">ABS(V80)/$L80</f>
        <v>0.99903181428269139</v>
      </c>
      <c r="Q80" s="140">
        <v>566</v>
      </c>
      <c r="R80" s="139">
        <v>42849379003504</v>
      </c>
      <c r="S80" s="140">
        <v>0</v>
      </c>
      <c r="T80" s="139">
        <v>0</v>
      </c>
      <c r="U80" s="140">
        <v>25361890</v>
      </c>
      <c r="V80" s="209">
        <v>4.4214546942248704E+16</v>
      </c>
    </row>
    <row r="81" spans="1:22" x14ac:dyDescent="0.3">
      <c r="A81" s="137">
        <v>13</v>
      </c>
      <c r="B81" s="207" t="s">
        <v>3983</v>
      </c>
      <c r="C81" s="137">
        <v>1000316588</v>
      </c>
      <c r="D81" s="137" t="s">
        <v>2309</v>
      </c>
      <c r="E81" s="137">
        <v>1668870</v>
      </c>
      <c r="F81" s="137" t="s">
        <v>2280</v>
      </c>
      <c r="G81" s="206" t="s">
        <v>3993</v>
      </c>
      <c r="H81" s="207" t="s">
        <v>3969</v>
      </c>
      <c r="I81" s="137" t="s">
        <v>2258</v>
      </c>
      <c r="J81" s="137" t="s">
        <v>2045</v>
      </c>
      <c r="K81" s="137" t="s">
        <v>2046</v>
      </c>
      <c r="L81" s="139">
        <f t="shared" si="85"/>
        <v>12109869161672</v>
      </c>
      <c r="M81" s="140">
        <f t="shared" si="86"/>
        <v>3822490</v>
      </c>
      <c r="N81" s="141">
        <f t="shared" si="87"/>
        <v>1.7795085003234387E-2</v>
      </c>
      <c r="O81" s="141">
        <f t="shared" si="88"/>
        <v>0.11478353530741879</v>
      </c>
      <c r="P81" s="141">
        <f t="shared" si="89"/>
        <v>0.86742137968934685</v>
      </c>
      <c r="Q81" s="140">
        <v>4424</v>
      </c>
      <c r="R81" s="139">
        <v>215496151110</v>
      </c>
      <c r="S81" s="140">
        <v>57106</v>
      </c>
      <c r="T81" s="139">
        <v>1390013594487</v>
      </c>
      <c r="U81" s="140">
        <v>3760960</v>
      </c>
      <c r="V81" s="139">
        <v>10504359416075</v>
      </c>
    </row>
    <row r="82" spans="1:22" x14ac:dyDescent="0.3">
      <c r="A82" s="27">
        <v>14</v>
      </c>
      <c r="B82" s="167" t="s">
        <v>3333</v>
      </c>
      <c r="C82" s="28">
        <v>1000316585</v>
      </c>
      <c r="D82" s="137" t="s">
        <v>1577</v>
      </c>
      <c r="E82" s="137">
        <v>1668853</v>
      </c>
      <c r="F82" s="137" t="s">
        <v>800</v>
      </c>
      <c r="G82" s="166" t="s">
        <v>3332</v>
      </c>
      <c r="H82" s="167" t="s">
        <v>3334</v>
      </c>
      <c r="I82" s="137" t="s">
        <v>2258</v>
      </c>
      <c r="J82" s="137" t="s">
        <v>2047</v>
      </c>
      <c r="K82" s="137" t="s">
        <v>2048</v>
      </c>
      <c r="L82" s="139">
        <f t="shared" si="0"/>
        <v>573233031843192</v>
      </c>
      <c r="M82" s="140">
        <f t="shared" si="1"/>
        <v>10044153</v>
      </c>
      <c r="N82" s="141">
        <f t="shared" si="2"/>
        <v>6.3702287240992471E-3</v>
      </c>
      <c r="O82" s="141">
        <f t="shared" si="3"/>
        <v>0</v>
      </c>
      <c r="P82" s="141">
        <f t="shared" si="4"/>
        <v>0.9936297712759008</v>
      </c>
      <c r="Q82" s="140">
        <v>167</v>
      </c>
      <c r="R82" s="139">
        <v>3651625525050</v>
      </c>
      <c r="S82" s="140">
        <v>0</v>
      </c>
      <c r="T82" s="139">
        <v>0</v>
      </c>
      <c r="U82" s="140">
        <v>10043986</v>
      </c>
      <c r="V82" s="139">
        <v>569581406318142</v>
      </c>
    </row>
    <row r="83" spans="1:22" x14ac:dyDescent="0.3">
      <c r="A83" s="27">
        <v>14</v>
      </c>
      <c r="B83" s="167" t="s">
        <v>3333</v>
      </c>
      <c r="C83" s="28">
        <v>1000316585</v>
      </c>
      <c r="D83" s="137" t="s">
        <v>1577</v>
      </c>
      <c r="E83" s="137">
        <v>1668853</v>
      </c>
      <c r="F83" s="137" t="s">
        <v>800</v>
      </c>
      <c r="G83" s="166" t="s">
        <v>3332</v>
      </c>
      <c r="H83" s="167" t="s">
        <v>3334</v>
      </c>
      <c r="I83" s="137" t="s">
        <v>2258</v>
      </c>
      <c r="J83" s="137" t="s">
        <v>2045</v>
      </c>
      <c r="K83" s="137" t="s">
        <v>2046</v>
      </c>
      <c r="L83" s="139">
        <f t="shared" si="0"/>
        <v>3817494687575</v>
      </c>
      <c r="M83" s="140">
        <f t="shared" si="1"/>
        <v>258632</v>
      </c>
      <c r="N83" s="141">
        <f t="shared" si="2"/>
        <v>2.0583915033531061E-2</v>
      </c>
      <c r="O83" s="141">
        <f t="shared" si="3"/>
        <v>0.2615483763971535</v>
      </c>
      <c r="P83" s="141">
        <f t="shared" si="4"/>
        <v>0.71786770856931548</v>
      </c>
      <c r="Q83" s="140">
        <v>780</v>
      </c>
      <c r="R83" s="139">
        <v>78578986290</v>
      </c>
      <c r="S83" s="140">
        <v>9211</v>
      </c>
      <c r="T83" s="139">
        <v>998459537440</v>
      </c>
      <c r="U83" s="140">
        <v>248641</v>
      </c>
      <c r="V83" s="139">
        <v>2740456163845</v>
      </c>
    </row>
    <row r="84" spans="1:22" x14ac:dyDescent="0.3">
      <c r="A84" s="27">
        <v>14</v>
      </c>
      <c r="B84" s="207" t="s">
        <v>3983</v>
      </c>
      <c r="C84" s="28">
        <v>1000316585</v>
      </c>
      <c r="D84" s="137" t="s">
        <v>1577</v>
      </c>
      <c r="E84" s="137">
        <v>1668853</v>
      </c>
      <c r="F84" s="137" t="s">
        <v>800</v>
      </c>
      <c r="G84" s="206" t="s">
        <v>3994</v>
      </c>
      <c r="H84" s="207" t="s">
        <v>3970</v>
      </c>
      <c r="I84" s="137" t="s">
        <v>2258</v>
      </c>
      <c r="J84" s="137" t="s">
        <v>2047</v>
      </c>
      <c r="K84" s="137" t="s">
        <v>2048</v>
      </c>
      <c r="L84" s="139">
        <f t="shared" ref="L84:L85" si="90">ABS(R84)+ABS(T84)+ABS(V84)</f>
        <v>212145624408942</v>
      </c>
      <c r="M84" s="140">
        <f t="shared" ref="M84:M85" si="91">Q84+S84+U84</f>
        <v>3185640</v>
      </c>
      <c r="N84" s="141">
        <f t="shared" ref="N84:N85" si="92">ABS(R84)/$L84</f>
        <v>7.5103789698753847E-3</v>
      </c>
      <c r="O84" s="141">
        <f t="shared" ref="O84:O85" si="93">ABS(T84)/$L84</f>
        <v>0</v>
      </c>
      <c r="P84" s="141">
        <f t="shared" ref="P84:P85" si="94">ABS(V84)/$L84</f>
        <v>0.99248962103012461</v>
      </c>
      <c r="Q84" s="140">
        <v>276</v>
      </c>
      <c r="R84" s="139">
        <v>1593294036112</v>
      </c>
      <c r="S84" s="140">
        <v>0</v>
      </c>
      <c r="T84" s="139">
        <v>0</v>
      </c>
      <c r="U84" s="140">
        <v>3185364</v>
      </c>
      <c r="V84" s="139">
        <v>210552330372830</v>
      </c>
    </row>
    <row r="85" spans="1:22" x14ac:dyDescent="0.3">
      <c r="A85" s="27">
        <v>14</v>
      </c>
      <c r="B85" s="207" t="s">
        <v>3983</v>
      </c>
      <c r="C85" s="28">
        <v>1000316585</v>
      </c>
      <c r="D85" s="137" t="s">
        <v>1577</v>
      </c>
      <c r="E85" s="137">
        <v>1668853</v>
      </c>
      <c r="F85" s="137" t="s">
        <v>800</v>
      </c>
      <c r="G85" s="206" t="s">
        <v>3994</v>
      </c>
      <c r="H85" s="207" t="s">
        <v>3970</v>
      </c>
      <c r="I85" s="137" t="s">
        <v>2258</v>
      </c>
      <c r="J85" s="137" t="s">
        <v>2045</v>
      </c>
      <c r="K85" s="137" t="s">
        <v>2046</v>
      </c>
      <c r="L85" s="139">
        <f t="shared" si="90"/>
        <v>1217216475538</v>
      </c>
      <c r="M85" s="140">
        <f t="shared" si="91"/>
        <v>82531</v>
      </c>
      <c r="N85" s="141">
        <f t="shared" si="92"/>
        <v>3.2032765308871107E-2</v>
      </c>
      <c r="O85" s="141">
        <f t="shared" si="93"/>
        <v>0.24416057113394035</v>
      </c>
      <c r="P85" s="141">
        <f t="shared" si="94"/>
        <v>0.72380666355718859</v>
      </c>
      <c r="Q85" s="140">
        <v>296</v>
      </c>
      <c r="R85" s="139">
        <v>38990809691</v>
      </c>
      <c r="S85" s="140">
        <v>3005</v>
      </c>
      <c r="T85" s="139">
        <v>297196269861</v>
      </c>
      <c r="U85" s="140">
        <v>79230</v>
      </c>
      <c r="V85" s="209">
        <v>881029395986</v>
      </c>
    </row>
    <row r="86" spans="1:22" x14ac:dyDescent="0.3">
      <c r="A86" s="27">
        <v>15</v>
      </c>
      <c r="B86" s="167" t="s">
        <v>3335</v>
      </c>
      <c r="C86" s="28">
        <v>1000314665</v>
      </c>
      <c r="D86" s="137" t="s">
        <v>1578</v>
      </c>
      <c r="E86" s="137">
        <v>1667371</v>
      </c>
      <c r="F86" s="137" t="s">
        <v>801</v>
      </c>
      <c r="G86" s="166" t="s">
        <v>3336</v>
      </c>
      <c r="H86" s="137" t="s">
        <v>2056</v>
      </c>
      <c r="I86" s="137" t="s">
        <v>2258</v>
      </c>
      <c r="J86" s="137" t="s">
        <v>2047</v>
      </c>
      <c r="K86" s="137" t="s">
        <v>2048</v>
      </c>
      <c r="L86" s="139">
        <f t="shared" si="0"/>
        <v>115583626594142</v>
      </c>
      <c r="M86" s="140">
        <f t="shared" si="1"/>
        <v>1145788</v>
      </c>
      <c r="N86" s="141">
        <f t="shared" si="2"/>
        <v>1.7683679589558673E-3</v>
      </c>
      <c r="O86" s="141">
        <f t="shared" si="3"/>
        <v>0</v>
      </c>
      <c r="P86" s="141">
        <f t="shared" si="4"/>
        <v>0.99823163204104415</v>
      </c>
      <c r="Q86" s="140">
        <v>1</v>
      </c>
      <c r="R86" s="139">
        <v>204394381849</v>
      </c>
      <c r="S86" s="140">
        <v>0</v>
      </c>
      <c r="T86" s="139">
        <v>0</v>
      </c>
      <c r="U86" s="140">
        <v>1145787</v>
      </c>
      <c r="V86" s="139">
        <v>115379232212293</v>
      </c>
    </row>
    <row r="87" spans="1:22" x14ac:dyDescent="0.3">
      <c r="A87" s="27">
        <v>15</v>
      </c>
      <c r="B87" s="167" t="s">
        <v>3335</v>
      </c>
      <c r="C87" s="28">
        <v>1000314665</v>
      </c>
      <c r="D87" s="137" t="s">
        <v>1578</v>
      </c>
      <c r="E87" s="137">
        <v>1667371</v>
      </c>
      <c r="F87" s="137" t="s">
        <v>801</v>
      </c>
      <c r="G87" s="166" t="s">
        <v>3336</v>
      </c>
      <c r="H87" s="137" t="s">
        <v>2056</v>
      </c>
      <c r="I87" s="137" t="s">
        <v>2258</v>
      </c>
      <c r="J87" s="137" t="s">
        <v>2050</v>
      </c>
      <c r="K87" s="137" t="s">
        <v>2048</v>
      </c>
      <c r="L87" s="139">
        <f t="shared" si="0"/>
        <v>1222399053886</v>
      </c>
      <c r="M87" s="140">
        <f t="shared" si="1"/>
        <v>174679</v>
      </c>
      <c r="N87" s="141">
        <f t="shared" si="2"/>
        <v>3.7824710668756797E-2</v>
      </c>
      <c r="O87" s="141">
        <f t="shared" si="3"/>
        <v>0.28631917923149863</v>
      </c>
      <c r="P87" s="141">
        <f t="shared" si="4"/>
        <v>0.67585611009974456</v>
      </c>
      <c r="Q87" s="140">
        <v>54</v>
      </c>
      <c r="R87" s="139">
        <v>46236890535</v>
      </c>
      <c r="S87" s="140">
        <v>1995</v>
      </c>
      <c r="T87" s="139">
        <v>349996293802</v>
      </c>
      <c r="U87" s="140">
        <v>172630</v>
      </c>
      <c r="V87" s="139">
        <v>826165869549</v>
      </c>
    </row>
    <row r="88" spans="1:22" x14ac:dyDescent="0.3">
      <c r="A88" s="27">
        <v>15</v>
      </c>
      <c r="B88" s="167" t="s">
        <v>3335</v>
      </c>
      <c r="C88" s="28">
        <v>1000314665</v>
      </c>
      <c r="D88" s="137" t="s">
        <v>1578</v>
      </c>
      <c r="E88" s="137">
        <v>1667371</v>
      </c>
      <c r="F88" s="137" t="s">
        <v>801</v>
      </c>
      <c r="G88" s="166" t="s">
        <v>3336</v>
      </c>
      <c r="H88" s="137" t="s">
        <v>2056</v>
      </c>
      <c r="I88" s="137" t="s">
        <v>2258</v>
      </c>
      <c r="J88" s="137" t="s">
        <v>2045</v>
      </c>
      <c r="K88" s="137" t="s">
        <v>2048</v>
      </c>
      <c r="L88" s="139">
        <f t="shared" si="0"/>
        <v>2583887691122</v>
      </c>
      <c r="M88" s="140">
        <f t="shared" si="1"/>
        <v>16016</v>
      </c>
      <c r="N88" s="141">
        <f t="shared" si="2"/>
        <v>4.724148414786366E-4</v>
      </c>
      <c r="O88" s="141">
        <f t="shared" si="3"/>
        <v>6.1887065367211343E-2</v>
      </c>
      <c r="P88" s="141">
        <f t="shared" si="4"/>
        <v>0.93764051979131002</v>
      </c>
      <c r="Q88" s="140">
        <v>2</v>
      </c>
      <c r="R88" s="139">
        <v>1220666894</v>
      </c>
      <c r="S88" s="140">
        <v>297</v>
      </c>
      <c r="T88" s="139">
        <v>159909226442</v>
      </c>
      <c r="U88" s="140">
        <v>15717</v>
      </c>
      <c r="V88" s="139">
        <v>2422757797786</v>
      </c>
    </row>
    <row r="89" spans="1:22" x14ac:dyDescent="0.3">
      <c r="A89" s="27">
        <v>15</v>
      </c>
      <c r="B89" s="207" t="s">
        <v>3983</v>
      </c>
      <c r="C89" s="28">
        <v>1000314665</v>
      </c>
      <c r="D89" s="137" t="s">
        <v>1578</v>
      </c>
      <c r="E89" s="137">
        <v>1667371</v>
      </c>
      <c r="F89" s="137" t="s">
        <v>801</v>
      </c>
      <c r="G89" s="206" t="s">
        <v>3995</v>
      </c>
      <c r="H89" s="207" t="s">
        <v>3969</v>
      </c>
      <c r="I89" s="137" t="s">
        <v>2258</v>
      </c>
      <c r="J89" s="137" t="s">
        <v>2047</v>
      </c>
      <c r="K89" s="137" t="s">
        <v>2048</v>
      </c>
      <c r="L89" s="139">
        <f t="shared" ref="L89:L91" si="95">ABS(R89)+ABS(T89)+ABS(V89)</f>
        <v>269455526683928</v>
      </c>
      <c r="M89" s="140">
        <f t="shared" ref="M89:M91" si="96">Q89+S89+U89</f>
        <v>2415033</v>
      </c>
      <c r="N89" s="141">
        <f t="shared" ref="N89:N91" si="97">ABS(R89)/$L89</f>
        <v>2.0626152258770885E-2</v>
      </c>
      <c r="O89" s="141">
        <f t="shared" ref="O89:O91" si="98">ABS(T89)/$L89</f>
        <v>0</v>
      </c>
      <c r="P89" s="141">
        <f t="shared" ref="P89:P91" si="99">ABS(V89)/$L89</f>
        <v>0.97937384774122915</v>
      </c>
      <c r="Q89" s="140">
        <v>13</v>
      </c>
      <c r="R89" s="139">
        <v>5557830720350</v>
      </c>
      <c r="S89" s="140">
        <v>0</v>
      </c>
      <c r="T89" s="139">
        <v>0</v>
      </c>
      <c r="U89" s="140">
        <v>2415020</v>
      </c>
      <c r="V89" s="139">
        <v>263897695963578</v>
      </c>
    </row>
    <row r="90" spans="1:22" x14ac:dyDescent="0.3">
      <c r="A90" s="27">
        <v>15</v>
      </c>
      <c r="B90" s="207" t="s">
        <v>3983</v>
      </c>
      <c r="C90" s="28">
        <v>1000314665</v>
      </c>
      <c r="D90" s="137" t="s">
        <v>1578</v>
      </c>
      <c r="E90" s="137">
        <v>1667371</v>
      </c>
      <c r="F90" s="137" t="s">
        <v>801</v>
      </c>
      <c r="G90" s="206" t="s">
        <v>3995</v>
      </c>
      <c r="H90" s="207" t="s">
        <v>3969</v>
      </c>
      <c r="I90" s="137" t="s">
        <v>2258</v>
      </c>
      <c r="J90" s="137" t="s">
        <v>2050</v>
      </c>
      <c r="K90" s="137" t="s">
        <v>2046</v>
      </c>
      <c r="L90" s="139">
        <f t="shared" si="95"/>
        <v>2264315584372</v>
      </c>
      <c r="M90" s="140">
        <f t="shared" si="96"/>
        <v>368024</v>
      </c>
      <c r="N90" s="141">
        <f t="shared" si="97"/>
        <v>3.846824007226804E-2</v>
      </c>
      <c r="O90" s="141">
        <f t="shared" si="98"/>
        <v>0.25549942337231835</v>
      </c>
      <c r="P90" s="141">
        <f t="shared" si="99"/>
        <v>0.70603233655541364</v>
      </c>
      <c r="Q90" s="140">
        <v>71</v>
      </c>
      <c r="R90" s="139">
        <v>87104235499</v>
      </c>
      <c r="S90" s="140">
        <v>3074</v>
      </c>
      <c r="T90" s="139">
        <v>578531326140</v>
      </c>
      <c r="U90" s="140">
        <v>364879</v>
      </c>
      <c r="V90" s="139">
        <v>1598680022733</v>
      </c>
    </row>
    <row r="91" spans="1:22" x14ac:dyDescent="0.3">
      <c r="A91" s="27">
        <v>15</v>
      </c>
      <c r="B91" s="207" t="s">
        <v>3983</v>
      </c>
      <c r="C91" s="28">
        <v>1000314665</v>
      </c>
      <c r="D91" s="137" t="s">
        <v>1578</v>
      </c>
      <c r="E91" s="137">
        <v>1667371</v>
      </c>
      <c r="F91" s="137" t="s">
        <v>801</v>
      </c>
      <c r="G91" s="206" t="s">
        <v>3995</v>
      </c>
      <c r="H91" s="207" t="s">
        <v>3969</v>
      </c>
      <c r="I91" s="137" t="s">
        <v>2258</v>
      </c>
      <c r="J91" s="137" t="s">
        <v>2045</v>
      </c>
      <c r="K91" s="137" t="s">
        <v>2046</v>
      </c>
      <c r="L91" s="139">
        <f t="shared" si="95"/>
        <v>5823900064002</v>
      </c>
      <c r="M91" s="140">
        <f t="shared" si="96"/>
        <v>38656</v>
      </c>
      <c r="N91" s="141">
        <f t="shared" si="97"/>
        <v>5.5062264474991835E-4</v>
      </c>
      <c r="O91" s="141">
        <f t="shared" si="98"/>
        <v>5.7236319590267877E-2</v>
      </c>
      <c r="P91" s="141">
        <f t="shared" si="99"/>
        <v>0.94221305776498221</v>
      </c>
      <c r="Q91" s="140">
        <v>5</v>
      </c>
      <c r="R91" s="139">
        <v>3206771256</v>
      </c>
      <c r="S91" s="140">
        <v>585</v>
      </c>
      <c r="T91" s="139">
        <v>333338605325</v>
      </c>
      <c r="U91" s="140">
        <v>38066</v>
      </c>
      <c r="V91" s="139">
        <v>5487354687421</v>
      </c>
    </row>
    <row r="92" spans="1:22" x14ac:dyDescent="0.3">
      <c r="A92" s="27">
        <v>16</v>
      </c>
      <c r="B92" s="207" t="s">
        <v>3983</v>
      </c>
      <c r="C92" s="28">
        <v>1000325445</v>
      </c>
      <c r="D92" s="137" t="s">
        <v>3996</v>
      </c>
      <c r="E92" s="137">
        <v>1683436</v>
      </c>
      <c r="F92" s="207" t="s">
        <v>3997</v>
      </c>
      <c r="G92" s="206" t="s">
        <v>3998</v>
      </c>
      <c r="H92" s="207" t="s">
        <v>3969</v>
      </c>
      <c r="I92" s="137" t="s">
        <v>2258</v>
      </c>
      <c r="J92" s="137" t="s">
        <v>2047</v>
      </c>
      <c r="K92" s="137" t="s">
        <v>2048</v>
      </c>
      <c r="L92" s="139">
        <f t="shared" ref="L92:L94" si="100">ABS(R92)+ABS(T92)+ABS(V92)</f>
        <v>1247620226579700</v>
      </c>
      <c r="M92" s="140">
        <f t="shared" ref="M92:M94" si="101">Q92+S92+U92</f>
        <v>11399081</v>
      </c>
      <c r="N92" s="141">
        <f t="shared" ref="N92:N94" si="102">ABS(R92)/$L92</f>
        <v>2.2437353508400933E-3</v>
      </c>
      <c r="O92" s="141">
        <f t="shared" ref="O92:O94" si="103">ABS(T92)/$L92</f>
        <v>0</v>
      </c>
      <c r="P92" s="141">
        <f t="shared" ref="P92:P94" si="104">ABS(V92)/$L92</f>
        <v>0.9977562646491599</v>
      </c>
      <c r="Q92" s="140">
        <v>29</v>
      </c>
      <c r="R92" s="139">
        <v>2799329606800</v>
      </c>
      <c r="S92" s="140">
        <v>0</v>
      </c>
      <c r="T92" s="139">
        <v>0</v>
      </c>
      <c r="U92" s="140">
        <v>11399052</v>
      </c>
      <c r="V92" s="139">
        <v>1244820896972900</v>
      </c>
    </row>
    <row r="93" spans="1:22" x14ac:dyDescent="0.3">
      <c r="A93" s="27">
        <v>16</v>
      </c>
      <c r="B93" s="207" t="s">
        <v>3983</v>
      </c>
      <c r="C93" s="28">
        <v>1000325445</v>
      </c>
      <c r="D93" s="137" t="s">
        <v>3996</v>
      </c>
      <c r="E93" s="137">
        <v>1683436</v>
      </c>
      <c r="F93" s="137" t="s">
        <v>3591</v>
      </c>
      <c r="G93" s="206" t="s">
        <v>3998</v>
      </c>
      <c r="H93" s="207" t="s">
        <v>3969</v>
      </c>
      <c r="I93" s="137" t="s">
        <v>2258</v>
      </c>
      <c r="J93" s="137" t="s">
        <v>2050</v>
      </c>
      <c r="K93" s="137" t="s">
        <v>2046</v>
      </c>
      <c r="L93" s="139">
        <f t="shared" si="100"/>
        <v>12842373140429</v>
      </c>
      <c r="M93" s="140">
        <f t="shared" si="101"/>
        <v>1542756</v>
      </c>
      <c r="N93" s="141">
        <f t="shared" si="102"/>
        <v>3.3712730813748745E-2</v>
      </c>
      <c r="O93" s="141">
        <f t="shared" si="103"/>
        <v>0.29490798330210211</v>
      </c>
      <c r="P93" s="141">
        <f t="shared" si="104"/>
        <v>0.67137928588414919</v>
      </c>
      <c r="Q93" s="140">
        <v>103</v>
      </c>
      <c r="R93" s="139">
        <v>432951468693</v>
      </c>
      <c r="S93" s="140">
        <v>4840</v>
      </c>
      <c r="T93" s="139">
        <v>3787318363657</v>
      </c>
      <c r="U93" s="140">
        <v>1537813</v>
      </c>
      <c r="V93" s="139">
        <v>8622103308079</v>
      </c>
    </row>
    <row r="94" spans="1:22" x14ac:dyDescent="0.3">
      <c r="A94" s="27">
        <v>16</v>
      </c>
      <c r="B94" s="207" t="s">
        <v>3983</v>
      </c>
      <c r="C94" s="28">
        <v>1000325445</v>
      </c>
      <c r="D94" s="137" t="s">
        <v>3996</v>
      </c>
      <c r="E94" s="137">
        <v>1683436</v>
      </c>
      <c r="F94" s="137" t="s">
        <v>3591</v>
      </c>
      <c r="G94" s="206" t="s">
        <v>3998</v>
      </c>
      <c r="H94" s="207" t="s">
        <v>3969</v>
      </c>
      <c r="I94" s="137" t="s">
        <v>2258</v>
      </c>
      <c r="J94" s="137" t="s">
        <v>2045</v>
      </c>
      <c r="K94" s="137" t="s">
        <v>2046</v>
      </c>
      <c r="L94" s="139">
        <f t="shared" si="100"/>
        <v>50909864303139</v>
      </c>
      <c r="M94" s="140">
        <f t="shared" si="101"/>
        <v>43984</v>
      </c>
      <c r="N94" s="141">
        <f t="shared" si="102"/>
        <v>2.4722883051416716E-2</v>
      </c>
      <c r="O94" s="141">
        <f t="shared" si="103"/>
        <v>0.25812989736351999</v>
      </c>
      <c r="P94" s="141">
        <f t="shared" si="104"/>
        <v>0.71714721958506333</v>
      </c>
      <c r="Q94" s="140">
        <v>98</v>
      </c>
      <c r="R94" s="139">
        <v>1258638621330</v>
      </c>
      <c r="S94" s="140">
        <v>718</v>
      </c>
      <c r="T94" s="139">
        <v>13141358047360</v>
      </c>
      <c r="U94" s="140">
        <v>43168</v>
      </c>
      <c r="V94" s="139">
        <v>36509867634449</v>
      </c>
    </row>
    <row r="95" spans="1:22" x14ac:dyDescent="0.3">
      <c r="A95" s="27">
        <v>17</v>
      </c>
      <c r="B95" s="167" t="s">
        <v>3335</v>
      </c>
      <c r="C95" s="28">
        <v>1000325538</v>
      </c>
      <c r="D95" s="137" t="s">
        <v>3338</v>
      </c>
      <c r="E95" s="137">
        <v>1663086</v>
      </c>
      <c r="F95" s="137" t="s">
        <v>3260</v>
      </c>
      <c r="G95" s="166" t="s">
        <v>3339</v>
      </c>
      <c r="H95" s="137" t="s">
        <v>2056</v>
      </c>
      <c r="I95" s="137" t="s">
        <v>2258</v>
      </c>
      <c r="J95" s="137" t="s">
        <v>2047</v>
      </c>
      <c r="K95" s="137" t="s">
        <v>2048</v>
      </c>
      <c r="L95" s="139">
        <f t="shared" ref="L95:L96" si="105">ABS(R95)+ABS(T95)+ABS(V95)</f>
        <v>241391187355610</v>
      </c>
      <c r="M95" s="140">
        <f t="shared" ref="M95:M96" si="106">Q95+S95+U95</f>
        <v>1892072</v>
      </c>
      <c r="N95" s="141">
        <f t="shared" ref="N95:N96" si="107">ABS(R95)/$L95</f>
        <v>1.0824388887282529E-3</v>
      </c>
      <c r="O95" s="141">
        <f t="shared" ref="O95:O96" si="108">ABS(T95)/$L95</f>
        <v>0</v>
      </c>
      <c r="P95" s="141">
        <f t="shared" ref="P95:P96" si="109">ABS(V95)/$L95</f>
        <v>0.99891756111127172</v>
      </c>
      <c r="Q95" s="140">
        <v>46</v>
      </c>
      <c r="R95" s="139">
        <v>261291208590</v>
      </c>
      <c r="S95" s="140">
        <v>0</v>
      </c>
      <c r="T95" s="139">
        <v>0</v>
      </c>
      <c r="U95" s="140">
        <v>1892026</v>
      </c>
      <c r="V95" s="139">
        <v>241129896147020</v>
      </c>
    </row>
    <row r="96" spans="1:22" ht="15.95" customHeight="1" x14ac:dyDescent="0.3">
      <c r="A96" s="27">
        <v>17</v>
      </c>
      <c r="B96" s="167" t="s">
        <v>3335</v>
      </c>
      <c r="C96" s="28">
        <v>1000325538</v>
      </c>
      <c r="D96" s="137" t="s">
        <v>3338</v>
      </c>
      <c r="E96" s="137">
        <v>1663086</v>
      </c>
      <c r="F96" s="137" t="s">
        <v>3260</v>
      </c>
      <c r="G96" s="166" t="s">
        <v>3339</v>
      </c>
      <c r="H96" s="137" t="s">
        <v>2056</v>
      </c>
      <c r="I96" s="137" t="s">
        <v>2258</v>
      </c>
      <c r="J96" s="137" t="s">
        <v>2045</v>
      </c>
      <c r="K96" s="137" t="s">
        <v>2046</v>
      </c>
      <c r="L96" s="139">
        <f t="shared" si="105"/>
        <v>2385069964257</v>
      </c>
      <c r="M96" s="140">
        <f t="shared" si="106"/>
        <v>49205</v>
      </c>
      <c r="N96" s="141">
        <f t="shared" si="107"/>
        <v>5.9102140915146236E-3</v>
      </c>
      <c r="O96" s="141">
        <f t="shared" si="108"/>
        <v>0.41977163812252793</v>
      </c>
      <c r="P96" s="141">
        <f t="shared" si="109"/>
        <v>0.57431814778595747</v>
      </c>
      <c r="Q96" s="140">
        <v>123</v>
      </c>
      <c r="R96" s="139">
        <v>14096274112</v>
      </c>
      <c r="S96" s="140">
        <v>4051</v>
      </c>
      <c r="T96" s="139">
        <v>1001184725933</v>
      </c>
      <c r="U96" s="140">
        <v>45031</v>
      </c>
      <c r="V96" s="139">
        <v>1369788964212</v>
      </c>
    </row>
    <row r="97" spans="1:22" ht="15.95" customHeight="1" x14ac:dyDescent="0.3">
      <c r="A97" s="27">
        <v>17</v>
      </c>
      <c r="B97" s="207" t="s">
        <v>3967</v>
      </c>
      <c r="C97" s="28">
        <v>1000325538</v>
      </c>
      <c r="D97" s="137" t="s">
        <v>3338</v>
      </c>
      <c r="E97" s="137">
        <v>1663086</v>
      </c>
      <c r="F97" s="137" t="s">
        <v>3260</v>
      </c>
      <c r="G97" s="206" t="s">
        <v>3999</v>
      </c>
      <c r="H97" s="213" t="s">
        <v>3974</v>
      </c>
      <c r="I97" s="137" t="s">
        <v>2258</v>
      </c>
      <c r="J97" s="137" t="s">
        <v>2047</v>
      </c>
      <c r="K97" s="137" t="s">
        <v>2048</v>
      </c>
      <c r="L97" s="139">
        <f t="shared" ref="L97:L99" si="110">ABS(R97)+ABS(T97)+ABS(V97)</f>
        <v>371838257312386</v>
      </c>
      <c r="M97" s="140">
        <f t="shared" ref="M97:M99" si="111">Q97+S97+U97</f>
        <v>1883150</v>
      </c>
      <c r="N97" s="141">
        <f t="shared" ref="N97:N98" si="112">ABS(R97)/$L97</f>
        <v>5.6369084901317959E-5</v>
      </c>
      <c r="O97" s="141">
        <f t="shared" ref="O97:O98" si="113">ABS(T97)/$L97</f>
        <v>0</v>
      </c>
      <c r="P97" s="141">
        <f t="shared" ref="P97:P98" si="114">ABS(V97)/$L97</f>
        <v>0.99994363091509864</v>
      </c>
      <c r="Q97" s="140">
        <v>287</v>
      </c>
      <c r="R97" s="139">
        <v>20960182296</v>
      </c>
      <c r="S97" s="140">
        <v>0</v>
      </c>
      <c r="T97" s="139">
        <v>0</v>
      </c>
      <c r="U97" s="140">
        <v>1882863</v>
      </c>
      <c r="V97" s="139">
        <v>371817297130090</v>
      </c>
    </row>
    <row r="98" spans="1:22" ht="15.95" customHeight="1" x14ac:dyDescent="0.3">
      <c r="A98" s="27">
        <v>17</v>
      </c>
      <c r="B98" s="207" t="s">
        <v>3967</v>
      </c>
      <c r="C98" s="28">
        <v>1000325538</v>
      </c>
      <c r="D98" s="137" t="s">
        <v>3338</v>
      </c>
      <c r="E98" s="137">
        <v>1663086</v>
      </c>
      <c r="F98" s="137" t="s">
        <v>3260</v>
      </c>
      <c r="G98" s="206" t="s">
        <v>3999</v>
      </c>
      <c r="H98" s="213" t="s">
        <v>3974</v>
      </c>
      <c r="I98" s="137" t="s">
        <v>2258</v>
      </c>
      <c r="J98" s="137" t="s">
        <v>2045</v>
      </c>
      <c r="K98" s="137" t="s">
        <v>2046</v>
      </c>
      <c r="L98" s="139">
        <f t="shared" si="110"/>
        <v>2698827248958</v>
      </c>
      <c r="M98" s="140">
        <f t="shared" si="111"/>
        <v>53437</v>
      </c>
      <c r="N98" s="141">
        <f t="shared" si="112"/>
        <v>1.6737974035737548E-2</v>
      </c>
      <c r="O98" s="141">
        <f t="shared" si="113"/>
        <v>0.38595333384460356</v>
      </c>
      <c r="P98" s="141">
        <f t="shared" si="114"/>
        <v>0.59730869211965887</v>
      </c>
      <c r="Q98" s="140">
        <v>140</v>
      </c>
      <c r="R98" s="139">
        <v>45172900420</v>
      </c>
      <c r="S98" s="140">
        <v>4428</v>
      </c>
      <c r="T98" s="139">
        <v>1041621374206</v>
      </c>
      <c r="U98" s="140">
        <v>48869</v>
      </c>
      <c r="V98" s="139">
        <v>1612032974332</v>
      </c>
    </row>
    <row r="99" spans="1:22" ht="15.95" customHeight="1" x14ac:dyDescent="0.3">
      <c r="A99" s="27">
        <v>17</v>
      </c>
      <c r="B99" s="207" t="s">
        <v>3967</v>
      </c>
      <c r="C99" s="28">
        <v>1000325538</v>
      </c>
      <c r="D99" s="137" t="s">
        <v>3338</v>
      </c>
      <c r="E99" s="137">
        <v>1663086</v>
      </c>
      <c r="F99" s="137" t="s">
        <v>3260</v>
      </c>
      <c r="G99" s="206" t="s">
        <v>3999</v>
      </c>
      <c r="H99" s="213" t="s">
        <v>3974</v>
      </c>
      <c r="I99" s="137" t="s">
        <v>2258</v>
      </c>
      <c r="J99" s="137" t="s">
        <v>2045</v>
      </c>
      <c r="K99" s="137" t="s">
        <v>2046</v>
      </c>
      <c r="L99" s="139">
        <f t="shared" si="110"/>
        <v>2703701718189</v>
      </c>
      <c r="M99" s="140">
        <f t="shared" si="111"/>
        <v>52989</v>
      </c>
      <c r="N99" s="141">
        <f t="shared" ref="N99" si="115">ABS(R99)/$L99</f>
        <v>6.4952089688217621E-3</v>
      </c>
      <c r="O99" s="141">
        <f t="shared" ref="O99" si="116">ABS(T99)/$L99</f>
        <v>0.4135756926289138</v>
      </c>
      <c r="P99" s="141">
        <f t="shared" ref="P99" si="117">ABS(V99)/$L99</f>
        <v>0.57992909840226448</v>
      </c>
      <c r="Q99" s="140">
        <v>130</v>
      </c>
      <c r="R99" s="139">
        <v>17561107649</v>
      </c>
      <c r="S99" s="140">
        <v>4255</v>
      </c>
      <c r="T99" s="139">
        <v>1118185310762</v>
      </c>
      <c r="U99" s="140">
        <v>48604</v>
      </c>
      <c r="V99" s="139">
        <v>1567955299778</v>
      </c>
    </row>
    <row r="100" spans="1:22" ht="15.95" customHeight="1" x14ac:dyDescent="0.3">
      <c r="A100" s="27">
        <v>20</v>
      </c>
      <c r="B100" s="207" t="s">
        <v>3422</v>
      </c>
      <c r="C100" s="28">
        <v>1000314621</v>
      </c>
      <c r="D100" s="137" t="s">
        <v>4000</v>
      </c>
      <c r="E100" s="137">
        <v>1670326</v>
      </c>
      <c r="F100" s="207" t="s">
        <v>4001</v>
      </c>
      <c r="G100" s="206" t="s">
        <v>4002</v>
      </c>
      <c r="H100" s="167" t="s">
        <v>3334</v>
      </c>
      <c r="I100" s="137" t="s">
        <v>2258</v>
      </c>
      <c r="J100" s="137" t="s">
        <v>2047</v>
      </c>
      <c r="K100" s="137" t="s">
        <v>2048</v>
      </c>
      <c r="L100" s="139">
        <f t="shared" ref="L100:L102" si="118">ABS(R100)+ABS(T100)+ABS(V100)</f>
        <v>57914729356368</v>
      </c>
      <c r="M100" s="140">
        <f t="shared" ref="M100:M102" si="119">Q100+S100+U100</f>
        <v>400432</v>
      </c>
      <c r="N100" s="141">
        <f t="shared" ref="N100:N102" si="120">ABS(R100)/$L100</f>
        <v>7.0419643919851418E-3</v>
      </c>
      <c r="O100" s="141">
        <f t="shared" ref="O100:O102" si="121">ABS(T100)/$L100</f>
        <v>0</v>
      </c>
      <c r="P100" s="141">
        <f t="shared" ref="P100:P102" si="122">ABS(V100)/$L100</f>
        <v>0.99295803560801488</v>
      </c>
      <c r="Q100" s="140">
        <v>11</v>
      </c>
      <c r="R100" s="139">
        <v>407833461899</v>
      </c>
      <c r="S100" s="140">
        <v>0</v>
      </c>
      <c r="T100" s="139">
        <v>0</v>
      </c>
      <c r="U100" s="140">
        <v>400421</v>
      </c>
      <c r="V100" s="139">
        <v>57506895894469</v>
      </c>
    </row>
    <row r="101" spans="1:22" ht="15.95" customHeight="1" x14ac:dyDescent="0.3">
      <c r="A101" s="27">
        <v>20</v>
      </c>
      <c r="B101" s="207" t="s">
        <v>3422</v>
      </c>
      <c r="C101" s="28">
        <v>1000314621</v>
      </c>
      <c r="D101" s="137" t="s">
        <v>4000</v>
      </c>
      <c r="E101" s="137">
        <v>1670326</v>
      </c>
      <c r="F101" s="137" t="s">
        <v>3592</v>
      </c>
      <c r="G101" s="206" t="s">
        <v>4002</v>
      </c>
      <c r="H101" s="167" t="s">
        <v>3334</v>
      </c>
      <c r="I101" s="137" t="s">
        <v>2258</v>
      </c>
      <c r="J101" s="137" t="s">
        <v>2050</v>
      </c>
      <c r="K101" s="137" t="s">
        <v>2046</v>
      </c>
      <c r="L101" s="139">
        <f t="shared" si="118"/>
        <v>303479801719</v>
      </c>
      <c r="M101" s="140">
        <f t="shared" si="119"/>
        <v>9940</v>
      </c>
      <c r="N101" s="141">
        <f t="shared" si="120"/>
        <v>2.2587889939203261E-3</v>
      </c>
      <c r="O101" s="141">
        <f t="shared" si="121"/>
        <v>0.20073419230188608</v>
      </c>
      <c r="P101" s="141">
        <f t="shared" si="122"/>
        <v>0.79700701870419366</v>
      </c>
      <c r="Q101" s="140">
        <v>4</v>
      </c>
      <c r="R101" s="139">
        <v>685496836</v>
      </c>
      <c r="S101" s="140">
        <v>416</v>
      </c>
      <c r="T101" s="139">
        <v>60918772878</v>
      </c>
      <c r="U101" s="140">
        <v>9520</v>
      </c>
      <c r="V101" s="139">
        <v>241875532005</v>
      </c>
    </row>
    <row r="102" spans="1:22" ht="15.95" customHeight="1" x14ac:dyDescent="0.3">
      <c r="A102" s="27">
        <v>20</v>
      </c>
      <c r="B102" s="207" t="s">
        <v>3422</v>
      </c>
      <c r="C102" s="28">
        <v>1000314621</v>
      </c>
      <c r="D102" s="137" t="s">
        <v>4000</v>
      </c>
      <c r="E102" s="137">
        <v>1670326</v>
      </c>
      <c r="F102" s="137" t="s">
        <v>3592</v>
      </c>
      <c r="G102" s="206" t="s">
        <v>4002</v>
      </c>
      <c r="H102" s="167" t="s">
        <v>3334</v>
      </c>
      <c r="I102" s="137" t="s">
        <v>2258</v>
      </c>
      <c r="J102" s="137" t="s">
        <v>2045</v>
      </c>
      <c r="K102" s="137" t="s">
        <v>2046</v>
      </c>
      <c r="L102" s="139">
        <f t="shared" si="118"/>
        <v>2569410629360</v>
      </c>
      <c r="M102" s="140">
        <f t="shared" si="119"/>
        <v>147782</v>
      </c>
      <c r="N102" s="141">
        <f t="shared" si="120"/>
        <v>9.6409300642498683E-3</v>
      </c>
      <c r="O102" s="141">
        <f t="shared" si="121"/>
        <v>0.15165275133856582</v>
      </c>
      <c r="P102" s="141">
        <f t="shared" si="122"/>
        <v>0.83870631859718425</v>
      </c>
      <c r="Q102" s="140">
        <v>22</v>
      </c>
      <c r="R102" s="139">
        <v>24771508184</v>
      </c>
      <c r="S102" s="140">
        <v>897</v>
      </c>
      <c r="T102" s="139">
        <v>389658191261</v>
      </c>
      <c r="U102" s="140">
        <v>146863</v>
      </c>
      <c r="V102" s="139">
        <v>2154980929915</v>
      </c>
    </row>
    <row r="103" spans="1:22" ht="15.95" customHeight="1" x14ac:dyDescent="0.3">
      <c r="A103" s="27">
        <v>20</v>
      </c>
      <c r="B103" s="207" t="s">
        <v>3983</v>
      </c>
      <c r="C103" s="28">
        <v>1000314621</v>
      </c>
      <c r="D103" s="137" t="s">
        <v>4000</v>
      </c>
      <c r="E103" s="137">
        <v>1670326</v>
      </c>
      <c r="F103" s="207" t="s">
        <v>4001</v>
      </c>
      <c r="G103" s="206" t="s">
        <v>4003</v>
      </c>
      <c r="H103" s="207" t="s">
        <v>3970</v>
      </c>
      <c r="I103" s="137" t="s">
        <v>2258</v>
      </c>
      <c r="J103" s="137" t="s">
        <v>2047</v>
      </c>
      <c r="K103" s="137" t="s">
        <v>2048</v>
      </c>
      <c r="L103" s="139">
        <f t="shared" ref="L103:L105" si="123">ABS(R103)+ABS(T103)+ABS(V103)</f>
        <v>36228959937902</v>
      </c>
      <c r="M103" s="140">
        <f t="shared" ref="M103:M105" si="124">Q103+S103+U103</f>
        <v>159213</v>
      </c>
      <c r="N103" s="141">
        <f t="shared" ref="N103:N105" si="125">ABS(R103)/$L103</f>
        <v>1.5325997940093058E-2</v>
      </c>
      <c r="O103" s="141">
        <f t="shared" ref="O103:O105" si="126">ABS(T103)/$L103</f>
        <v>0</v>
      </c>
      <c r="P103" s="141">
        <f t="shared" ref="P103:P105" si="127">ABS(V103)/$L103</f>
        <v>0.98467400205990696</v>
      </c>
      <c r="Q103" s="140">
        <v>34</v>
      </c>
      <c r="R103" s="139">
        <v>555244965380</v>
      </c>
      <c r="S103" s="140">
        <v>0</v>
      </c>
      <c r="T103" s="139">
        <v>0</v>
      </c>
      <c r="U103" s="140">
        <v>159179</v>
      </c>
      <c r="V103" s="139">
        <v>35673714972522</v>
      </c>
    </row>
    <row r="104" spans="1:22" ht="15.95" customHeight="1" x14ac:dyDescent="0.3">
      <c r="A104" s="27">
        <v>20</v>
      </c>
      <c r="B104" s="207" t="s">
        <v>3983</v>
      </c>
      <c r="C104" s="28">
        <v>1000314621</v>
      </c>
      <c r="D104" s="137" t="s">
        <v>4000</v>
      </c>
      <c r="E104" s="137">
        <v>1670326</v>
      </c>
      <c r="F104" s="137" t="s">
        <v>3592</v>
      </c>
      <c r="G104" s="206" t="s">
        <v>4003</v>
      </c>
      <c r="H104" s="207" t="s">
        <v>3970</v>
      </c>
      <c r="I104" s="137" t="s">
        <v>2258</v>
      </c>
      <c r="J104" s="137" t="s">
        <v>2050</v>
      </c>
      <c r="K104" s="137" t="s">
        <v>2046</v>
      </c>
      <c r="L104" s="139">
        <f t="shared" si="123"/>
        <v>131632309823</v>
      </c>
      <c r="M104" s="140">
        <f t="shared" si="124"/>
        <v>3938</v>
      </c>
      <c r="N104" s="141">
        <f t="shared" si="125"/>
        <v>1.5505851129897635E-5</v>
      </c>
      <c r="O104" s="141">
        <f t="shared" si="126"/>
        <v>9.7974042568586731E-2</v>
      </c>
      <c r="P104" s="141">
        <f t="shared" si="127"/>
        <v>0.90201045158028337</v>
      </c>
      <c r="Q104" s="140">
        <v>3</v>
      </c>
      <c r="R104" s="139">
        <v>2041071</v>
      </c>
      <c r="S104" s="140">
        <v>192</v>
      </c>
      <c r="T104" s="139">
        <v>12896549526</v>
      </c>
      <c r="U104" s="140">
        <v>3743</v>
      </c>
      <c r="V104" s="139">
        <v>118733719226</v>
      </c>
    </row>
    <row r="105" spans="1:22" ht="15.95" customHeight="1" x14ac:dyDescent="0.3">
      <c r="A105" s="27">
        <v>20</v>
      </c>
      <c r="B105" s="207" t="s">
        <v>3983</v>
      </c>
      <c r="C105" s="28">
        <v>1000314621</v>
      </c>
      <c r="D105" s="137" t="s">
        <v>4000</v>
      </c>
      <c r="E105" s="137">
        <v>1670326</v>
      </c>
      <c r="F105" s="137" t="s">
        <v>3592</v>
      </c>
      <c r="G105" s="206" t="s">
        <v>4003</v>
      </c>
      <c r="H105" s="207" t="s">
        <v>3970</v>
      </c>
      <c r="I105" s="137" t="s">
        <v>2258</v>
      </c>
      <c r="J105" s="137" t="s">
        <v>2045</v>
      </c>
      <c r="K105" s="137" t="s">
        <v>2046</v>
      </c>
      <c r="L105" s="139">
        <f t="shared" si="123"/>
        <v>1141983100448</v>
      </c>
      <c r="M105" s="140">
        <f t="shared" si="124"/>
        <v>62202</v>
      </c>
      <c r="N105" s="141">
        <f t="shared" si="125"/>
        <v>8.9226548851753149E-4</v>
      </c>
      <c r="O105" s="141">
        <f t="shared" si="126"/>
        <v>0.1696939668984393</v>
      </c>
      <c r="P105" s="141">
        <f t="shared" si="127"/>
        <v>0.8294137676130432</v>
      </c>
      <c r="Q105" s="140">
        <v>23</v>
      </c>
      <c r="R105" s="139">
        <v>1018952109</v>
      </c>
      <c r="S105" s="140">
        <v>556</v>
      </c>
      <c r="T105" s="139">
        <v>193787642446</v>
      </c>
      <c r="U105" s="140">
        <v>61623</v>
      </c>
      <c r="V105" s="139">
        <v>947176505893</v>
      </c>
    </row>
    <row r="106" spans="1:22" ht="15.95" customHeight="1" x14ac:dyDescent="0.3">
      <c r="A106" s="27">
        <v>23</v>
      </c>
      <c r="B106" s="207" t="s">
        <v>3333</v>
      </c>
      <c r="C106" s="28">
        <v>1000326094</v>
      </c>
      <c r="D106" s="137" t="s">
        <v>2451</v>
      </c>
      <c r="E106" s="137">
        <v>1660660</v>
      </c>
      <c r="F106" s="137" t="s">
        <v>3261</v>
      </c>
      <c r="G106" s="206" t="s">
        <v>4004</v>
      </c>
      <c r="H106" s="207" t="s">
        <v>3334</v>
      </c>
      <c r="I106" s="137" t="s">
        <v>2258</v>
      </c>
      <c r="J106" s="137" t="s">
        <v>2047</v>
      </c>
      <c r="K106" s="137" t="s">
        <v>2048</v>
      </c>
      <c r="L106" s="139">
        <f t="shared" ref="L106:L107" si="128">ABS(R106)+ABS(T106)+ABS(V106)</f>
        <v>240966095970</v>
      </c>
      <c r="M106" s="140">
        <f t="shared" ref="M106:M107" si="129">Q106+S106+U106</f>
        <v>5158962</v>
      </c>
      <c r="N106" s="141">
        <f t="shared" ref="N106:N107" si="130">ABS(R106)/$L106</f>
        <v>4.1983903292600617E-3</v>
      </c>
      <c r="O106" s="141">
        <f t="shared" ref="O106:O107" si="131">ABS(T106)/$L106</f>
        <v>0</v>
      </c>
      <c r="P106" s="141">
        <f t="shared" ref="P106:P107" si="132">ABS(V106)/$L106</f>
        <v>0.99580160967073994</v>
      </c>
      <c r="Q106" s="140">
        <v>33</v>
      </c>
      <c r="R106" s="139">
        <v>1011669727</v>
      </c>
      <c r="S106" s="140">
        <v>0</v>
      </c>
      <c r="T106" s="139">
        <v>0</v>
      </c>
      <c r="U106" s="140">
        <v>5158929</v>
      </c>
      <c r="V106" s="139">
        <v>239954426243</v>
      </c>
    </row>
    <row r="107" spans="1:22" ht="15.95" customHeight="1" x14ac:dyDescent="0.3">
      <c r="A107" s="27">
        <v>23</v>
      </c>
      <c r="B107" s="207" t="s">
        <v>3333</v>
      </c>
      <c r="C107" s="28">
        <v>1000326094</v>
      </c>
      <c r="D107" s="137" t="s">
        <v>2451</v>
      </c>
      <c r="E107" s="137">
        <v>1660660</v>
      </c>
      <c r="F107" s="137" t="s">
        <v>3261</v>
      </c>
      <c r="G107" s="206" t="s">
        <v>4004</v>
      </c>
      <c r="H107" s="207" t="s">
        <v>3334</v>
      </c>
      <c r="I107" s="137" t="s">
        <v>2258</v>
      </c>
      <c r="J107" s="137" t="s">
        <v>2045</v>
      </c>
      <c r="K107" s="137" t="s">
        <v>2046</v>
      </c>
      <c r="L107" s="139">
        <f t="shared" si="128"/>
        <v>6397302023</v>
      </c>
      <c r="M107" s="140">
        <f t="shared" si="129"/>
        <v>225999</v>
      </c>
      <c r="N107" s="141">
        <f t="shared" si="130"/>
        <v>4.9443880383135068E-2</v>
      </c>
      <c r="O107" s="141">
        <f t="shared" si="131"/>
        <v>0.17448290998094088</v>
      </c>
      <c r="P107" s="141">
        <f t="shared" si="132"/>
        <v>0.77607320963592408</v>
      </c>
      <c r="Q107" s="140">
        <v>859</v>
      </c>
      <c r="R107" s="139">
        <v>316307436</v>
      </c>
      <c r="S107" s="140">
        <v>5348</v>
      </c>
      <c r="T107" s="139">
        <v>1116219873</v>
      </c>
      <c r="U107" s="140">
        <v>219792</v>
      </c>
      <c r="V107" s="139">
        <v>4964774714</v>
      </c>
    </row>
    <row r="108" spans="1:22" ht="15.95" customHeight="1" x14ac:dyDescent="0.3">
      <c r="A108" s="27">
        <v>24</v>
      </c>
      <c r="B108" s="207" t="s">
        <v>2054</v>
      </c>
      <c r="C108" s="28">
        <v>1000314559</v>
      </c>
      <c r="D108" s="137" t="s">
        <v>4005</v>
      </c>
      <c r="E108" s="137">
        <v>1682164</v>
      </c>
      <c r="F108" s="137" t="s">
        <v>3593</v>
      </c>
      <c r="G108" s="207" t="s">
        <v>4006</v>
      </c>
      <c r="H108" s="207" t="s">
        <v>2056</v>
      </c>
      <c r="I108" s="137" t="s">
        <v>2258</v>
      </c>
      <c r="J108" s="137" t="s">
        <v>2047</v>
      </c>
      <c r="K108" s="137" t="s">
        <v>2048</v>
      </c>
      <c r="L108" s="139">
        <f t="shared" ref="L108:L109" si="133">ABS(R108)+ABS(T108)+ABS(V108)</f>
        <v>435867992967122</v>
      </c>
      <c r="M108" s="140">
        <f t="shared" ref="M108:M109" si="134">Q108+S108+U108</f>
        <v>1793738</v>
      </c>
      <c r="N108" s="141">
        <f t="shared" ref="N108:N109" si="135">ABS(R108)/$L108</f>
        <v>1.3612255681727803E-3</v>
      </c>
      <c r="O108" s="141">
        <f t="shared" ref="O108:O109" si="136">ABS(T108)/$L108</f>
        <v>0</v>
      </c>
      <c r="P108" s="141">
        <f t="shared" ref="P108:P109" si="137">ABS(V108)/$L108</f>
        <v>0.99863877443182725</v>
      </c>
      <c r="Q108" s="140">
        <v>32</v>
      </c>
      <c r="R108" s="139">
        <v>593314656375</v>
      </c>
      <c r="S108" s="140">
        <v>0</v>
      </c>
      <c r="T108" s="139">
        <v>0</v>
      </c>
      <c r="U108" s="140">
        <v>1793706</v>
      </c>
      <c r="V108" s="139">
        <v>435274678310747</v>
      </c>
    </row>
    <row r="109" spans="1:22" ht="15.95" customHeight="1" x14ac:dyDescent="0.3">
      <c r="A109" s="27">
        <v>24</v>
      </c>
      <c r="B109" s="207" t="s">
        <v>2054</v>
      </c>
      <c r="C109" s="28">
        <v>1000314559</v>
      </c>
      <c r="D109" s="137" t="s">
        <v>4005</v>
      </c>
      <c r="E109" s="137">
        <v>1682164</v>
      </c>
      <c r="F109" s="137" t="s">
        <v>3593</v>
      </c>
      <c r="G109" s="207" t="s">
        <v>4006</v>
      </c>
      <c r="H109" s="207" t="s">
        <v>2056</v>
      </c>
      <c r="I109" s="137" t="s">
        <v>2258</v>
      </c>
      <c r="J109" s="137" t="s">
        <v>2045</v>
      </c>
      <c r="K109" s="137" t="s">
        <v>2048</v>
      </c>
      <c r="L109" s="139">
        <f t="shared" si="133"/>
        <v>7652022550084</v>
      </c>
      <c r="M109" s="140">
        <f t="shared" si="134"/>
        <v>61138</v>
      </c>
      <c r="N109" s="141">
        <f t="shared" si="135"/>
        <v>2.1389530043688029E-3</v>
      </c>
      <c r="O109" s="141">
        <f t="shared" si="136"/>
        <v>7.966569368817504E-2</v>
      </c>
      <c r="P109" s="141">
        <f t="shared" si="137"/>
        <v>0.91819535330745616</v>
      </c>
      <c r="Q109" s="140">
        <v>105</v>
      </c>
      <c r="R109" s="139">
        <v>-16367316623</v>
      </c>
      <c r="S109" s="140">
        <v>356</v>
      </c>
      <c r="T109" s="139">
        <v>609603684570</v>
      </c>
      <c r="U109" s="140">
        <v>60677</v>
      </c>
      <c r="V109" s="139">
        <v>7026051548891</v>
      </c>
    </row>
    <row r="110" spans="1:22" ht="15.95" customHeight="1" x14ac:dyDescent="0.3">
      <c r="A110" s="27">
        <v>25</v>
      </c>
      <c r="B110" s="207" t="s">
        <v>3983</v>
      </c>
      <c r="C110" s="28">
        <v>1000326018</v>
      </c>
      <c r="D110" s="137" t="s">
        <v>3340</v>
      </c>
      <c r="E110" s="137">
        <v>1659929</v>
      </c>
      <c r="F110" s="137" t="s">
        <v>3262</v>
      </c>
      <c r="G110" s="206" t="s">
        <v>4007</v>
      </c>
      <c r="H110" s="207" t="s">
        <v>3969</v>
      </c>
      <c r="I110" s="137" t="s">
        <v>2258</v>
      </c>
      <c r="J110" s="137" t="s">
        <v>2047</v>
      </c>
      <c r="K110" s="137" t="s">
        <v>2048</v>
      </c>
      <c r="L110" s="139">
        <f t="shared" ref="L110:L111" si="138">ABS(R110)+ABS(T110)+ABS(V110)</f>
        <v>531447736004954</v>
      </c>
      <c r="M110" s="140">
        <f t="shared" ref="M110:M111" si="139">Q110+S110+U110</f>
        <v>15703604</v>
      </c>
      <c r="N110" s="141">
        <f t="shared" ref="N110:N111" si="140">ABS(R110)/$L110</f>
        <v>4.2399238930410939E-4</v>
      </c>
      <c r="O110" s="141">
        <f t="shared" ref="O110:O111" si="141">ABS(T110)/$L110</f>
        <v>0</v>
      </c>
      <c r="P110" s="141">
        <f t="shared" ref="P110:P111" si="142">ABS(V110)/$L110</f>
        <v>0.99957600761069587</v>
      </c>
      <c r="Q110" s="140">
        <v>116</v>
      </c>
      <c r="R110" s="139">
        <v>225329795379</v>
      </c>
      <c r="S110" s="140">
        <v>0</v>
      </c>
      <c r="T110" s="139">
        <v>0</v>
      </c>
      <c r="U110" s="140">
        <v>15703488</v>
      </c>
      <c r="V110" s="139">
        <v>531222406209575</v>
      </c>
    </row>
    <row r="111" spans="1:22" ht="15.95" customHeight="1" x14ac:dyDescent="0.3">
      <c r="A111" s="27">
        <v>25</v>
      </c>
      <c r="B111" s="207" t="s">
        <v>3983</v>
      </c>
      <c r="C111" s="28">
        <v>1000326018</v>
      </c>
      <c r="D111" s="137" t="s">
        <v>3340</v>
      </c>
      <c r="E111" s="137">
        <v>1659929</v>
      </c>
      <c r="F111" s="137" t="s">
        <v>3262</v>
      </c>
      <c r="G111" s="206" t="s">
        <v>4007</v>
      </c>
      <c r="H111" s="207" t="s">
        <v>3969</v>
      </c>
      <c r="I111" s="137" t="s">
        <v>2258</v>
      </c>
      <c r="J111" s="137" t="s">
        <v>2045</v>
      </c>
      <c r="K111" s="137" t="s">
        <v>2046</v>
      </c>
      <c r="L111" s="139">
        <f t="shared" si="138"/>
        <v>5717626662595</v>
      </c>
      <c r="M111" s="140">
        <f t="shared" si="139"/>
        <v>758468</v>
      </c>
      <c r="N111" s="141">
        <f t="shared" si="140"/>
        <v>6.9369682459817283E-2</v>
      </c>
      <c r="O111" s="141">
        <f t="shared" si="141"/>
        <v>0.40790064027169237</v>
      </c>
      <c r="P111" s="141">
        <f t="shared" si="142"/>
        <v>0.5227296772684904</v>
      </c>
      <c r="Q111" s="140">
        <v>313</v>
      </c>
      <c r="R111" s="139">
        <v>396629946008</v>
      </c>
      <c r="S111" s="140">
        <v>1678</v>
      </c>
      <c r="T111" s="139">
        <v>2332223576507</v>
      </c>
      <c r="U111" s="140">
        <v>756477</v>
      </c>
      <c r="V111" s="139">
        <v>2988773140080</v>
      </c>
    </row>
    <row r="112" spans="1:22" ht="15.95" customHeight="1" x14ac:dyDescent="0.3">
      <c r="A112" s="27">
        <v>26</v>
      </c>
      <c r="B112" s="207" t="s">
        <v>3983</v>
      </c>
      <c r="C112" s="28">
        <v>1000315539</v>
      </c>
      <c r="D112" s="137" t="s">
        <v>1588</v>
      </c>
      <c r="E112" s="137">
        <v>1684186</v>
      </c>
      <c r="F112" s="137" t="s">
        <v>825</v>
      </c>
      <c r="G112" s="207" t="s">
        <v>4008</v>
      </c>
      <c r="H112" s="207" t="s">
        <v>3969</v>
      </c>
      <c r="I112" s="137" t="s">
        <v>2258</v>
      </c>
      <c r="J112" s="137" t="s">
        <v>2047</v>
      </c>
      <c r="K112" s="137" t="s">
        <v>2048</v>
      </c>
      <c r="L112" s="139">
        <f t="shared" ref="L112:L113" si="143">ABS(R112)+ABS(T112)+ABS(V112)</f>
        <v>1.5073345879692014E+16</v>
      </c>
      <c r="M112" s="140">
        <f t="shared" ref="M112:M113" si="144">Q112+S112+U112</f>
        <v>25491285</v>
      </c>
      <c r="N112" s="141">
        <f t="shared" ref="N112:N113" si="145">ABS(R112)/$L112</f>
        <v>1.1322046238922173E-3</v>
      </c>
      <c r="O112" s="141">
        <f t="shared" ref="O112:O113" si="146">ABS(T112)/$L112</f>
        <v>0</v>
      </c>
      <c r="P112" s="141">
        <f t="shared" ref="P112:P113" si="147">ABS(V112)/$L112</f>
        <v>0.99886779537610781</v>
      </c>
      <c r="Q112" s="140">
        <v>12</v>
      </c>
      <c r="R112" s="139">
        <v>17066111902514</v>
      </c>
      <c r="S112" s="140">
        <v>0</v>
      </c>
      <c r="T112" s="139">
        <v>0</v>
      </c>
      <c r="U112" s="140">
        <v>25491273</v>
      </c>
      <c r="V112" s="139">
        <v>1.50562797677895E+16</v>
      </c>
    </row>
    <row r="113" spans="1:22" ht="15.95" customHeight="1" x14ac:dyDescent="0.3">
      <c r="A113" s="27">
        <v>26</v>
      </c>
      <c r="B113" s="207" t="s">
        <v>3983</v>
      </c>
      <c r="C113" s="28">
        <v>1000315539</v>
      </c>
      <c r="D113" s="137" t="s">
        <v>1588</v>
      </c>
      <c r="E113" s="137">
        <v>1684186</v>
      </c>
      <c r="F113" s="137" t="s">
        <v>825</v>
      </c>
      <c r="G113" s="207" t="s">
        <v>4008</v>
      </c>
      <c r="H113" s="207" t="s">
        <v>3969</v>
      </c>
      <c r="I113" s="137" t="s">
        <v>2258</v>
      </c>
      <c r="J113" s="137" t="s">
        <v>2050</v>
      </c>
      <c r="K113" s="137" t="s">
        <v>2046</v>
      </c>
      <c r="L113" s="139">
        <f t="shared" si="143"/>
        <v>7314904474772</v>
      </c>
      <c r="M113" s="140">
        <f t="shared" si="144"/>
        <v>921660</v>
      </c>
      <c r="N113" s="141">
        <f t="shared" si="145"/>
        <v>1.5870391477479744E-2</v>
      </c>
      <c r="O113" s="141">
        <f t="shared" si="146"/>
        <v>0.20919066497101391</v>
      </c>
      <c r="P113" s="141">
        <f t="shared" si="147"/>
        <v>0.77493894355150639</v>
      </c>
      <c r="Q113" s="140">
        <v>59</v>
      </c>
      <c r="R113" s="139">
        <v>116090397635</v>
      </c>
      <c r="S113" s="140">
        <v>2161</v>
      </c>
      <c r="T113" s="139">
        <v>1530209731277</v>
      </c>
      <c r="U113" s="140">
        <v>919440</v>
      </c>
      <c r="V113" s="139">
        <v>5668604345860</v>
      </c>
    </row>
    <row r="114" spans="1:22" ht="15.95" customHeight="1" x14ac:dyDescent="0.3">
      <c r="A114" s="27">
        <v>26</v>
      </c>
      <c r="B114" s="207" t="s">
        <v>3983</v>
      </c>
      <c r="C114" s="28">
        <v>1000315539</v>
      </c>
      <c r="D114" s="137" t="s">
        <v>1588</v>
      </c>
      <c r="E114" s="137">
        <v>1684186</v>
      </c>
      <c r="F114" s="137" t="s">
        <v>825</v>
      </c>
      <c r="G114" s="207" t="s">
        <v>4008</v>
      </c>
      <c r="H114" s="207" t="s">
        <v>3969</v>
      </c>
      <c r="I114" s="137" t="s">
        <v>2258</v>
      </c>
      <c r="J114" s="137" t="s">
        <v>2045</v>
      </c>
      <c r="K114" s="137" t="s">
        <v>2046</v>
      </c>
      <c r="L114" s="139">
        <f t="shared" ref="L114" si="148">ABS(R114)+ABS(T114)+ABS(V114)</f>
        <v>59983516787529</v>
      </c>
      <c r="M114" s="140">
        <f t="shared" ref="M114" si="149">Q114+S114+U114</f>
        <v>1836914</v>
      </c>
      <c r="N114" s="141">
        <f t="shared" ref="N114" si="150">ABS(R114)/$L114</f>
        <v>1.8777092763160048E-3</v>
      </c>
      <c r="O114" s="141">
        <f t="shared" ref="O114" si="151">ABS(T114)/$L114</f>
        <v>5.0877722734964687E-2</v>
      </c>
      <c r="P114" s="141">
        <f t="shared" ref="P114" si="152">ABS(V114)/$L114</f>
        <v>0.94724456798871937</v>
      </c>
      <c r="Q114" s="140">
        <v>48</v>
      </c>
      <c r="R114" s="139">
        <v>112631605898</v>
      </c>
      <c r="S114" s="140">
        <v>2172</v>
      </c>
      <c r="T114" s="139">
        <v>3051824735784</v>
      </c>
      <c r="U114" s="140">
        <v>1834694</v>
      </c>
      <c r="V114" s="139">
        <v>56819060445847</v>
      </c>
    </row>
    <row r="115" spans="1:22" ht="15.95" customHeight="1" x14ac:dyDescent="0.3">
      <c r="A115" s="27">
        <v>27</v>
      </c>
      <c r="B115" s="167" t="s">
        <v>3335</v>
      </c>
      <c r="C115" s="28">
        <v>1000998259</v>
      </c>
      <c r="D115" s="137" t="s">
        <v>3341</v>
      </c>
      <c r="E115" s="137">
        <v>1657107</v>
      </c>
      <c r="F115" s="137" t="s">
        <v>3264</v>
      </c>
      <c r="G115" s="166" t="s">
        <v>3342</v>
      </c>
      <c r="H115" s="137" t="s">
        <v>2056</v>
      </c>
      <c r="I115" s="137" t="s">
        <v>2258</v>
      </c>
      <c r="J115" s="137" t="s">
        <v>2047</v>
      </c>
      <c r="K115" s="137" t="s">
        <v>2048</v>
      </c>
      <c r="L115" s="139">
        <f t="shared" ref="L115:L116" si="153">ABS(R115)+ABS(T115)+ABS(V115)</f>
        <v>249846184061304</v>
      </c>
      <c r="M115" s="140">
        <f t="shared" ref="M115:M116" si="154">Q115+S115+U115</f>
        <v>660464</v>
      </c>
      <c r="N115" s="141">
        <f t="shared" ref="N115:N116" si="155">ABS(R115)/$L115</f>
        <v>9.5544110963258753E-4</v>
      </c>
      <c r="O115" s="141">
        <f t="shared" ref="O115:O116" si="156">ABS(T115)/$L115</f>
        <v>0</v>
      </c>
      <c r="P115" s="141">
        <f t="shared" ref="P115:P116" si="157">ABS(V115)/$L115</f>
        <v>0.99904455889036736</v>
      </c>
      <c r="Q115" s="140">
        <v>5</v>
      </c>
      <c r="R115" s="139">
        <v>238713315337</v>
      </c>
      <c r="S115" s="140">
        <v>0</v>
      </c>
      <c r="T115" s="139">
        <v>0</v>
      </c>
      <c r="U115" s="140">
        <v>660459</v>
      </c>
      <c r="V115" s="139">
        <v>249607470745967</v>
      </c>
    </row>
    <row r="116" spans="1:22" ht="15.95" customHeight="1" x14ac:dyDescent="0.3">
      <c r="A116" s="27">
        <v>27</v>
      </c>
      <c r="B116" s="167" t="s">
        <v>3335</v>
      </c>
      <c r="C116" s="28">
        <v>1000998259</v>
      </c>
      <c r="D116" s="137" t="s">
        <v>3341</v>
      </c>
      <c r="E116" s="137">
        <v>1657107</v>
      </c>
      <c r="F116" s="137" t="s">
        <v>3264</v>
      </c>
      <c r="G116" s="166" t="s">
        <v>3342</v>
      </c>
      <c r="H116" s="207" t="s">
        <v>3969</v>
      </c>
      <c r="I116" s="137" t="s">
        <v>2258</v>
      </c>
      <c r="J116" s="137" t="s">
        <v>2050</v>
      </c>
      <c r="K116" s="137" t="s">
        <v>2048</v>
      </c>
      <c r="L116" s="139">
        <f t="shared" si="153"/>
        <v>805649152715</v>
      </c>
      <c r="M116" s="140">
        <f t="shared" si="154"/>
        <v>18494</v>
      </c>
      <c r="N116" s="141">
        <f t="shared" si="155"/>
        <v>0</v>
      </c>
      <c r="O116" s="141">
        <f t="shared" si="156"/>
        <v>0.18501139654487819</v>
      </c>
      <c r="P116" s="141">
        <f t="shared" si="157"/>
        <v>0.81498860345512181</v>
      </c>
      <c r="Q116" s="140">
        <v>0</v>
      </c>
      <c r="R116" s="139">
        <v>0</v>
      </c>
      <c r="S116" s="140">
        <v>147</v>
      </c>
      <c r="T116" s="139">
        <v>149054274869</v>
      </c>
      <c r="U116" s="140">
        <v>18347</v>
      </c>
      <c r="V116" s="139">
        <v>656594877846</v>
      </c>
    </row>
    <row r="117" spans="1:22" ht="15.95" customHeight="1" x14ac:dyDescent="0.3">
      <c r="A117" s="27">
        <v>27</v>
      </c>
      <c r="B117" s="207" t="s">
        <v>3967</v>
      </c>
      <c r="C117" s="28">
        <v>1000998259</v>
      </c>
      <c r="D117" s="137" t="s">
        <v>3341</v>
      </c>
      <c r="E117" s="137">
        <v>1657107</v>
      </c>
      <c r="F117" s="137" t="s">
        <v>3264</v>
      </c>
      <c r="G117" s="206" t="s">
        <v>4009</v>
      </c>
      <c r="H117" s="207" t="s">
        <v>3969</v>
      </c>
      <c r="I117" s="137" t="s">
        <v>2258</v>
      </c>
      <c r="J117" s="137" t="s">
        <v>2047</v>
      </c>
      <c r="K117" s="137" t="s">
        <v>2048</v>
      </c>
      <c r="L117" s="139">
        <f t="shared" ref="L117:L118" si="158">ABS(R117)+ABS(T117)+ABS(V117)</f>
        <v>525587596347758</v>
      </c>
      <c r="M117" s="140">
        <f t="shared" ref="M117:M118" si="159">Q117+S117+U117</f>
        <v>1469259</v>
      </c>
      <c r="N117" s="141">
        <f t="shared" ref="N117:N118" si="160">ABS(R117)/$L117</f>
        <v>4.1163175884358533E-4</v>
      </c>
      <c r="O117" s="141">
        <f t="shared" ref="O117:O118" si="161">ABS(T117)/$L117</f>
        <v>0</v>
      </c>
      <c r="P117" s="141">
        <f t="shared" ref="P117:P118" si="162">ABS(V117)/$L117</f>
        <v>0.99958836824115638</v>
      </c>
      <c r="Q117" s="140">
        <v>25</v>
      </c>
      <c r="R117" s="139">
        <v>216348546711</v>
      </c>
      <c r="S117" s="140">
        <v>0</v>
      </c>
      <c r="T117" s="139">
        <v>0</v>
      </c>
      <c r="U117" s="140">
        <v>1469234</v>
      </c>
      <c r="V117" s="139">
        <v>525371247801047</v>
      </c>
    </row>
    <row r="118" spans="1:22" ht="15.95" customHeight="1" x14ac:dyDescent="0.3">
      <c r="A118" s="27">
        <v>27</v>
      </c>
      <c r="B118" s="207" t="s">
        <v>3967</v>
      </c>
      <c r="C118" s="28">
        <v>1000998259</v>
      </c>
      <c r="D118" s="137" t="s">
        <v>3341</v>
      </c>
      <c r="E118" s="137">
        <v>1657107</v>
      </c>
      <c r="F118" s="137" t="s">
        <v>3264</v>
      </c>
      <c r="G118" s="206" t="s">
        <v>4009</v>
      </c>
      <c r="H118" s="137" t="s">
        <v>2056</v>
      </c>
      <c r="I118" s="137" t="s">
        <v>2258</v>
      </c>
      <c r="J118" s="137" t="s">
        <v>2050</v>
      </c>
      <c r="K118" s="137" t="s">
        <v>2046</v>
      </c>
      <c r="L118" s="139">
        <f t="shared" si="158"/>
        <v>1777642182496</v>
      </c>
      <c r="M118" s="140">
        <f t="shared" si="159"/>
        <v>44018</v>
      </c>
      <c r="N118" s="141">
        <f t="shared" si="160"/>
        <v>4.1018955714482814E-3</v>
      </c>
      <c r="O118" s="141">
        <f t="shared" si="161"/>
        <v>0.12449125940197359</v>
      </c>
      <c r="P118" s="141">
        <f t="shared" si="162"/>
        <v>0.87140684502657817</v>
      </c>
      <c r="Q118" s="140">
        <v>6</v>
      </c>
      <c r="R118" s="139">
        <v>7291702596</v>
      </c>
      <c r="S118" s="140">
        <v>298</v>
      </c>
      <c r="T118" s="139">
        <v>221300914065</v>
      </c>
      <c r="U118" s="140">
        <v>43714</v>
      </c>
      <c r="V118" s="139">
        <v>1549049565835</v>
      </c>
    </row>
    <row r="119" spans="1:22" ht="15.95" customHeight="1" x14ac:dyDescent="0.3">
      <c r="A119" s="27">
        <v>28</v>
      </c>
      <c r="B119" s="167" t="s">
        <v>3335</v>
      </c>
      <c r="C119" s="28">
        <v>1000315188</v>
      </c>
      <c r="D119" s="137" t="s">
        <v>144</v>
      </c>
      <c r="E119" s="137">
        <v>1660170</v>
      </c>
      <c r="F119" s="167" t="s">
        <v>3343</v>
      </c>
      <c r="G119" s="166" t="s">
        <v>3344</v>
      </c>
      <c r="H119" s="137" t="s">
        <v>2056</v>
      </c>
      <c r="I119" s="137" t="s">
        <v>2258</v>
      </c>
      <c r="J119" s="167" t="s">
        <v>2111</v>
      </c>
      <c r="K119" s="137" t="s">
        <v>2048</v>
      </c>
      <c r="L119" s="139">
        <f t="shared" ref="L119:L121" si="163">ABS(R119)+ABS(T119)+ABS(V119)</f>
        <v>10432262885720</v>
      </c>
      <c r="M119" s="140">
        <f t="shared" ref="M119:M121" si="164">Q119+S119+U119</f>
        <v>26503</v>
      </c>
      <c r="N119" s="141">
        <f t="shared" ref="N119:N121" si="165">ABS(R119)/$L119</f>
        <v>2.8383143738192344E-4</v>
      </c>
      <c r="O119" s="141">
        <f t="shared" ref="O119:O121" si="166">ABS(T119)/$L119</f>
        <v>0.3883564691220282</v>
      </c>
      <c r="P119" s="141">
        <f t="shared" ref="P119:P121" si="167">ABS(V119)/$L119</f>
        <v>0.61135969944058988</v>
      </c>
      <c r="Q119" s="140">
        <v>2</v>
      </c>
      <c r="R119" s="139">
        <v>2961004170</v>
      </c>
      <c r="S119" s="140">
        <v>1417</v>
      </c>
      <c r="T119" s="139">
        <v>4051436779251</v>
      </c>
      <c r="U119" s="140">
        <v>25084</v>
      </c>
      <c r="V119" s="139">
        <v>6377865102299</v>
      </c>
    </row>
    <row r="120" spans="1:22" ht="15.95" customHeight="1" x14ac:dyDescent="0.3">
      <c r="A120" s="27">
        <v>28</v>
      </c>
      <c r="B120" s="167" t="s">
        <v>3335</v>
      </c>
      <c r="C120" s="28">
        <v>1000315188</v>
      </c>
      <c r="D120" s="137" t="s">
        <v>144</v>
      </c>
      <c r="E120" s="137">
        <v>1660170</v>
      </c>
      <c r="F120" s="167" t="s">
        <v>3343</v>
      </c>
      <c r="G120" s="166" t="s">
        <v>3344</v>
      </c>
      <c r="H120" s="137" t="s">
        <v>2056</v>
      </c>
      <c r="I120" s="137" t="s">
        <v>2258</v>
      </c>
      <c r="J120" s="137" t="s">
        <v>2047</v>
      </c>
      <c r="K120" s="137" t="s">
        <v>2048</v>
      </c>
      <c r="L120" s="139">
        <f t="shared" si="163"/>
        <v>115121107664954</v>
      </c>
      <c r="M120" s="140">
        <f t="shared" si="164"/>
        <v>1099438</v>
      </c>
      <c r="N120" s="141">
        <f t="shared" si="165"/>
        <v>5.7037089715120263E-3</v>
      </c>
      <c r="O120" s="141">
        <f t="shared" si="166"/>
        <v>0</v>
      </c>
      <c r="P120" s="141">
        <f t="shared" si="167"/>
        <v>0.99429629102848793</v>
      </c>
      <c r="Q120" s="140">
        <v>4</v>
      </c>
      <c r="R120" s="139">
        <v>656617294599</v>
      </c>
      <c r="S120" s="140">
        <v>0</v>
      </c>
      <c r="T120" s="139">
        <v>0</v>
      </c>
      <c r="U120" s="140">
        <v>1099434</v>
      </c>
      <c r="V120" s="139">
        <v>114464490370355</v>
      </c>
    </row>
    <row r="121" spans="1:22" ht="15.95" customHeight="1" x14ac:dyDescent="0.3">
      <c r="A121" s="27">
        <v>28</v>
      </c>
      <c r="B121" s="167" t="s">
        <v>3335</v>
      </c>
      <c r="C121" s="28">
        <v>1000315188</v>
      </c>
      <c r="D121" s="137" t="s">
        <v>144</v>
      </c>
      <c r="E121" s="137">
        <v>1660170</v>
      </c>
      <c r="F121" s="167" t="s">
        <v>3343</v>
      </c>
      <c r="G121" s="166" t="s">
        <v>3344</v>
      </c>
      <c r="H121" s="137" t="s">
        <v>2056</v>
      </c>
      <c r="I121" s="137" t="s">
        <v>2258</v>
      </c>
      <c r="J121" s="167" t="s">
        <v>2045</v>
      </c>
      <c r="K121" s="137" t="s">
        <v>2048</v>
      </c>
      <c r="L121" s="139">
        <f t="shared" si="163"/>
        <v>11649991270677</v>
      </c>
      <c r="M121" s="140">
        <f t="shared" si="164"/>
        <v>39827</v>
      </c>
      <c r="N121" s="141">
        <f t="shared" si="165"/>
        <v>2.5416363851300388E-4</v>
      </c>
      <c r="O121" s="141">
        <f t="shared" si="166"/>
        <v>5.1169395645852558E-4</v>
      </c>
      <c r="P121" s="141">
        <f t="shared" si="167"/>
        <v>0.9992341424050285</v>
      </c>
      <c r="Q121" s="140">
        <v>2</v>
      </c>
      <c r="R121" s="139">
        <v>2961004170</v>
      </c>
      <c r="S121" s="140">
        <v>42</v>
      </c>
      <c r="T121" s="139">
        <v>5961230126</v>
      </c>
      <c r="U121" s="140">
        <v>39783</v>
      </c>
      <c r="V121" s="139">
        <v>11641069036381</v>
      </c>
    </row>
    <row r="122" spans="1:22" ht="15.95" customHeight="1" x14ac:dyDescent="0.3">
      <c r="A122" s="27">
        <v>28</v>
      </c>
      <c r="B122" s="167" t="s">
        <v>3335</v>
      </c>
      <c r="C122" s="28">
        <v>1000315188</v>
      </c>
      <c r="D122" s="137" t="s">
        <v>144</v>
      </c>
      <c r="E122" s="137">
        <v>1660170</v>
      </c>
      <c r="F122" s="167" t="s">
        <v>3345</v>
      </c>
      <c r="G122" s="166" t="s">
        <v>3346</v>
      </c>
      <c r="H122" s="137" t="s">
        <v>2056</v>
      </c>
      <c r="I122" s="137" t="s">
        <v>2258</v>
      </c>
      <c r="J122" s="167" t="s">
        <v>2111</v>
      </c>
      <c r="K122" s="137" t="s">
        <v>2048</v>
      </c>
      <c r="L122" s="144">
        <f t="shared" ref="L122:L126" si="168">ABS(R122)+ABS(T122)+ABS(V122)</f>
        <v>5947887356</v>
      </c>
      <c r="M122" s="140">
        <f t="shared" ref="M122:M126" si="169">Q122+S122+U122</f>
        <v>294</v>
      </c>
      <c r="N122" s="141">
        <f t="shared" ref="N122:N126" si="170">ABS(R122)/$L122</f>
        <v>2.356755779152318E-2</v>
      </c>
      <c r="O122" s="141">
        <f t="shared" ref="O122:O126" si="171">ABS(T122)/$L122</f>
        <v>0.51688939517300436</v>
      </c>
      <c r="P122" s="141">
        <f t="shared" ref="P122:P126" si="172">ABS(V122)/$L122</f>
        <v>0.4595430470354725</v>
      </c>
      <c r="Q122" s="140">
        <v>1</v>
      </c>
      <c r="R122" s="144">
        <v>140177179</v>
      </c>
      <c r="S122" s="140">
        <v>28</v>
      </c>
      <c r="T122" s="144">
        <v>3074399898</v>
      </c>
      <c r="U122" s="140">
        <v>265</v>
      </c>
      <c r="V122" s="144">
        <v>2733310279</v>
      </c>
    </row>
    <row r="123" spans="1:22" ht="15.95" customHeight="1" x14ac:dyDescent="0.3">
      <c r="A123" s="27">
        <v>28</v>
      </c>
      <c r="B123" s="167" t="s">
        <v>3335</v>
      </c>
      <c r="C123" s="28">
        <v>1000315188</v>
      </c>
      <c r="D123" s="137" t="s">
        <v>144</v>
      </c>
      <c r="E123" s="137">
        <v>1660170</v>
      </c>
      <c r="F123" s="167" t="s">
        <v>3345</v>
      </c>
      <c r="G123" s="166" t="s">
        <v>3346</v>
      </c>
      <c r="H123" s="137" t="s">
        <v>2056</v>
      </c>
      <c r="I123" s="137" t="s">
        <v>2258</v>
      </c>
      <c r="J123" s="137" t="s">
        <v>2047</v>
      </c>
      <c r="K123" s="137" t="s">
        <v>2048</v>
      </c>
      <c r="L123" s="144">
        <f t="shared" si="168"/>
        <v>152325123056</v>
      </c>
      <c r="M123" s="140">
        <f t="shared" si="169"/>
        <v>16228</v>
      </c>
      <c r="N123" s="141">
        <f t="shared" si="170"/>
        <v>3.2223362322152803E-2</v>
      </c>
      <c r="O123" s="141">
        <f t="shared" si="171"/>
        <v>0</v>
      </c>
      <c r="P123" s="141">
        <f t="shared" si="172"/>
        <v>0.96777663767784716</v>
      </c>
      <c r="Q123" s="140">
        <v>7</v>
      </c>
      <c r="R123" s="144">
        <v>4908427631</v>
      </c>
      <c r="S123" s="140">
        <v>0</v>
      </c>
      <c r="T123" s="144">
        <v>0</v>
      </c>
      <c r="U123" s="140">
        <v>16221</v>
      </c>
      <c r="V123" s="144">
        <v>147416695425</v>
      </c>
    </row>
    <row r="124" spans="1:22" ht="15.95" customHeight="1" x14ac:dyDescent="0.3">
      <c r="A124" s="27">
        <v>28</v>
      </c>
      <c r="B124" s="167" t="s">
        <v>3335</v>
      </c>
      <c r="C124" s="28">
        <v>1000315188</v>
      </c>
      <c r="D124" s="137" t="s">
        <v>144</v>
      </c>
      <c r="E124" s="137">
        <v>1660170</v>
      </c>
      <c r="F124" s="167" t="s">
        <v>3345</v>
      </c>
      <c r="G124" s="166" t="s">
        <v>3346</v>
      </c>
      <c r="H124" s="137" t="s">
        <v>2056</v>
      </c>
      <c r="I124" s="137" t="s">
        <v>2258</v>
      </c>
      <c r="J124" s="167" t="s">
        <v>2045</v>
      </c>
      <c r="K124" s="137" t="s">
        <v>2048</v>
      </c>
      <c r="L124" s="144">
        <f t="shared" si="168"/>
        <v>7779789714</v>
      </c>
      <c r="M124" s="140">
        <f t="shared" si="169"/>
        <v>360</v>
      </c>
      <c r="N124" s="141">
        <f t="shared" si="170"/>
        <v>0</v>
      </c>
      <c r="O124" s="141">
        <f t="shared" si="171"/>
        <v>0</v>
      </c>
      <c r="P124" s="141">
        <f t="shared" si="172"/>
        <v>1</v>
      </c>
      <c r="Q124" s="140">
        <v>0</v>
      </c>
      <c r="R124" s="144">
        <v>0</v>
      </c>
      <c r="S124" s="140">
        <v>0</v>
      </c>
      <c r="T124" s="144">
        <v>0</v>
      </c>
      <c r="U124" s="140">
        <v>360</v>
      </c>
      <c r="V124" s="144">
        <v>7779789714</v>
      </c>
    </row>
    <row r="125" spans="1:22" ht="15.95" customHeight="1" x14ac:dyDescent="0.3">
      <c r="A125" s="27">
        <v>28</v>
      </c>
      <c r="B125" s="167" t="s">
        <v>3335</v>
      </c>
      <c r="C125" s="28">
        <v>1000315188</v>
      </c>
      <c r="D125" s="137" t="s">
        <v>144</v>
      </c>
      <c r="E125" s="137">
        <v>1660170</v>
      </c>
      <c r="F125" s="167" t="s">
        <v>3347</v>
      </c>
      <c r="G125" s="167" t="s">
        <v>3347</v>
      </c>
      <c r="H125" s="137" t="s">
        <v>2056</v>
      </c>
      <c r="I125" s="137" t="s">
        <v>2258</v>
      </c>
      <c r="J125" s="167" t="s">
        <v>2111</v>
      </c>
      <c r="K125" s="137" t="s">
        <v>2048</v>
      </c>
      <c r="L125" s="170">
        <f t="shared" si="168"/>
        <v>534838228.56000006</v>
      </c>
      <c r="M125" s="140">
        <f t="shared" si="169"/>
        <v>3846</v>
      </c>
      <c r="N125" s="141">
        <f t="shared" si="170"/>
        <v>0</v>
      </c>
      <c r="O125" s="141">
        <f t="shared" si="171"/>
        <v>0.30941517745572872</v>
      </c>
      <c r="P125" s="141">
        <f t="shared" si="172"/>
        <v>0.69058482254427123</v>
      </c>
      <c r="Q125" s="140">
        <v>0</v>
      </c>
      <c r="R125" s="170">
        <v>0</v>
      </c>
      <c r="S125" s="140">
        <v>247</v>
      </c>
      <c r="T125" s="170">
        <v>165487065.40000001</v>
      </c>
      <c r="U125" s="140">
        <v>3599</v>
      </c>
      <c r="V125" s="170">
        <v>369351163.16000003</v>
      </c>
    </row>
    <row r="126" spans="1:22" ht="15.95" customHeight="1" x14ac:dyDescent="0.3">
      <c r="A126" s="27">
        <v>28</v>
      </c>
      <c r="B126" s="167" t="s">
        <v>3335</v>
      </c>
      <c r="C126" s="28">
        <v>1000315188</v>
      </c>
      <c r="D126" s="137" t="s">
        <v>144</v>
      </c>
      <c r="E126" s="137">
        <v>1660170</v>
      </c>
      <c r="F126" s="167" t="s">
        <v>3347</v>
      </c>
      <c r="G126" s="167" t="s">
        <v>3347</v>
      </c>
      <c r="H126" s="137" t="s">
        <v>2056</v>
      </c>
      <c r="I126" s="137" t="s">
        <v>2258</v>
      </c>
      <c r="J126" s="137" t="s">
        <v>2047</v>
      </c>
      <c r="K126" s="137" t="s">
        <v>2048</v>
      </c>
      <c r="L126" s="170">
        <f t="shared" si="168"/>
        <v>7417898460.04</v>
      </c>
      <c r="M126" s="140">
        <f t="shared" si="169"/>
        <v>38733</v>
      </c>
      <c r="N126" s="141">
        <f t="shared" si="170"/>
        <v>7.209920562826308E-3</v>
      </c>
      <c r="O126" s="141">
        <f t="shared" si="171"/>
        <v>0</v>
      </c>
      <c r="P126" s="141">
        <f t="shared" si="172"/>
        <v>0.99279007943717368</v>
      </c>
      <c r="Q126" s="140">
        <v>2</v>
      </c>
      <c r="R126" s="170">
        <v>53482458.640000001</v>
      </c>
      <c r="S126" s="140">
        <v>0</v>
      </c>
      <c r="T126" s="170">
        <v>0</v>
      </c>
      <c r="U126" s="140">
        <v>38731</v>
      </c>
      <c r="V126" s="170">
        <v>7364416001.3999996</v>
      </c>
    </row>
    <row r="127" spans="1:22" ht="15.95" customHeight="1" x14ac:dyDescent="0.3">
      <c r="A127" s="27">
        <v>28</v>
      </c>
      <c r="B127" s="167" t="s">
        <v>3335</v>
      </c>
      <c r="C127" s="28">
        <v>1000315188</v>
      </c>
      <c r="D127" s="137" t="s">
        <v>144</v>
      </c>
      <c r="E127" s="137">
        <v>1660170</v>
      </c>
      <c r="F127" s="167" t="s">
        <v>3347</v>
      </c>
      <c r="G127" s="167" t="s">
        <v>3347</v>
      </c>
      <c r="H127" s="137" t="s">
        <v>2056</v>
      </c>
      <c r="I127" s="137" t="s">
        <v>2258</v>
      </c>
      <c r="J127" s="167" t="s">
        <v>2045</v>
      </c>
      <c r="K127" s="137" t="s">
        <v>2048</v>
      </c>
      <c r="L127" s="170">
        <f t="shared" ref="L127" si="173">ABS(R127)+ABS(T127)+ABS(V127)</f>
        <v>1269602493.4400001</v>
      </c>
      <c r="M127" s="140">
        <f t="shared" ref="M127" si="174">Q127+S127+U127</f>
        <v>4993</v>
      </c>
      <c r="N127" s="141">
        <f t="shared" ref="N127" si="175">ABS(R127)/$L127</f>
        <v>0</v>
      </c>
      <c r="O127" s="141">
        <f t="shared" ref="O127" si="176">ABS(T127)/$L127</f>
        <v>0</v>
      </c>
      <c r="P127" s="141">
        <f t="shared" ref="P127" si="177">ABS(V127)/$L127</f>
        <v>1</v>
      </c>
      <c r="Q127" s="140">
        <v>0</v>
      </c>
      <c r="R127" s="170">
        <v>0</v>
      </c>
      <c r="S127" s="140">
        <v>0</v>
      </c>
      <c r="T127" s="170">
        <v>0</v>
      </c>
      <c r="U127" s="140">
        <v>4993</v>
      </c>
      <c r="V127" s="170">
        <v>1269602493.4400001</v>
      </c>
    </row>
    <row r="128" spans="1:22" ht="15.95" customHeight="1" x14ac:dyDescent="0.3">
      <c r="A128" s="27">
        <v>28</v>
      </c>
      <c r="B128" s="207" t="s">
        <v>3967</v>
      </c>
      <c r="C128" s="28">
        <v>1000315188</v>
      </c>
      <c r="D128" s="137" t="s">
        <v>144</v>
      </c>
      <c r="E128" s="137">
        <v>1660170</v>
      </c>
      <c r="F128" s="167" t="s">
        <v>3343</v>
      </c>
      <c r="G128" s="206" t="s">
        <v>4011</v>
      </c>
      <c r="H128" s="207" t="s">
        <v>3969</v>
      </c>
      <c r="I128" s="137" t="s">
        <v>2258</v>
      </c>
      <c r="J128" s="167" t="s">
        <v>2111</v>
      </c>
      <c r="K128" s="137" t="s">
        <v>2046</v>
      </c>
      <c r="L128" s="139">
        <f t="shared" ref="L128:L130" si="178">ABS(R128)+ABS(T128)+ABS(V128)</f>
        <v>14650941333334</v>
      </c>
      <c r="M128" s="140">
        <f t="shared" ref="M128:M130" si="179">Q128+S128+U128</f>
        <v>37158</v>
      </c>
      <c r="N128" s="141">
        <f t="shared" ref="N128:N130" si="180">ABS(R128)/$L128</f>
        <v>3.1525116522659316E-4</v>
      </c>
      <c r="O128" s="141">
        <f t="shared" ref="O128:O130" si="181">ABS(T128)/$L128</f>
        <v>0.38719807313692123</v>
      </c>
      <c r="P128" s="141">
        <f t="shared" ref="P128:P130" si="182">ABS(V128)/$L128</f>
        <v>0.6124866756978522</v>
      </c>
      <c r="Q128" s="140">
        <v>3</v>
      </c>
      <c r="R128" s="139">
        <v>4618726327</v>
      </c>
      <c r="S128" s="140">
        <v>2098</v>
      </c>
      <c r="T128" s="139">
        <v>5672816253909</v>
      </c>
      <c r="U128" s="140">
        <v>35057</v>
      </c>
      <c r="V128" s="139">
        <v>8973506353098</v>
      </c>
    </row>
    <row r="129" spans="1:22" ht="15.95" customHeight="1" x14ac:dyDescent="0.3">
      <c r="A129" s="27">
        <v>28</v>
      </c>
      <c r="B129" s="207" t="s">
        <v>3967</v>
      </c>
      <c r="C129" s="28">
        <v>1000315188</v>
      </c>
      <c r="D129" s="137" t="s">
        <v>144</v>
      </c>
      <c r="E129" s="137">
        <v>1660170</v>
      </c>
      <c r="F129" s="167" t="s">
        <v>3343</v>
      </c>
      <c r="G129" s="206" t="s">
        <v>4011</v>
      </c>
      <c r="H129" s="207" t="s">
        <v>3969</v>
      </c>
      <c r="I129" s="137" t="s">
        <v>2258</v>
      </c>
      <c r="J129" s="137" t="s">
        <v>2047</v>
      </c>
      <c r="K129" s="137" t="s">
        <v>2048</v>
      </c>
      <c r="L129" s="139">
        <f t="shared" si="178"/>
        <v>157020431993716</v>
      </c>
      <c r="M129" s="140">
        <f t="shared" si="179"/>
        <v>1497456</v>
      </c>
      <c r="N129" s="141">
        <f t="shared" si="180"/>
        <v>1.1339645759159918E-2</v>
      </c>
      <c r="O129" s="141">
        <f t="shared" si="181"/>
        <v>0</v>
      </c>
      <c r="P129" s="141">
        <f t="shared" si="182"/>
        <v>0.98866035424084009</v>
      </c>
      <c r="Q129" s="140">
        <v>9</v>
      </c>
      <c r="R129" s="139">
        <v>1780556075759</v>
      </c>
      <c r="S129" s="140">
        <v>0</v>
      </c>
      <c r="T129" s="139">
        <v>0</v>
      </c>
      <c r="U129" s="140">
        <v>1497447</v>
      </c>
      <c r="V129" s="139">
        <v>155239875917957</v>
      </c>
    </row>
    <row r="130" spans="1:22" ht="15.95" customHeight="1" x14ac:dyDescent="0.3">
      <c r="A130" s="27">
        <v>28</v>
      </c>
      <c r="B130" s="207" t="s">
        <v>3967</v>
      </c>
      <c r="C130" s="28">
        <v>1000315188</v>
      </c>
      <c r="D130" s="137" t="s">
        <v>144</v>
      </c>
      <c r="E130" s="137">
        <v>1660170</v>
      </c>
      <c r="F130" s="167" t="s">
        <v>3343</v>
      </c>
      <c r="G130" s="206" t="s">
        <v>4011</v>
      </c>
      <c r="H130" s="207" t="s">
        <v>3969</v>
      </c>
      <c r="I130" s="137" t="s">
        <v>2258</v>
      </c>
      <c r="J130" s="167" t="s">
        <v>2045</v>
      </c>
      <c r="K130" s="137" t="s">
        <v>2046</v>
      </c>
      <c r="L130" s="139">
        <f t="shared" si="178"/>
        <v>16333531945764</v>
      </c>
      <c r="M130" s="140">
        <f t="shared" si="179"/>
        <v>55889</v>
      </c>
      <c r="N130" s="141">
        <f t="shared" si="180"/>
        <v>2.8277572434037075E-4</v>
      </c>
      <c r="O130" s="141">
        <f t="shared" si="181"/>
        <v>8.5437656829753469E-4</v>
      </c>
      <c r="P130" s="141">
        <f t="shared" si="182"/>
        <v>0.99886284770736211</v>
      </c>
      <c r="Q130" s="140">
        <v>3</v>
      </c>
      <c r="R130" s="139">
        <v>4618726327</v>
      </c>
      <c r="S130" s="140">
        <v>62</v>
      </c>
      <c r="T130" s="139">
        <v>13954986972</v>
      </c>
      <c r="U130" s="140">
        <v>55824</v>
      </c>
      <c r="V130" s="139">
        <v>16314958232465</v>
      </c>
    </row>
    <row r="131" spans="1:22" ht="15.95" customHeight="1" x14ac:dyDescent="0.3">
      <c r="A131" s="27">
        <v>28</v>
      </c>
      <c r="B131" s="207" t="s">
        <v>3967</v>
      </c>
      <c r="C131" s="28">
        <v>1000315188</v>
      </c>
      <c r="D131" s="137" t="s">
        <v>144</v>
      </c>
      <c r="E131" s="137">
        <v>1660170</v>
      </c>
      <c r="F131" s="167" t="s">
        <v>3345</v>
      </c>
      <c r="G131" s="206" t="s">
        <v>4012</v>
      </c>
      <c r="H131" s="207" t="s">
        <v>3969</v>
      </c>
      <c r="I131" s="137" t="s">
        <v>2258</v>
      </c>
      <c r="J131" s="167" t="s">
        <v>2111</v>
      </c>
      <c r="K131" s="137" t="s">
        <v>2046</v>
      </c>
      <c r="L131" s="144">
        <f t="shared" ref="L131:L136" si="183">ABS(R131)+ABS(T131)+ABS(V131)</f>
        <v>7955185103</v>
      </c>
      <c r="M131" s="140">
        <f t="shared" ref="M131:M136" si="184">Q131+S131+U131</f>
        <v>441</v>
      </c>
      <c r="N131" s="141">
        <f t="shared" ref="N131:N136" si="185">ABS(R131)/$L131</f>
        <v>0</v>
      </c>
      <c r="O131" s="141">
        <f t="shared" ref="O131:O136" si="186">ABS(T131)/$L131</f>
        <v>0.44443248739324775</v>
      </c>
      <c r="P131" s="141">
        <f t="shared" ref="P131:P136" si="187">ABS(V131)/$L131</f>
        <v>0.55556751260675219</v>
      </c>
      <c r="Q131" s="140">
        <v>0</v>
      </c>
      <c r="R131" s="144">
        <v>0</v>
      </c>
      <c r="S131" s="140">
        <v>30</v>
      </c>
      <c r="T131" s="144">
        <v>3535542703</v>
      </c>
      <c r="U131" s="140">
        <v>411</v>
      </c>
      <c r="V131" s="144">
        <v>4419642400</v>
      </c>
    </row>
    <row r="132" spans="1:22" ht="15.95" customHeight="1" x14ac:dyDescent="0.3">
      <c r="A132" s="27">
        <v>28</v>
      </c>
      <c r="B132" s="207" t="s">
        <v>3967</v>
      </c>
      <c r="C132" s="28">
        <v>1000315188</v>
      </c>
      <c r="D132" s="137" t="s">
        <v>144</v>
      </c>
      <c r="E132" s="137">
        <v>1660170</v>
      </c>
      <c r="F132" s="167" t="s">
        <v>3345</v>
      </c>
      <c r="G132" s="206" t="s">
        <v>4012</v>
      </c>
      <c r="H132" s="207" t="s">
        <v>3969</v>
      </c>
      <c r="I132" s="137" t="s">
        <v>2258</v>
      </c>
      <c r="J132" s="137" t="s">
        <v>2047</v>
      </c>
      <c r="K132" s="137" t="s">
        <v>2048</v>
      </c>
      <c r="L132" s="144">
        <f t="shared" si="183"/>
        <v>211536132178</v>
      </c>
      <c r="M132" s="140">
        <f t="shared" si="184"/>
        <v>22019</v>
      </c>
      <c r="N132" s="141">
        <f t="shared" si="185"/>
        <v>2.1842104322452607E-2</v>
      </c>
      <c r="O132" s="141">
        <f t="shared" si="186"/>
        <v>0</v>
      </c>
      <c r="P132" s="141">
        <f t="shared" si="187"/>
        <v>0.97815789567754741</v>
      </c>
      <c r="Q132" s="140">
        <v>6</v>
      </c>
      <c r="R132" s="144">
        <v>4620394267</v>
      </c>
      <c r="S132" s="140">
        <v>0</v>
      </c>
      <c r="T132" s="144">
        <v>0</v>
      </c>
      <c r="U132" s="140">
        <v>22013</v>
      </c>
      <c r="V132" s="144">
        <v>206915737911</v>
      </c>
    </row>
    <row r="133" spans="1:22" ht="15.95" customHeight="1" x14ac:dyDescent="0.3">
      <c r="A133" s="27">
        <v>28</v>
      </c>
      <c r="B133" s="207" t="s">
        <v>3967</v>
      </c>
      <c r="C133" s="28">
        <v>1000315188</v>
      </c>
      <c r="D133" s="137" t="s">
        <v>144</v>
      </c>
      <c r="E133" s="137">
        <v>1660170</v>
      </c>
      <c r="F133" s="167" t="s">
        <v>3345</v>
      </c>
      <c r="G133" s="206" t="s">
        <v>4012</v>
      </c>
      <c r="H133" s="207" t="s">
        <v>3969</v>
      </c>
      <c r="I133" s="137" t="s">
        <v>2258</v>
      </c>
      <c r="J133" s="167" t="s">
        <v>2045</v>
      </c>
      <c r="K133" s="137" t="s">
        <v>2046</v>
      </c>
      <c r="L133" s="144">
        <f t="shared" si="183"/>
        <v>10746816286</v>
      </c>
      <c r="M133" s="140">
        <f t="shared" si="184"/>
        <v>526</v>
      </c>
      <c r="N133" s="141">
        <f t="shared" si="185"/>
        <v>0</v>
      </c>
      <c r="O133" s="141">
        <f t="shared" si="186"/>
        <v>0</v>
      </c>
      <c r="P133" s="141">
        <f t="shared" si="187"/>
        <v>1</v>
      </c>
      <c r="Q133" s="140">
        <v>0</v>
      </c>
      <c r="R133" s="144">
        <v>0</v>
      </c>
      <c r="S133" s="140">
        <v>0</v>
      </c>
      <c r="T133" s="144">
        <v>0</v>
      </c>
      <c r="U133" s="140">
        <v>526</v>
      </c>
      <c r="V133" s="144">
        <v>10746816286</v>
      </c>
    </row>
    <row r="134" spans="1:22" ht="15.95" customHeight="1" x14ac:dyDescent="0.3">
      <c r="A134" s="27">
        <v>28</v>
      </c>
      <c r="B134" s="207" t="s">
        <v>3967</v>
      </c>
      <c r="C134" s="28">
        <v>1000315188</v>
      </c>
      <c r="D134" s="137" t="s">
        <v>144</v>
      </c>
      <c r="E134" s="137">
        <v>1660170</v>
      </c>
      <c r="F134" s="207" t="s">
        <v>4010</v>
      </c>
      <c r="G134" s="207" t="s">
        <v>4010</v>
      </c>
      <c r="H134" s="207" t="s">
        <v>3969</v>
      </c>
      <c r="I134" s="137" t="s">
        <v>2258</v>
      </c>
      <c r="J134" s="167" t="s">
        <v>2111</v>
      </c>
      <c r="K134" s="137" t="s">
        <v>2046</v>
      </c>
      <c r="L134" s="170">
        <f t="shared" si="183"/>
        <v>1369664046.23</v>
      </c>
      <c r="M134" s="140">
        <f t="shared" si="184"/>
        <v>7444</v>
      </c>
      <c r="N134" s="141">
        <f t="shared" si="185"/>
        <v>0</v>
      </c>
      <c r="O134" s="141">
        <f t="shared" si="186"/>
        <v>0.32419863646288216</v>
      </c>
      <c r="P134" s="141">
        <f t="shared" si="187"/>
        <v>0.67580136353711784</v>
      </c>
      <c r="Q134" s="140">
        <v>0</v>
      </c>
      <c r="R134" s="170">
        <v>0</v>
      </c>
      <c r="S134" s="140">
        <v>441</v>
      </c>
      <c r="T134" s="170">
        <v>444043216.19999999</v>
      </c>
      <c r="U134" s="140">
        <v>7003</v>
      </c>
      <c r="V134" s="170">
        <v>925620830.02999997</v>
      </c>
    </row>
    <row r="135" spans="1:22" ht="15.95" customHeight="1" x14ac:dyDescent="0.3">
      <c r="A135" s="27">
        <v>28</v>
      </c>
      <c r="B135" s="207" t="s">
        <v>3967</v>
      </c>
      <c r="C135" s="28">
        <v>1000315188</v>
      </c>
      <c r="D135" s="137" t="s">
        <v>144</v>
      </c>
      <c r="E135" s="137">
        <v>1660170</v>
      </c>
      <c r="F135" s="207" t="s">
        <v>4010</v>
      </c>
      <c r="G135" s="207" t="s">
        <v>4010</v>
      </c>
      <c r="H135" s="207" t="s">
        <v>3969</v>
      </c>
      <c r="I135" s="137" t="s">
        <v>2258</v>
      </c>
      <c r="J135" s="137" t="s">
        <v>2047</v>
      </c>
      <c r="K135" s="137" t="s">
        <v>2048</v>
      </c>
      <c r="L135" s="170">
        <f t="shared" si="183"/>
        <v>14244886670.139999</v>
      </c>
      <c r="M135" s="140">
        <f t="shared" si="184"/>
        <v>62725</v>
      </c>
      <c r="N135" s="141">
        <f t="shared" si="185"/>
        <v>4.2676387827943691E-3</v>
      </c>
      <c r="O135" s="141">
        <f t="shared" si="186"/>
        <v>0</v>
      </c>
      <c r="P135" s="141">
        <f t="shared" si="187"/>
        <v>0.99573236121720565</v>
      </c>
      <c r="Q135" s="140">
        <v>4</v>
      </c>
      <c r="R135" s="170">
        <v>60792030.810000002</v>
      </c>
      <c r="S135" s="140">
        <v>0</v>
      </c>
      <c r="T135" s="170">
        <v>0</v>
      </c>
      <c r="U135" s="140">
        <v>62721</v>
      </c>
      <c r="V135" s="170">
        <v>14184094639.33</v>
      </c>
    </row>
    <row r="136" spans="1:22" ht="15.95" customHeight="1" x14ac:dyDescent="0.3">
      <c r="A136" s="27">
        <v>28</v>
      </c>
      <c r="B136" s="207" t="s">
        <v>3967</v>
      </c>
      <c r="C136" s="28">
        <v>1000315188</v>
      </c>
      <c r="D136" s="137" t="s">
        <v>144</v>
      </c>
      <c r="E136" s="137">
        <v>1660170</v>
      </c>
      <c r="F136" s="207" t="s">
        <v>4010</v>
      </c>
      <c r="G136" s="207" t="s">
        <v>4010</v>
      </c>
      <c r="H136" s="207" t="s">
        <v>3969</v>
      </c>
      <c r="I136" s="137" t="s">
        <v>2258</v>
      </c>
      <c r="J136" s="167" t="s">
        <v>2045</v>
      </c>
      <c r="K136" s="137" t="s">
        <v>2046</v>
      </c>
      <c r="L136" s="170">
        <f t="shared" si="183"/>
        <v>3019329984.1500001</v>
      </c>
      <c r="M136" s="140">
        <f t="shared" si="184"/>
        <v>9381</v>
      </c>
      <c r="N136" s="141">
        <f t="shared" si="185"/>
        <v>0</v>
      </c>
      <c r="O136" s="141">
        <f t="shared" si="186"/>
        <v>0</v>
      </c>
      <c r="P136" s="141">
        <f t="shared" si="187"/>
        <v>1</v>
      </c>
      <c r="Q136" s="140">
        <v>0</v>
      </c>
      <c r="R136" s="170">
        <v>0</v>
      </c>
      <c r="S136" s="140">
        <v>0</v>
      </c>
      <c r="T136" s="170">
        <v>0</v>
      </c>
      <c r="U136" s="140">
        <v>9381</v>
      </c>
      <c r="V136" s="170">
        <v>3019329984.1500001</v>
      </c>
    </row>
    <row r="137" spans="1:22" ht="15.95" customHeight="1" x14ac:dyDescent="0.3">
      <c r="A137" s="27">
        <v>29</v>
      </c>
      <c r="B137" s="167" t="s">
        <v>3335</v>
      </c>
      <c r="C137" s="28">
        <v>1000325863</v>
      </c>
      <c r="D137" s="137" t="s">
        <v>2064</v>
      </c>
      <c r="E137" s="137">
        <v>1660760</v>
      </c>
      <c r="F137" s="167" t="s">
        <v>2065</v>
      </c>
      <c r="G137" s="166" t="s">
        <v>2066</v>
      </c>
      <c r="H137" s="137" t="s">
        <v>2056</v>
      </c>
      <c r="I137" s="137" t="s">
        <v>2258</v>
      </c>
      <c r="J137" s="137" t="s">
        <v>2047</v>
      </c>
      <c r="K137" s="137" t="s">
        <v>2048</v>
      </c>
      <c r="L137" s="139">
        <f t="shared" ref="L137:L139" si="188">ABS(R137)+ABS(T137)+ABS(V137)</f>
        <v>165346991770712</v>
      </c>
      <c r="M137" s="140">
        <f t="shared" ref="M137:M139" si="189">Q137+S137+U137</f>
        <v>2171500</v>
      </c>
      <c r="N137" s="141">
        <f t="shared" ref="N137:N139" si="190">ABS(R137)/$L137</f>
        <v>8.3379483630630028E-3</v>
      </c>
      <c r="O137" s="141">
        <f t="shared" ref="O137:O139" si="191">ABS(T137)/$L137</f>
        <v>0</v>
      </c>
      <c r="P137" s="141">
        <f t="shared" ref="P137:P139" si="192">ABS(V137)/$L137</f>
        <v>0.99166205163693699</v>
      </c>
      <c r="Q137" s="140">
        <v>17</v>
      </c>
      <c r="R137" s="139">
        <v>1378654679372</v>
      </c>
      <c r="S137" s="140">
        <v>0</v>
      </c>
      <c r="T137" s="139">
        <v>0</v>
      </c>
      <c r="U137" s="140">
        <v>2171483</v>
      </c>
      <c r="V137" s="139">
        <v>163968337091340</v>
      </c>
    </row>
    <row r="138" spans="1:22" ht="15.95" customHeight="1" x14ac:dyDescent="0.3">
      <c r="A138" s="27">
        <v>29</v>
      </c>
      <c r="B138" s="167" t="s">
        <v>3335</v>
      </c>
      <c r="C138" s="28">
        <v>1000325863</v>
      </c>
      <c r="D138" s="137" t="s">
        <v>2064</v>
      </c>
      <c r="E138" s="137">
        <v>1660760</v>
      </c>
      <c r="F138" s="167" t="s">
        <v>2065</v>
      </c>
      <c r="G138" s="166" t="s">
        <v>2066</v>
      </c>
      <c r="H138" s="137" t="s">
        <v>2056</v>
      </c>
      <c r="I138" s="137" t="s">
        <v>2258</v>
      </c>
      <c r="J138" s="137" t="s">
        <v>2050</v>
      </c>
      <c r="K138" s="137" t="s">
        <v>2046</v>
      </c>
      <c r="L138" s="139">
        <f t="shared" si="188"/>
        <v>74636440664</v>
      </c>
      <c r="M138" s="140">
        <f t="shared" si="189"/>
        <v>51166</v>
      </c>
      <c r="N138" s="141">
        <f t="shared" si="190"/>
        <v>9.4299237441996253E-2</v>
      </c>
      <c r="O138" s="141">
        <f t="shared" si="191"/>
        <v>8.3319264017362143E-2</v>
      </c>
      <c r="P138" s="141">
        <f t="shared" si="192"/>
        <v>0.82238149854064158</v>
      </c>
      <c r="Q138" s="140">
        <v>19</v>
      </c>
      <c r="R138" s="139">
        <v>7038159440</v>
      </c>
      <c r="S138" s="140">
        <v>767</v>
      </c>
      <c r="T138" s="139">
        <v>6218653305</v>
      </c>
      <c r="U138" s="140">
        <v>50380</v>
      </c>
      <c r="V138" s="139">
        <v>61379627919</v>
      </c>
    </row>
    <row r="139" spans="1:22" ht="15.95" customHeight="1" x14ac:dyDescent="0.3">
      <c r="A139" s="27">
        <v>29</v>
      </c>
      <c r="B139" s="167" t="s">
        <v>3335</v>
      </c>
      <c r="C139" s="28">
        <v>1000325863</v>
      </c>
      <c r="D139" s="137" t="s">
        <v>2064</v>
      </c>
      <c r="E139" s="137">
        <v>1660760</v>
      </c>
      <c r="F139" s="167" t="s">
        <v>2065</v>
      </c>
      <c r="G139" s="166" t="s">
        <v>2066</v>
      </c>
      <c r="H139" s="137" t="s">
        <v>2056</v>
      </c>
      <c r="I139" s="137" t="s">
        <v>2258</v>
      </c>
      <c r="J139" s="137" t="s">
        <v>2045</v>
      </c>
      <c r="K139" s="137" t="s">
        <v>2046</v>
      </c>
      <c r="L139" s="139">
        <f t="shared" si="188"/>
        <v>9441359369655</v>
      </c>
      <c r="M139" s="140">
        <f t="shared" si="189"/>
        <v>326127</v>
      </c>
      <c r="N139" s="141">
        <f t="shared" si="190"/>
        <v>6.4796603968518872E-3</v>
      </c>
      <c r="O139" s="141">
        <f t="shared" si="191"/>
        <v>0.17450120445433304</v>
      </c>
      <c r="P139" s="141">
        <f t="shared" si="192"/>
        <v>0.81901913514881508</v>
      </c>
      <c r="Q139" s="140">
        <v>10</v>
      </c>
      <c r="R139" s="139">
        <v>-61176802400</v>
      </c>
      <c r="S139" s="140">
        <v>780</v>
      </c>
      <c r="T139" s="139">
        <v>-1647528581691</v>
      </c>
      <c r="U139" s="140">
        <v>325337</v>
      </c>
      <c r="V139" s="139">
        <v>7732653985564</v>
      </c>
    </row>
    <row r="140" spans="1:22" ht="15.95" customHeight="1" x14ac:dyDescent="0.3">
      <c r="A140" s="27">
        <v>29</v>
      </c>
      <c r="B140" s="207" t="s">
        <v>3967</v>
      </c>
      <c r="C140" s="28">
        <v>1000325863</v>
      </c>
      <c r="D140" s="137" t="s">
        <v>2064</v>
      </c>
      <c r="E140" s="137">
        <v>1660760</v>
      </c>
      <c r="F140" s="167" t="s">
        <v>2065</v>
      </c>
      <c r="G140" s="206" t="s">
        <v>4013</v>
      </c>
      <c r="H140" s="213" t="s">
        <v>3974</v>
      </c>
      <c r="I140" s="137" t="s">
        <v>2258</v>
      </c>
      <c r="J140" s="137" t="s">
        <v>2047</v>
      </c>
      <c r="K140" s="137" t="s">
        <v>2048</v>
      </c>
      <c r="L140" s="139">
        <f t="shared" ref="L140:L142" si="193">ABS(R140)+ABS(T140)+ABS(V140)</f>
        <v>171800858926560</v>
      </c>
      <c r="M140" s="140">
        <f t="shared" ref="M140:M142" si="194">Q140+S140+U140</f>
        <v>2150123</v>
      </c>
      <c r="N140" s="141">
        <f t="shared" ref="N140:N142" si="195">ABS(R140)/$L140</f>
        <v>7.4448970082376205E-3</v>
      </c>
      <c r="O140" s="141">
        <f t="shared" ref="O140:O142" si="196">ABS(T140)/$L140</f>
        <v>0</v>
      </c>
      <c r="P140" s="141">
        <f t="shared" ref="P140:P142" si="197">ABS(V140)/$L140</f>
        <v>0.99255510299176242</v>
      </c>
      <c r="Q140" s="140">
        <v>25</v>
      </c>
      <c r="R140" s="139">
        <v>1279039700635</v>
      </c>
      <c r="S140" s="140">
        <v>0</v>
      </c>
      <c r="T140" s="139">
        <v>0</v>
      </c>
      <c r="U140" s="140">
        <v>2150098</v>
      </c>
      <c r="V140" s="139">
        <v>170521819225925</v>
      </c>
    </row>
    <row r="141" spans="1:22" ht="15.95" customHeight="1" x14ac:dyDescent="0.3">
      <c r="A141" s="27">
        <v>29</v>
      </c>
      <c r="B141" s="207" t="s">
        <v>3967</v>
      </c>
      <c r="C141" s="28">
        <v>1000325863</v>
      </c>
      <c r="D141" s="137" t="s">
        <v>2064</v>
      </c>
      <c r="E141" s="137">
        <v>1660760</v>
      </c>
      <c r="F141" s="167" t="s">
        <v>2065</v>
      </c>
      <c r="G141" s="206" t="s">
        <v>4013</v>
      </c>
      <c r="H141" s="213" t="s">
        <v>3974</v>
      </c>
      <c r="I141" s="137" t="s">
        <v>2258</v>
      </c>
      <c r="J141" s="137" t="s">
        <v>2050</v>
      </c>
      <c r="K141" s="137" t="s">
        <v>2046</v>
      </c>
      <c r="L141" s="139">
        <f t="shared" si="193"/>
        <v>85827630353</v>
      </c>
      <c r="M141" s="140">
        <f t="shared" si="194"/>
        <v>51972</v>
      </c>
      <c r="N141" s="141">
        <f t="shared" si="195"/>
        <v>6.23566655048974E-2</v>
      </c>
      <c r="O141" s="141">
        <f t="shared" si="196"/>
        <v>0.1005479388456442</v>
      </c>
      <c r="P141" s="141">
        <f t="shared" si="197"/>
        <v>0.83709539564945845</v>
      </c>
      <c r="Q141" s="140">
        <v>20</v>
      </c>
      <c r="R141" s="139">
        <v>5351924837</v>
      </c>
      <c r="S141" s="140">
        <v>651</v>
      </c>
      <c r="T141" s="139">
        <v>8629791328</v>
      </c>
      <c r="U141" s="140">
        <v>51301</v>
      </c>
      <c r="V141" s="139">
        <v>71845914188</v>
      </c>
    </row>
    <row r="142" spans="1:22" ht="15.95" customHeight="1" x14ac:dyDescent="0.3">
      <c r="A142" s="27">
        <v>29</v>
      </c>
      <c r="B142" s="207" t="s">
        <v>3967</v>
      </c>
      <c r="C142" s="28">
        <v>1000325863</v>
      </c>
      <c r="D142" s="137" t="s">
        <v>2064</v>
      </c>
      <c r="E142" s="137">
        <v>1660760</v>
      </c>
      <c r="F142" s="167" t="s">
        <v>2065</v>
      </c>
      <c r="G142" s="206" t="s">
        <v>4013</v>
      </c>
      <c r="H142" s="213" t="s">
        <v>3974</v>
      </c>
      <c r="I142" s="137" t="s">
        <v>2258</v>
      </c>
      <c r="J142" s="137" t="s">
        <v>2045</v>
      </c>
      <c r="K142" s="137" t="s">
        <v>2046</v>
      </c>
      <c r="L142" s="139">
        <f t="shared" si="193"/>
        <v>6595194544393</v>
      </c>
      <c r="M142" s="140">
        <f t="shared" si="194"/>
        <v>337908</v>
      </c>
      <c r="N142" s="141">
        <f t="shared" si="195"/>
        <v>2.9010741990569973E-2</v>
      </c>
      <c r="O142" s="141">
        <f t="shared" si="196"/>
        <v>1.5923804536180784E-2</v>
      </c>
      <c r="P142" s="141">
        <f t="shared" si="197"/>
        <v>0.95506545347324923</v>
      </c>
      <c r="Q142" s="140">
        <v>9</v>
      </c>
      <c r="R142" s="139">
        <v>191331487305</v>
      </c>
      <c r="S142" s="140">
        <v>909</v>
      </c>
      <c r="T142" s="209">
        <v>105020588803</v>
      </c>
      <c r="U142" s="140">
        <v>336990</v>
      </c>
      <c r="V142" s="139">
        <v>6298842468285</v>
      </c>
    </row>
    <row r="143" spans="1:22" ht="15.95" customHeight="1" x14ac:dyDescent="0.3">
      <c r="A143" s="27">
        <v>30</v>
      </c>
      <c r="B143" s="167" t="s">
        <v>3335</v>
      </c>
      <c r="C143" s="28">
        <v>1000317405</v>
      </c>
      <c r="D143" s="137" t="s">
        <v>190</v>
      </c>
      <c r="E143" s="137">
        <v>1669115</v>
      </c>
      <c r="F143" s="167" t="s">
        <v>833</v>
      </c>
      <c r="G143" s="166" t="s">
        <v>3348</v>
      </c>
      <c r="H143" s="137" t="s">
        <v>2056</v>
      </c>
      <c r="I143" s="137" t="s">
        <v>2258</v>
      </c>
      <c r="J143" s="137" t="s">
        <v>2047</v>
      </c>
      <c r="K143" s="137" t="s">
        <v>2048</v>
      </c>
      <c r="L143" s="139">
        <f t="shared" ref="L143:L149" si="198">ABS(R143)+ABS(T143)+ABS(V143)</f>
        <v>142020235477044</v>
      </c>
      <c r="M143" s="140">
        <f t="shared" ref="M143:M149" si="199">Q143+S143+U143</f>
        <v>2968125</v>
      </c>
      <c r="N143" s="141">
        <f t="shared" ref="N143:N149" si="200">ABS(R143)/$L143</f>
        <v>3.5959785161217343E-4</v>
      </c>
      <c r="O143" s="141">
        <f t="shared" ref="O143:O149" si="201">ABS(T143)/$L143</f>
        <v>0</v>
      </c>
      <c r="P143" s="141">
        <f t="shared" ref="P143:P149" si="202">ABS(V143)/$L143</f>
        <v>0.99964040214838779</v>
      </c>
      <c r="Q143" s="140">
        <v>67</v>
      </c>
      <c r="R143" s="139">
        <v>51070171563</v>
      </c>
      <c r="S143" s="140">
        <v>0</v>
      </c>
      <c r="T143" s="139">
        <v>0</v>
      </c>
      <c r="U143" s="140">
        <v>2968058</v>
      </c>
      <c r="V143" s="139">
        <v>141969165305481</v>
      </c>
    </row>
    <row r="144" spans="1:22" ht="15.95" customHeight="1" x14ac:dyDescent="0.3">
      <c r="A144" s="27">
        <v>30</v>
      </c>
      <c r="B144" s="167" t="s">
        <v>3335</v>
      </c>
      <c r="C144" s="28">
        <v>1000317405</v>
      </c>
      <c r="D144" s="137" t="s">
        <v>190</v>
      </c>
      <c r="E144" s="137">
        <v>1669115</v>
      </c>
      <c r="F144" s="167" t="s">
        <v>833</v>
      </c>
      <c r="G144" s="166" t="s">
        <v>3348</v>
      </c>
      <c r="H144" s="137" t="s">
        <v>2056</v>
      </c>
      <c r="I144" s="137" t="s">
        <v>2258</v>
      </c>
      <c r="J144" s="137" t="s">
        <v>2050</v>
      </c>
      <c r="K144" s="137" t="s">
        <v>2046</v>
      </c>
      <c r="L144" s="139">
        <f t="shared" si="198"/>
        <v>339775564187</v>
      </c>
      <c r="M144" s="140">
        <f t="shared" si="199"/>
        <v>278182</v>
      </c>
      <c r="N144" s="141">
        <f t="shared" si="200"/>
        <v>1.9394527357397672E-2</v>
      </c>
      <c r="O144" s="141">
        <f t="shared" si="201"/>
        <v>1.7777651610860336E-2</v>
      </c>
      <c r="P144" s="141">
        <f t="shared" si="202"/>
        <v>0.96282782103174203</v>
      </c>
      <c r="Q144" s="140">
        <v>35</v>
      </c>
      <c r="R144" s="139">
        <v>-6589786475</v>
      </c>
      <c r="S144" s="140">
        <v>5827</v>
      </c>
      <c r="T144" s="139">
        <v>-6040411606</v>
      </c>
      <c r="U144" s="140">
        <v>272320</v>
      </c>
      <c r="V144" s="139">
        <v>327145366106</v>
      </c>
    </row>
    <row r="145" spans="1:22" ht="15.95" customHeight="1" x14ac:dyDescent="0.3">
      <c r="A145" s="27">
        <v>30</v>
      </c>
      <c r="B145" s="167" t="s">
        <v>3335</v>
      </c>
      <c r="C145" s="28">
        <v>1000317405</v>
      </c>
      <c r="D145" s="137" t="s">
        <v>190</v>
      </c>
      <c r="E145" s="137">
        <v>1669115</v>
      </c>
      <c r="F145" s="167" t="s">
        <v>833</v>
      </c>
      <c r="G145" s="166" t="s">
        <v>3348</v>
      </c>
      <c r="H145" s="137" t="s">
        <v>2056</v>
      </c>
      <c r="I145" s="137" t="s">
        <v>2258</v>
      </c>
      <c r="J145" s="137" t="s">
        <v>2045</v>
      </c>
      <c r="K145" s="137" t="s">
        <v>2046</v>
      </c>
      <c r="L145" s="139">
        <f t="shared" si="198"/>
        <v>2582667201337</v>
      </c>
      <c r="M145" s="140">
        <f t="shared" si="199"/>
        <v>96235</v>
      </c>
      <c r="N145" s="141">
        <f t="shared" si="200"/>
        <v>5.6392602303774596E-2</v>
      </c>
      <c r="O145" s="141">
        <f t="shared" si="201"/>
        <v>0.28297853273261753</v>
      </c>
      <c r="P145" s="141">
        <f t="shared" si="202"/>
        <v>0.66062886496360784</v>
      </c>
      <c r="Q145" s="140">
        <v>1154</v>
      </c>
      <c r="R145" s="139">
        <v>145643324368</v>
      </c>
      <c r="S145" s="140">
        <v>11171</v>
      </c>
      <c r="T145" s="139">
        <v>730839375171</v>
      </c>
      <c r="U145" s="140">
        <v>83910</v>
      </c>
      <c r="V145" s="139">
        <v>1706184501798</v>
      </c>
    </row>
    <row r="146" spans="1:22" ht="15.95" customHeight="1" x14ac:dyDescent="0.3">
      <c r="A146" s="27">
        <v>30</v>
      </c>
      <c r="B146" s="207" t="s">
        <v>3967</v>
      </c>
      <c r="C146" s="28">
        <v>1000317405</v>
      </c>
      <c r="D146" s="137" t="s">
        <v>190</v>
      </c>
      <c r="E146" s="137">
        <v>1669115</v>
      </c>
      <c r="F146" s="167" t="s">
        <v>833</v>
      </c>
      <c r="G146" s="206" t="s">
        <v>4014</v>
      </c>
      <c r="H146" s="213" t="s">
        <v>3974</v>
      </c>
      <c r="I146" s="137" t="s">
        <v>2258</v>
      </c>
      <c r="J146" s="137" t="s">
        <v>2047</v>
      </c>
      <c r="K146" s="137" t="s">
        <v>2048</v>
      </c>
      <c r="L146" s="139">
        <f t="shared" ref="L146:L147" si="203">ABS(R146)+ABS(T146)+ABS(V146)</f>
        <v>155382890553644</v>
      </c>
      <c r="M146" s="140">
        <f t="shared" ref="M146:M147" si="204">Q146+S146+U146</f>
        <v>3047962</v>
      </c>
      <c r="N146" s="141">
        <f t="shared" ref="N146:N147" si="205">ABS(R146)/$L146</f>
        <v>1.2717478970747963E-3</v>
      </c>
      <c r="O146" s="141">
        <f t="shared" ref="O146:O147" si="206">ABS(T146)/$L146</f>
        <v>0</v>
      </c>
      <c r="P146" s="141">
        <f t="shared" ref="P146:P147" si="207">ABS(V146)/$L146</f>
        <v>0.99872825210292515</v>
      </c>
      <c r="Q146" s="140">
        <v>201</v>
      </c>
      <c r="R146" s="139">
        <v>197607864303</v>
      </c>
      <c r="S146" s="140">
        <v>0</v>
      </c>
      <c r="T146" s="139">
        <v>0</v>
      </c>
      <c r="U146" s="140">
        <v>3047761</v>
      </c>
      <c r="V146" s="139">
        <v>155185282689341</v>
      </c>
    </row>
    <row r="147" spans="1:22" ht="15.95" customHeight="1" x14ac:dyDescent="0.3">
      <c r="A147" s="27">
        <v>30</v>
      </c>
      <c r="B147" s="207" t="s">
        <v>3967</v>
      </c>
      <c r="C147" s="28">
        <v>1000317405</v>
      </c>
      <c r="D147" s="137" t="s">
        <v>190</v>
      </c>
      <c r="E147" s="137">
        <v>1669115</v>
      </c>
      <c r="F147" s="167" t="s">
        <v>833</v>
      </c>
      <c r="G147" s="206" t="s">
        <v>4014</v>
      </c>
      <c r="H147" s="213" t="s">
        <v>3974</v>
      </c>
      <c r="I147" s="137" t="s">
        <v>2258</v>
      </c>
      <c r="J147" s="137" t="s">
        <v>2045</v>
      </c>
      <c r="K147" s="137" t="s">
        <v>2046</v>
      </c>
      <c r="L147" s="139">
        <f t="shared" si="203"/>
        <v>3371929655562</v>
      </c>
      <c r="M147" s="140">
        <f t="shared" si="204"/>
        <v>97343</v>
      </c>
      <c r="N147" s="141">
        <f t="shared" si="205"/>
        <v>5.6594485205888403E-2</v>
      </c>
      <c r="O147" s="141">
        <f t="shared" si="206"/>
        <v>0.30666377739592998</v>
      </c>
      <c r="P147" s="141">
        <f t="shared" si="207"/>
        <v>0.63674173739818163</v>
      </c>
      <c r="Q147" s="140">
        <v>757</v>
      </c>
      <c r="R147" s="139">
        <v>190832623007</v>
      </c>
      <c r="S147" s="140">
        <v>9847</v>
      </c>
      <c r="T147" s="139">
        <v>1034048685288</v>
      </c>
      <c r="U147" s="140">
        <v>86739</v>
      </c>
      <c r="V147" s="139">
        <v>2147048347267</v>
      </c>
    </row>
    <row r="148" spans="1:22" ht="15.95" customHeight="1" x14ac:dyDescent="0.3">
      <c r="A148" s="137">
        <v>33</v>
      </c>
      <c r="B148" s="167" t="s">
        <v>3335</v>
      </c>
      <c r="C148" s="137">
        <v>1000317452</v>
      </c>
      <c r="D148" s="137" t="s">
        <v>3349</v>
      </c>
      <c r="E148" s="137">
        <v>1668840</v>
      </c>
      <c r="F148" s="166" t="s">
        <v>3350</v>
      </c>
      <c r="G148" s="166" t="s">
        <v>3350</v>
      </c>
      <c r="H148" s="137" t="s">
        <v>2056</v>
      </c>
      <c r="I148" s="137" t="s">
        <v>2258</v>
      </c>
      <c r="J148" s="137" t="s">
        <v>2047</v>
      </c>
      <c r="K148" s="137" t="s">
        <v>2048</v>
      </c>
      <c r="L148" s="139">
        <f t="shared" si="198"/>
        <v>102185941000386</v>
      </c>
      <c r="M148" s="140">
        <f t="shared" si="199"/>
        <v>84283898</v>
      </c>
      <c r="N148" s="141">
        <f t="shared" si="200"/>
        <v>2.9121070711094779E-2</v>
      </c>
      <c r="O148" s="141">
        <f t="shared" si="201"/>
        <v>0</v>
      </c>
      <c r="P148" s="141">
        <f t="shared" si="202"/>
        <v>0.97087892928890518</v>
      </c>
      <c r="Q148" s="140">
        <v>152</v>
      </c>
      <c r="R148" s="139">
        <v>2975764013552</v>
      </c>
      <c r="S148" s="140">
        <v>0</v>
      </c>
      <c r="T148" s="139">
        <v>0</v>
      </c>
      <c r="U148" s="140">
        <v>84283746</v>
      </c>
      <c r="V148" s="139">
        <v>99210176986834</v>
      </c>
    </row>
    <row r="149" spans="1:22" ht="15.95" customHeight="1" x14ac:dyDescent="0.3">
      <c r="A149" s="137">
        <v>33</v>
      </c>
      <c r="B149" s="167" t="s">
        <v>3335</v>
      </c>
      <c r="C149" s="137">
        <v>1000317452</v>
      </c>
      <c r="D149" s="137" t="s">
        <v>3349</v>
      </c>
      <c r="E149" s="137">
        <v>1668840</v>
      </c>
      <c r="F149" s="166" t="s">
        <v>3350</v>
      </c>
      <c r="G149" s="166" t="s">
        <v>3350</v>
      </c>
      <c r="H149" s="137" t="s">
        <v>2056</v>
      </c>
      <c r="I149" s="137" t="s">
        <v>2258</v>
      </c>
      <c r="J149" s="137" t="s">
        <v>2045</v>
      </c>
      <c r="K149" s="137" t="s">
        <v>2046</v>
      </c>
      <c r="L149" s="139">
        <f t="shared" si="198"/>
        <v>3109710909349</v>
      </c>
      <c r="M149" s="140">
        <f t="shared" si="199"/>
        <v>257205</v>
      </c>
      <c r="N149" s="141">
        <f t="shared" si="200"/>
        <v>2.0328967491783395E-2</v>
      </c>
      <c r="O149" s="141">
        <f t="shared" si="201"/>
        <v>0.48571552649574129</v>
      </c>
      <c r="P149" s="141">
        <f t="shared" si="202"/>
        <v>0.49395550601247529</v>
      </c>
      <c r="Q149" s="140">
        <v>692</v>
      </c>
      <c r="R149" s="139">
        <v>63217211985</v>
      </c>
      <c r="S149" s="140">
        <v>68634</v>
      </c>
      <c r="T149" s="139">
        <v>1510434871584</v>
      </c>
      <c r="U149" s="140">
        <v>187879</v>
      </c>
      <c r="V149" s="139">
        <v>1536058825780</v>
      </c>
    </row>
    <row r="150" spans="1:22" ht="15.95" customHeight="1" x14ac:dyDescent="0.3">
      <c r="A150" s="137">
        <v>33</v>
      </c>
      <c r="B150" s="207" t="s">
        <v>3967</v>
      </c>
      <c r="C150" s="137">
        <v>1000317452</v>
      </c>
      <c r="D150" s="137" t="s">
        <v>3349</v>
      </c>
      <c r="E150" s="137">
        <v>1668840</v>
      </c>
      <c r="F150" s="166" t="s">
        <v>3350</v>
      </c>
      <c r="G150" s="206" t="s">
        <v>4015</v>
      </c>
      <c r="H150" s="213" t="s">
        <v>3974</v>
      </c>
      <c r="I150" s="137" t="s">
        <v>2258</v>
      </c>
      <c r="J150" s="137" t="s">
        <v>2047</v>
      </c>
      <c r="K150" s="137" t="s">
        <v>2048</v>
      </c>
      <c r="L150" s="139">
        <f t="shared" ref="L150:L151" si="208">ABS(R150)+ABS(T150)+ABS(V150)</f>
        <v>96749252392122</v>
      </c>
      <c r="M150" s="140">
        <f t="shared" ref="M150:M151" si="209">Q150+S150+U150</f>
        <v>88115756</v>
      </c>
      <c r="N150" s="141">
        <f t="shared" ref="N150:N151" si="210">ABS(R150)/$L150</f>
        <v>6.7965984617008122E-3</v>
      </c>
      <c r="O150" s="141">
        <f t="shared" ref="O150:O151" si="211">ABS(T150)/$L150</f>
        <v>0</v>
      </c>
      <c r="P150" s="141">
        <f t="shared" ref="P150:P151" si="212">ABS(V150)/$L150</f>
        <v>0.99320340153829922</v>
      </c>
      <c r="Q150" s="140">
        <v>370</v>
      </c>
      <c r="R150" s="139">
        <v>657565819979</v>
      </c>
      <c r="S150" s="140">
        <v>0</v>
      </c>
      <c r="T150" s="139">
        <v>0</v>
      </c>
      <c r="U150" s="140">
        <v>88115386</v>
      </c>
      <c r="V150" s="139">
        <v>96091686572143</v>
      </c>
    </row>
    <row r="151" spans="1:22" ht="15.95" customHeight="1" x14ac:dyDescent="0.3">
      <c r="A151" s="137">
        <v>33</v>
      </c>
      <c r="B151" s="207" t="s">
        <v>3967</v>
      </c>
      <c r="C151" s="137">
        <v>1000317452</v>
      </c>
      <c r="D151" s="137" t="s">
        <v>3349</v>
      </c>
      <c r="E151" s="137">
        <v>1668840</v>
      </c>
      <c r="F151" s="166" t="s">
        <v>3350</v>
      </c>
      <c r="G151" s="206" t="s">
        <v>4015</v>
      </c>
      <c r="H151" s="213" t="s">
        <v>3974</v>
      </c>
      <c r="I151" s="137" t="s">
        <v>2258</v>
      </c>
      <c r="J151" s="137" t="s">
        <v>2045</v>
      </c>
      <c r="K151" s="137" t="s">
        <v>2046</v>
      </c>
      <c r="L151" s="139">
        <f t="shared" si="208"/>
        <v>3177307721907</v>
      </c>
      <c r="M151" s="140">
        <f t="shared" si="209"/>
        <v>245206</v>
      </c>
      <c r="N151" s="141">
        <f t="shared" si="210"/>
        <v>3.4609275741475903E-2</v>
      </c>
      <c r="O151" s="141">
        <f t="shared" si="211"/>
        <v>0.44752758221213929</v>
      </c>
      <c r="P151" s="141">
        <f t="shared" si="212"/>
        <v>0.51786314204638484</v>
      </c>
      <c r="Q151" s="140">
        <v>561</v>
      </c>
      <c r="R151" s="139">
        <v>109964319063</v>
      </c>
      <c r="S151" s="140">
        <v>92042</v>
      </c>
      <c r="T151" s="139">
        <v>1421932842729</v>
      </c>
      <c r="U151" s="140">
        <v>152603</v>
      </c>
      <c r="V151" s="139">
        <v>1645410560115</v>
      </c>
    </row>
    <row r="152" spans="1:22" ht="15.95" customHeight="1" x14ac:dyDescent="0.3">
      <c r="A152" s="137">
        <v>34</v>
      </c>
      <c r="B152" s="167" t="s">
        <v>3335</v>
      </c>
      <c r="C152" s="137">
        <v>1000317380</v>
      </c>
      <c r="D152" s="137" t="s">
        <v>1593</v>
      </c>
      <c r="E152" s="137">
        <v>1667049</v>
      </c>
      <c r="F152" s="166" t="s">
        <v>3351</v>
      </c>
      <c r="G152" s="166" t="s">
        <v>3352</v>
      </c>
      <c r="H152" s="137" t="s">
        <v>2056</v>
      </c>
      <c r="I152" s="137" t="s">
        <v>2258</v>
      </c>
      <c r="J152" s="137" t="s">
        <v>2047</v>
      </c>
      <c r="K152" s="137" t="s">
        <v>2048</v>
      </c>
      <c r="L152" s="139">
        <f t="shared" ref="L152:L154" si="213">ABS(R152)+ABS(T152)+ABS(V152)</f>
        <v>39971310728254</v>
      </c>
      <c r="M152" s="140">
        <f t="shared" ref="M152:M154" si="214">Q152+S152+U152</f>
        <v>1231985</v>
      </c>
      <c r="N152" s="141">
        <f t="shared" ref="N152:N154" si="215">ABS(R152)/$L152</f>
        <v>5.4915782577237568E-3</v>
      </c>
      <c r="O152" s="141">
        <f t="shared" ref="O152:O154" si="216">ABS(T152)/$L152</f>
        <v>0</v>
      </c>
      <c r="P152" s="141">
        <f t="shared" ref="P152:P154" si="217">ABS(V152)/$L152</f>
        <v>0.99450842174227627</v>
      </c>
      <c r="Q152" s="140">
        <v>5</v>
      </c>
      <c r="R152" s="139">
        <v>219505580928</v>
      </c>
      <c r="S152" s="140">
        <v>0</v>
      </c>
      <c r="T152" s="139">
        <v>0</v>
      </c>
      <c r="U152" s="140">
        <v>1231980</v>
      </c>
      <c r="V152" s="139">
        <v>39751805147326</v>
      </c>
    </row>
    <row r="153" spans="1:22" ht="15.95" customHeight="1" x14ac:dyDescent="0.3">
      <c r="A153" s="137">
        <v>34</v>
      </c>
      <c r="B153" s="167" t="s">
        <v>3335</v>
      </c>
      <c r="C153" s="137">
        <v>1000317380</v>
      </c>
      <c r="D153" s="137" t="s">
        <v>1593</v>
      </c>
      <c r="E153" s="137">
        <v>1667049</v>
      </c>
      <c r="F153" s="166" t="s">
        <v>3351</v>
      </c>
      <c r="G153" s="166" t="s">
        <v>3352</v>
      </c>
      <c r="H153" s="137" t="s">
        <v>2056</v>
      </c>
      <c r="I153" s="137" t="s">
        <v>2258</v>
      </c>
      <c r="J153" s="137" t="s">
        <v>2050</v>
      </c>
      <c r="K153" s="137" t="s">
        <v>2046</v>
      </c>
      <c r="L153" s="139">
        <f t="shared" si="213"/>
        <v>47683755891</v>
      </c>
      <c r="M153" s="140">
        <f t="shared" si="214"/>
        <v>19314</v>
      </c>
      <c r="N153" s="141">
        <f t="shared" si="215"/>
        <v>2.8991644306712943E-3</v>
      </c>
      <c r="O153" s="141">
        <f t="shared" si="216"/>
        <v>0.36789566073823182</v>
      </c>
      <c r="P153" s="141">
        <f t="shared" si="217"/>
        <v>0.62920517483109684</v>
      </c>
      <c r="Q153" s="140">
        <v>105</v>
      </c>
      <c r="R153" s="139">
        <v>-138243049</v>
      </c>
      <c r="S153" s="140">
        <v>2106</v>
      </c>
      <c r="T153" s="139">
        <v>17542646880</v>
      </c>
      <c r="U153" s="140">
        <v>17103</v>
      </c>
      <c r="V153" s="139">
        <v>30002865962</v>
      </c>
    </row>
    <row r="154" spans="1:22" ht="15.95" customHeight="1" x14ac:dyDescent="0.3">
      <c r="A154" s="137">
        <v>34</v>
      </c>
      <c r="B154" s="167" t="s">
        <v>3335</v>
      </c>
      <c r="C154" s="137">
        <v>1000317380</v>
      </c>
      <c r="D154" s="137" t="s">
        <v>1593</v>
      </c>
      <c r="E154" s="137">
        <v>1667049</v>
      </c>
      <c r="F154" s="166" t="s">
        <v>3351</v>
      </c>
      <c r="G154" s="166" t="s">
        <v>3352</v>
      </c>
      <c r="H154" s="137" t="s">
        <v>2056</v>
      </c>
      <c r="I154" s="137" t="s">
        <v>2258</v>
      </c>
      <c r="J154" s="137" t="s">
        <v>2045</v>
      </c>
      <c r="K154" s="137" t="s">
        <v>2046</v>
      </c>
      <c r="L154" s="139">
        <f t="shared" si="213"/>
        <v>991710199394</v>
      </c>
      <c r="M154" s="140">
        <f t="shared" si="214"/>
        <v>1651</v>
      </c>
      <c r="N154" s="141">
        <f t="shared" si="215"/>
        <v>0</v>
      </c>
      <c r="O154" s="141">
        <f t="shared" si="216"/>
        <v>4.3442023087315089E-2</v>
      </c>
      <c r="P154" s="141">
        <f t="shared" si="217"/>
        <v>0.95655797691268496</v>
      </c>
      <c r="Q154" s="140">
        <v>0</v>
      </c>
      <c r="R154" s="139">
        <v>0</v>
      </c>
      <c r="S154" s="140">
        <v>18</v>
      </c>
      <c r="T154" s="139">
        <v>43081897378</v>
      </c>
      <c r="U154" s="140">
        <v>1633</v>
      </c>
      <c r="V154" s="139">
        <v>948628302016</v>
      </c>
    </row>
    <row r="155" spans="1:22" ht="15.95" customHeight="1" x14ac:dyDescent="0.3">
      <c r="A155" s="137">
        <v>34</v>
      </c>
      <c r="B155" s="207" t="s">
        <v>3967</v>
      </c>
      <c r="C155" s="137">
        <v>1000317380</v>
      </c>
      <c r="D155" s="137" t="s">
        <v>1593</v>
      </c>
      <c r="E155" s="137">
        <v>1667049</v>
      </c>
      <c r="F155" s="166" t="s">
        <v>3351</v>
      </c>
      <c r="G155" s="206" t="s">
        <v>4016</v>
      </c>
      <c r="H155" s="213" t="s">
        <v>3974</v>
      </c>
      <c r="I155" s="137" t="s">
        <v>2258</v>
      </c>
      <c r="J155" s="137" t="s">
        <v>2047</v>
      </c>
      <c r="K155" s="137" t="s">
        <v>2048</v>
      </c>
      <c r="L155" s="139">
        <f t="shared" ref="L155:L157" si="218">ABS(R155)+ABS(T155)+ABS(V155)</f>
        <v>428790286917254</v>
      </c>
      <c r="M155" s="140">
        <f t="shared" ref="M155:M157" si="219">Q155+S155+U155</f>
        <v>1410639</v>
      </c>
      <c r="N155" s="141">
        <f t="shared" ref="N155:N157" si="220">ABS(R155)/$L155</f>
        <v>1.7289567600771336E-3</v>
      </c>
      <c r="O155" s="141">
        <f t="shared" ref="O155:O157" si="221">ABS(T155)/$L155</f>
        <v>0</v>
      </c>
      <c r="P155" s="141">
        <f t="shared" ref="P155:P157" si="222">ABS(V155)/$L155</f>
        <v>0.99827104323992288</v>
      </c>
      <c r="Q155" s="140">
        <v>12</v>
      </c>
      <c r="R155" s="139">
        <v>741359865221</v>
      </c>
      <c r="S155" s="140">
        <v>0</v>
      </c>
      <c r="T155" s="139">
        <v>0</v>
      </c>
      <c r="U155" s="140">
        <v>1410627</v>
      </c>
      <c r="V155" s="139">
        <v>428048927052033</v>
      </c>
    </row>
    <row r="156" spans="1:22" ht="15.95" customHeight="1" x14ac:dyDescent="0.3">
      <c r="A156" s="137">
        <v>34</v>
      </c>
      <c r="B156" s="207" t="s">
        <v>3967</v>
      </c>
      <c r="C156" s="137">
        <v>1000317380</v>
      </c>
      <c r="D156" s="137" t="s">
        <v>1593</v>
      </c>
      <c r="E156" s="137">
        <v>1667049</v>
      </c>
      <c r="F156" s="166" t="s">
        <v>3351</v>
      </c>
      <c r="G156" s="206" t="s">
        <v>4016</v>
      </c>
      <c r="H156" s="213" t="s">
        <v>3974</v>
      </c>
      <c r="I156" s="137" t="s">
        <v>2258</v>
      </c>
      <c r="J156" s="137" t="s">
        <v>2050</v>
      </c>
      <c r="K156" s="137" t="s">
        <v>2046</v>
      </c>
      <c r="L156" s="139">
        <f t="shared" si="218"/>
        <v>122852791260</v>
      </c>
      <c r="M156" s="140">
        <f t="shared" si="219"/>
        <v>20451</v>
      </c>
      <c r="N156" s="141">
        <f t="shared" si="220"/>
        <v>6.0529671485137729E-2</v>
      </c>
      <c r="O156" s="141">
        <f t="shared" si="221"/>
        <v>0.24703863998311568</v>
      </c>
      <c r="P156" s="141">
        <f t="shared" si="222"/>
        <v>0.69243168853174664</v>
      </c>
      <c r="Q156" s="140">
        <v>3</v>
      </c>
      <c r="R156" s="139">
        <v>7436239096</v>
      </c>
      <c r="S156" s="140">
        <v>523</v>
      </c>
      <c r="T156" s="139">
        <v>30349386471</v>
      </c>
      <c r="U156" s="140">
        <v>19925</v>
      </c>
      <c r="V156" s="139">
        <v>85067165693</v>
      </c>
    </row>
    <row r="157" spans="1:22" ht="15.95" customHeight="1" x14ac:dyDescent="0.3">
      <c r="A157" s="137">
        <v>34</v>
      </c>
      <c r="B157" s="207" t="s">
        <v>3967</v>
      </c>
      <c r="C157" s="137">
        <v>1000317380</v>
      </c>
      <c r="D157" s="137" t="s">
        <v>1593</v>
      </c>
      <c r="E157" s="137">
        <v>1667049</v>
      </c>
      <c r="F157" s="166" t="s">
        <v>3351</v>
      </c>
      <c r="G157" s="206" t="s">
        <v>4016</v>
      </c>
      <c r="H157" s="213" t="s">
        <v>3974</v>
      </c>
      <c r="I157" s="137" t="s">
        <v>2258</v>
      </c>
      <c r="J157" s="137" t="s">
        <v>2045</v>
      </c>
      <c r="K157" s="137" t="s">
        <v>2046</v>
      </c>
      <c r="L157" s="139">
        <f t="shared" si="218"/>
        <v>1603141171312</v>
      </c>
      <c r="M157" s="140">
        <f t="shared" si="219"/>
        <v>4131</v>
      </c>
      <c r="N157" s="141">
        <f t="shared" si="220"/>
        <v>0</v>
      </c>
      <c r="O157" s="141">
        <f t="shared" si="221"/>
        <v>7.9518667471855584E-2</v>
      </c>
      <c r="P157" s="141">
        <f t="shared" si="222"/>
        <v>0.92048133252814446</v>
      </c>
      <c r="Q157" s="140">
        <v>0</v>
      </c>
      <c r="R157" s="139">
        <v>0</v>
      </c>
      <c r="S157" s="140">
        <v>45</v>
      </c>
      <c r="T157" s="139">
        <v>127479649712</v>
      </c>
      <c r="U157" s="140">
        <v>4086</v>
      </c>
      <c r="V157" s="139">
        <v>1475661521600</v>
      </c>
    </row>
    <row r="158" spans="1:22" ht="15.95" customHeight="1" x14ac:dyDescent="0.3">
      <c r="A158" s="137">
        <v>37</v>
      </c>
      <c r="B158" s="167" t="s">
        <v>3335</v>
      </c>
      <c r="C158" s="137">
        <v>1000316385</v>
      </c>
      <c r="D158" s="137" t="s">
        <v>3353</v>
      </c>
      <c r="E158" s="137">
        <v>1669178</v>
      </c>
      <c r="F158" s="166" t="s">
        <v>3265</v>
      </c>
      <c r="G158" s="166" t="s">
        <v>3354</v>
      </c>
      <c r="H158" s="137" t="s">
        <v>2056</v>
      </c>
      <c r="I158" s="137" t="s">
        <v>2258</v>
      </c>
      <c r="J158" s="137" t="s">
        <v>2047</v>
      </c>
      <c r="K158" s="137" t="s">
        <v>2048</v>
      </c>
      <c r="L158" s="139">
        <f t="shared" ref="L158:L160" si="223">ABS(R158)+ABS(T158)+ABS(V158)</f>
        <v>30164541943208</v>
      </c>
      <c r="M158" s="140">
        <f t="shared" ref="M158:M160" si="224">Q158+S158+U158</f>
        <v>502608</v>
      </c>
      <c r="N158" s="141">
        <f t="shared" ref="N158:N160" si="225">ABS(R158)/$L158</f>
        <v>1.778796930350258E-3</v>
      </c>
      <c r="O158" s="141">
        <f t="shared" ref="O158:O160" si="226">ABS(T158)/$L158</f>
        <v>0</v>
      </c>
      <c r="P158" s="141">
        <f t="shared" ref="P158:P160" si="227">ABS(V158)/$L158</f>
        <v>0.99822120306964979</v>
      </c>
      <c r="Q158" s="140">
        <v>4</v>
      </c>
      <c r="R158" s="139">
        <v>53656594614</v>
      </c>
      <c r="S158" s="140">
        <v>0</v>
      </c>
      <c r="T158" s="139">
        <v>0</v>
      </c>
      <c r="U158" s="140">
        <v>502604</v>
      </c>
      <c r="V158" s="139">
        <v>30110885348594</v>
      </c>
    </row>
    <row r="159" spans="1:22" ht="15.95" customHeight="1" x14ac:dyDescent="0.3">
      <c r="A159" s="137">
        <v>37</v>
      </c>
      <c r="B159" s="167" t="s">
        <v>3335</v>
      </c>
      <c r="C159" s="137">
        <v>1000316385</v>
      </c>
      <c r="D159" s="137" t="s">
        <v>3353</v>
      </c>
      <c r="E159" s="137">
        <v>1669178</v>
      </c>
      <c r="F159" s="166" t="s">
        <v>3265</v>
      </c>
      <c r="G159" s="166" t="s">
        <v>3354</v>
      </c>
      <c r="H159" s="137" t="s">
        <v>2056</v>
      </c>
      <c r="I159" s="137" t="s">
        <v>2258</v>
      </c>
      <c r="J159" s="137" t="s">
        <v>2050</v>
      </c>
      <c r="K159" s="137" t="s">
        <v>2046</v>
      </c>
      <c r="L159" s="139">
        <f t="shared" si="223"/>
        <v>888390084518</v>
      </c>
      <c r="M159" s="140">
        <f t="shared" si="224"/>
        <v>25272</v>
      </c>
      <c r="N159" s="141">
        <f t="shared" si="225"/>
        <v>0.13012211812080146</v>
      </c>
      <c r="O159" s="141">
        <f t="shared" si="226"/>
        <v>0.40505127564006382</v>
      </c>
      <c r="P159" s="141">
        <f t="shared" si="227"/>
        <v>0.46482660623913474</v>
      </c>
      <c r="Q159" s="140">
        <v>113</v>
      </c>
      <c r="R159" s="139">
        <v>115599199515</v>
      </c>
      <c r="S159" s="140">
        <v>559</v>
      </c>
      <c r="T159" s="139">
        <v>359843537000</v>
      </c>
      <c r="U159" s="140">
        <v>24600</v>
      </c>
      <c r="V159" s="139">
        <v>412947348003</v>
      </c>
    </row>
    <row r="160" spans="1:22" ht="15.95" customHeight="1" x14ac:dyDescent="0.3">
      <c r="A160" s="137">
        <v>37</v>
      </c>
      <c r="B160" s="167" t="s">
        <v>3335</v>
      </c>
      <c r="C160" s="137">
        <v>1000316385</v>
      </c>
      <c r="D160" s="137" t="s">
        <v>3353</v>
      </c>
      <c r="E160" s="137">
        <v>1669178</v>
      </c>
      <c r="F160" s="166" t="s">
        <v>3265</v>
      </c>
      <c r="G160" s="166" t="s">
        <v>3354</v>
      </c>
      <c r="H160" s="137" t="s">
        <v>2056</v>
      </c>
      <c r="I160" s="137" t="s">
        <v>2258</v>
      </c>
      <c r="J160" s="137" t="s">
        <v>2045</v>
      </c>
      <c r="K160" s="137" t="s">
        <v>2046</v>
      </c>
      <c r="L160" s="139">
        <f t="shared" si="223"/>
        <v>440971941670</v>
      </c>
      <c r="M160" s="140">
        <f t="shared" si="224"/>
        <v>2783</v>
      </c>
      <c r="N160" s="141">
        <f t="shared" si="225"/>
        <v>1.5466889390219013E-2</v>
      </c>
      <c r="O160" s="141">
        <f t="shared" si="226"/>
        <v>0.2094030543061241</v>
      </c>
      <c r="P160" s="141">
        <f t="shared" si="227"/>
        <v>0.77513005630365683</v>
      </c>
      <c r="Q160" s="140">
        <v>21</v>
      </c>
      <c r="R160" s="139">
        <v>6820464246</v>
      </c>
      <c r="S160" s="140">
        <v>198</v>
      </c>
      <c r="T160" s="139">
        <v>92340871449</v>
      </c>
      <c r="U160" s="140">
        <v>2564</v>
      </c>
      <c r="V160" s="139">
        <v>341810605975</v>
      </c>
    </row>
    <row r="161" spans="1:22" ht="15.95" customHeight="1" x14ac:dyDescent="0.3">
      <c r="A161" s="137">
        <v>38</v>
      </c>
      <c r="B161" s="167" t="s">
        <v>3335</v>
      </c>
      <c r="C161" s="137">
        <v>1000850087</v>
      </c>
      <c r="D161" s="137" t="s">
        <v>3355</v>
      </c>
      <c r="E161" s="137">
        <v>1666343</v>
      </c>
      <c r="F161" s="166" t="s">
        <v>3255</v>
      </c>
      <c r="G161" s="166" t="s">
        <v>3356</v>
      </c>
      <c r="H161" s="137" t="s">
        <v>2056</v>
      </c>
      <c r="I161" s="137" t="s">
        <v>2258</v>
      </c>
      <c r="J161" s="137" t="s">
        <v>2047</v>
      </c>
      <c r="K161" s="137" t="s">
        <v>2048</v>
      </c>
      <c r="L161" s="139">
        <f t="shared" ref="L161:L162" si="228">ABS(R161)+ABS(T161)+ABS(V161)</f>
        <v>31723683541894</v>
      </c>
      <c r="M161" s="140">
        <f t="shared" ref="M161:M162" si="229">Q161+S161+U161</f>
        <v>1255732</v>
      </c>
      <c r="N161" s="141">
        <f t="shared" ref="N161:N162" si="230">ABS(R161)/$L161</f>
        <v>3.1262386878254337E-3</v>
      </c>
      <c r="O161" s="141">
        <f t="shared" ref="O161:O162" si="231">ABS(T161)/$L161</f>
        <v>0</v>
      </c>
      <c r="P161" s="141">
        <f t="shared" ref="P161:P162" si="232">ABS(V161)/$L161</f>
        <v>0.99687376131217453</v>
      </c>
      <c r="Q161" s="140">
        <v>20</v>
      </c>
      <c r="R161" s="139">
        <v>99175806809</v>
      </c>
      <c r="S161" s="140">
        <v>0</v>
      </c>
      <c r="T161" s="139">
        <v>0</v>
      </c>
      <c r="U161" s="140">
        <v>1255712</v>
      </c>
      <c r="V161" s="139">
        <v>31624507735085</v>
      </c>
    </row>
    <row r="162" spans="1:22" ht="15.95" customHeight="1" x14ac:dyDescent="0.3">
      <c r="A162" s="137">
        <v>38</v>
      </c>
      <c r="B162" s="167" t="s">
        <v>3335</v>
      </c>
      <c r="C162" s="137">
        <v>1000850087</v>
      </c>
      <c r="D162" s="137" t="s">
        <v>3355</v>
      </c>
      <c r="E162" s="137">
        <v>1666343</v>
      </c>
      <c r="F162" s="166" t="s">
        <v>3255</v>
      </c>
      <c r="G162" s="166" t="s">
        <v>3356</v>
      </c>
      <c r="H162" s="137" t="s">
        <v>2056</v>
      </c>
      <c r="I162" s="137" t="s">
        <v>2258</v>
      </c>
      <c r="J162" s="137" t="s">
        <v>2045</v>
      </c>
      <c r="K162" s="137" t="s">
        <v>2046</v>
      </c>
      <c r="L162" s="139">
        <f t="shared" si="228"/>
        <v>635782969411</v>
      </c>
      <c r="M162" s="140">
        <f t="shared" si="229"/>
        <v>10370</v>
      </c>
      <c r="N162" s="141">
        <f t="shared" si="230"/>
        <v>5.7900786274762223E-2</v>
      </c>
      <c r="O162" s="141">
        <f t="shared" si="231"/>
        <v>0.19508099445775137</v>
      </c>
      <c r="P162" s="141">
        <f t="shared" si="232"/>
        <v>0.74701821926748635</v>
      </c>
      <c r="Q162" s="140">
        <v>52</v>
      </c>
      <c r="R162" s="139">
        <v>36812333829</v>
      </c>
      <c r="S162" s="140">
        <v>961</v>
      </c>
      <c r="T162" s="139">
        <v>124029173932</v>
      </c>
      <c r="U162" s="140">
        <v>9357</v>
      </c>
      <c r="V162" s="139">
        <v>474941461650</v>
      </c>
    </row>
    <row r="163" spans="1:22" ht="15.95" customHeight="1" x14ac:dyDescent="0.3">
      <c r="A163" s="137">
        <v>41</v>
      </c>
      <c r="B163" s="167" t="s">
        <v>3333</v>
      </c>
      <c r="C163" s="137">
        <v>1000314612</v>
      </c>
      <c r="D163" s="137" t="s">
        <v>3357</v>
      </c>
      <c r="E163" s="137">
        <v>1661221</v>
      </c>
      <c r="F163" s="166" t="s">
        <v>3266</v>
      </c>
      <c r="G163" s="166" t="s">
        <v>3358</v>
      </c>
      <c r="H163" s="167" t="s">
        <v>3334</v>
      </c>
      <c r="I163" s="137" t="s">
        <v>2258</v>
      </c>
      <c r="J163" s="137" t="s">
        <v>2047</v>
      </c>
      <c r="K163" s="137" t="s">
        <v>2048</v>
      </c>
      <c r="L163" s="139">
        <f t="shared" ref="L163:L165" si="233">ABS(R163)+ABS(T163)+ABS(V163)</f>
        <v>40966729997152</v>
      </c>
      <c r="M163" s="140">
        <f t="shared" ref="M163:M165" si="234">Q163+S163+U163</f>
        <v>12776003</v>
      </c>
      <c r="N163" s="141">
        <f t="shared" ref="N163:N165" si="235">ABS(R163)/$L163</f>
        <v>4.8983351037280853E-4</v>
      </c>
      <c r="O163" s="141">
        <f t="shared" ref="O163:O165" si="236">ABS(T163)/$L163</f>
        <v>0</v>
      </c>
      <c r="P163" s="141">
        <f t="shared" ref="P163:P165" si="237">ABS(V163)/$L163</f>
        <v>0.99951016648962721</v>
      </c>
      <c r="Q163" s="140">
        <v>95</v>
      </c>
      <c r="R163" s="139">
        <v>20066877163</v>
      </c>
      <c r="S163" s="140">
        <v>0</v>
      </c>
      <c r="T163" s="139">
        <v>0</v>
      </c>
      <c r="U163" s="140">
        <v>12775908</v>
      </c>
      <c r="V163" s="139">
        <v>40946663119989</v>
      </c>
    </row>
    <row r="164" spans="1:22" ht="15.95" customHeight="1" x14ac:dyDescent="0.3">
      <c r="A164" s="137">
        <v>41</v>
      </c>
      <c r="B164" s="167" t="s">
        <v>3333</v>
      </c>
      <c r="C164" s="137">
        <v>1000314612</v>
      </c>
      <c r="D164" s="137" t="s">
        <v>3357</v>
      </c>
      <c r="E164" s="137">
        <v>1661221</v>
      </c>
      <c r="F164" s="166" t="s">
        <v>3266</v>
      </c>
      <c r="G164" s="166" t="s">
        <v>3358</v>
      </c>
      <c r="H164" s="167" t="s">
        <v>3334</v>
      </c>
      <c r="I164" s="137" t="s">
        <v>2258</v>
      </c>
      <c r="J164" s="137" t="s">
        <v>2050</v>
      </c>
      <c r="K164" s="137" t="s">
        <v>2046</v>
      </c>
      <c r="L164" s="139">
        <f t="shared" si="233"/>
        <v>237906219691</v>
      </c>
      <c r="M164" s="140">
        <f t="shared" si="234"/>
        <v>120599</v>
      </c>
      <c r="N164" s="141">
        <f t="shared" si="235"/>
        <v>8.4615888294750381E-3</v>
      </c>
      <c r="O164" s="141">
        <f t="shared" si="236"/>
        <v>0.15895203283090362</v>
      </c>
      <c r="P164" s="141">
        <f t="shared" si="237"/>
        <v>0.83258637833962135</v>
      </c>
      <c r="Q164" s="140">
        <v>113</v>
      </c>
      <c r="R164" s="139">
        <v>-2013064611</v>
      </c>
      <c r="S164" s="140">
        <v>4249</v>
      </c>
      <c r="T164" s="139">
        <v>37815677243</v>
      </c>
      <c r="U164" s="140">
        <v>116237</v>
      </c>
      <c r="V164" s="139">
        <v>198077477837</v>
      </c>
    </row>
    <row r="165" spans="1:22" ht="15.95" customHeight="1" x14ac:dyDescent="0.3">
      <c r="A165" s="137">
        <v>41</v>
      </c>
      <c r="B165" s="167" t="s">
        <v>3333</v>
      </c>
      <c r="C165" s="137">
        <v>1000314612</v>
      </c>
      <c r="D165" s="137" t="s">
        <v>3357</v>
      </c>
      <c r="E165" s="137">
        <v>1661221</v>
      </c>
      <c r="F165" s="166" t="s">
        <v>3266</v>
      </c>
      <c r="G165" s="166" t="s">
        <v>3358</v>
      </c>
      <c r="H165" s="167" t="s">
        <v>3334</v>
      </c>
      <c r="I165" s="137" t="s">
        <v>2258</v>
      </c>
      <c r="J165" s="137" t="s">
        <v>2045</v>
      </c>
      <c r="K165" s="137" t="s">
        <v>2046</v>
      </c>
      <c r="L165" s="139">
        <f t="shared" si="233"/>
        <v>455331084799</v>
      </c>
      <c r="M165" s="140">
        <f t="shared" si="234"/>
        <v>158657</v>
      </c>
      <c r="N165" s="141">
        <f t="shared" si="235"/>
        <v>2.9474398098527262E-3</v>
      </c>
      <c r="O165" s="141">
        <f t="shared" si="236"/>
        <v>0.32785020080914945</v>
      </c>
      <c r="P165" s="141">
        <f t="shared" si="237"/>
        <v>0.66920235938099781</v>
      </c>
      <c r="Q165" s="140">
        <v>120</v>
      </c>
      <c r="R165" s="139">
        <v>1342060966</v>
      </c>
      <c r="S165" s="140">
        <v>10746</v>
      </c>
      <c r="T165" s="139">
        <v>149280387586</v>
      </c>
      <c r="U165" s="140">
        <v>147791</v>
      </c>
      <c r="V165" s="139">
        <v>304708636247</v>
      </c>
    </row>
    <row r="166" spans="1:22" ht="15.95" customHeight="1" x14ac:dyDescent="0.3">
      <c r="A166" s="137">
        <v>42</v>
      </c>
      <c r="B166" s="167" t="s">
        <v>3335</v>
      </c>
      <c r="C166" s="137">
        <v>1000322973</v>
      </c>
      <c r="D166" s="137" t="s">
        <v>3359</v>
      </c>
      <c r="E166" s="137">
        <v>1660759</v>
      </c>
      <c r="F166" s="166" t="s">
        <v>3267</v>
      </c>
      <c r="G166" s="166" t="s">
        <v>3360</v>
      </c>
      <c r="H166" s="137" t="s">
        <v>2056</v>
      </c>
      <c r="I166" s="137" t="s">
        <v>2258</v>
      </c>
      <c r="J166" s="167" t="s">
        <v>2111</v>
      </c>
      <c r="K166" s="137" t="s">
        <v>2046</v>
      </c>
      <c r="L166" s="139">
        <f t="shared" ref="L166:L167" si="238">ABS(R166)+ABS(T166)+ABS(V166)</f>
        <v>271821244699</v>
      </c>
      <c r="M166" s="140">
        <f t="shared" ref="M166:M167" si="239">Q166+S166+U166</f>
        <v>16446</v>
      </c>
      <c r="N166" s="141">
        <f t="shared" ref="N166:N167" si="240">ABS(R166)/$L166</f>
        <v>3.9506638040347063E-2</v>
      </c>
      <c r="O166" s="141">
        <f t="shared" ref="O166:O167" si="241">ABS(T166)/$L166</f>
        <v>3.4256914216956556E-2</v>
      </c>
      <c r="P166" s="141">
        <f t="shared" ref="P166:P167" si="242">ABS(V166)/$L166</f>
        <v>0.92623644774269642</v>
      </c>
      <c r="Q166" s="140">
        <v>61</v>
      </c>
      <c r="R166" s="139">
        <v>10738743526</v>
      </c>
      <c r="S166" s="140">
        <v>368</v>
      </c>
      <c r="T166" s="139">
        <v>9311757062</v>
      </c>
      <c r="U166" s="140">
        <v>16017</v>
      </c>
      <c r="V166" s="139">
        <v>251770744111</v>
      </c>
    </row>
    <row r="167" spans="1:22" ht="15.95" customHeight="1" x14ac:dyDescent="0.3">
      <c r="A167" s="137">
        <v>42</v>
      </c>
      <c r="B167" s="167" t="s">
        <v>3335</v>
      </c>
      <c r="C167" s="137">
        <v>1000322973</v>
      </c>
      <c r="D167" s="137" t="s">
        <v>3359</v>
      </c>
      <c r="E167" s="137">
        <v>1660759</v>
      </c>
      <c r="F167" s="166" t="s">
        <v>3267</v>
      </c>
      <c r="G167" s="166" t="s">
        <v>3360</v>
      </c>
      <c r="H167" s="137" t="s">
        <v>2056</v>
      </c>
      <c r="I167" s="137" t="s">
        <v>2258</v>
      </c>
      <c r="J167" s="137" t="s">
        <v>2047</v>
      </c>
      <c r="K167" s="137" t="s">
        <v>2048</v>
      </c>
      <c r="L167" s="139">
        <f t="shared" si="238"/>
        <v>13977600665472</v>
      </c>
      <c r="M167" s="140">
        <f t="shared" si="239"/>
        <v>477202</v>
      </c>
      <c r="N167" s="141">
        <f t="shared" si="240"/>
        <v>5.2173766903461181E-3</v>
      </c>
      <c r="O167" s="141">
        <f t="shared" si="241"/>
        <v>0</v>
      </c>
      <c r="P167" s="141">
        <f t="shared" si="242"/>
        <v>0.99478262330965384</v>
      </c>
      <c r="Q167" s="140">
        <v>4</v>
      </c>
      <c r="R167" s="139">
        <v>72926407899</v>
      </c>
      <c r="S167" s="140">
        <v>0</v>
      </c>
      <c r="T167" s="139">
        <v>0</v>
      </c>
      <c r="U167" s="140">
        <v>477198</v>
      </c>
      <c r="V167" s="139">
        <v>13904674257573</v>
      </c>
    </row>
    <row r="168" spans="1:22" ht="15.95" customHeight="1" x14ac:dyDescent="0.3">
      <c r="A168" s="137">
        <v>43</v>
      </c>
      <c r="B168" s="167" t="s">
        <v>3335</v>
      </c>
      <c r="C168" s="137">
        <v>1000314998</v>
      </c>
      <c r="D168" s="137" t="s">
        <v>3361</v>
      </c>
      <c r="E168" s="137">
        <v>1665498</v>
      </c>
      <c r="F168" s="166" t="s">
        <v>3268</v>
      </c>
      <c r="G168" s="166" t="s">
        <v>3362</v>
      </c>
      <c r="H168" s="137" t="s">
        <v>2056</v>
      </c>
      <c r="I168" s="137" t="s">
        <v>2258</v>
      </c>
      <c r="J168" s="137" t="s">
        <v>2047</v>
      </c>
      <c r="K168" s="137" t="s">
        <v>2048</v>
      </c>
      <c r="L168" s="139">
        <f t="shared" ref="L168:L169" si="243">ABS(R168)+ABS(T168)+ABS(V168)</f>
        <v>139876305476960</v>
      </c>
      <c r="M168" s="140">
        <f t="shared" ref="M168:M169" si="244">Q168+S168+U168</f>
        <v>6000222</v>
      </c>
      <c r="N168" s="141">
        <f t="shared" ref="N168:N169" si="245">ABS(R168)/$L168</f>
        <v>3.7235274424358461E-3</v>
      </c>
      <c r="O168" s="141">
        <f t="shared" ref="O168:O169" si="246">ABS(T168)/$L168</f>
        <v>0</v>
      </c>
      <c r="P168" s="141">
        <f t="shared" ref="P168:P169" si="247">ABS(V168)/$L168</f>
        <v>0.99627647255756413</v>
      </c>
      <c r="Q168" s="140">
        <v>15</v>
      </c>
      <c r="R168" s="139">
        <v>520833261990</v>
      </c>
      <c r="S168" s="140">
        <v>0</v>
      </c>
      <c r="T168" s="139">
        <v>0</v>
      </c>
      <c r="U168" s="140">
        <v>6000207</v>
      </c>
      <c r="V168" s="139">
        <v>139355472214970</v>
      </c>
    </row>
    <row r="169" spans="1:22" ht="15.95" customHeight="1" x14ac:dyDescent="0.3">
      <c r="A169" s="137">
        <v>43</v>
      </c>
      <c r="B169" s="167" t="s">
        <v>3335</v>
      </c>
      <c r="C169" s="137">
        <v>1000314998</v>
      </c>
      <c r="D169" s="137" t="s">
        <v>3361</v>
      </c>
      <c r="E169" s="137">
        <v>1665498</v>
      </c>
      <c r="F169" s="166" t="s">
        <v>3268</v>
      </c>
      <c r="G169" s="166" t="s">
        <v>3362</v>
      </c>
      <c r="H169" s="137" t="s">
        <v>2056</v>
      </c>
      <c r="I169" s="137" t="s">
        <v>2258</v>
      </c>
      <c r="J169" s="137" t="s">
        <v>2045</v>
      </c>
      <c r="K169" s="137" t="s">
        <v>2048</v>
      </c>
      <c r="L169" s="139">
        <f t="shared" si="243"/>
        <v>2856190855323</v>
      </c>
      <c r="M169" s="140">
        <f t="shared" si="244"/>
        <v>125970</v>
      </c>
      <c r="N169" s="141">
        <f t="shared" si="245"/>
        <v>1.2477379060150309E-3</v>
      </c>
      <c r="O169" s="141">
        <f t="shared" si="246"/>
        <v>4.4478874044162332E-4</v>
      </c>
      <c r="P169" s="141">
        <f t="shared" si="247"/>
        <v>0.99830747335354331</v>
      </c>
      <c r="Q169" s="140">
        <v>2</v>
      </c>
      <c r="R169" s="139">
        <v>3563777597</v>
      </c>
      <c r="S169" s="140">
        <v>16</v>
      </c>
      <c r="T169" s="139">
        <v>1270401533</v>
      </c>
      <c r="U169" s="140">
        <v>125952</v>
      </c>
      <c r="V169" s="139">
        <v>2851356676193</v>
      </c>
    </row>
    <row r="170" spans="1:22" ht="15.95" customHeight="1" x14ac:dyDescent="0.3">
      <c r="A170" s="137">
        <v>43</v>
      </c>
      <c r="B170" s="207" t="s">
        <v>3967</v>
      </c>
      <c r="C170" s="137">
        <v>1000314998</v>
      </c>
      <c r="D170" s="137" t="s">
        <v>3361</v>
      </c>
      <c r="E170" s="137">
        <v>1665498</v>
      </c>
      <c r="F170" s="166" t="s">
        <v>3268</v>
      </c>
      <c r="G170" s="206" t="s">
        <v>4017</v>
      </c>
      <c r="H170" s="207" t="s">
        <v>3969</v>
      </c>
      <c r="I170" s="137" t="s">
        <v>2258</v>
      </c>
      <c r="J170" s="137" t="s">
        <v>2047</v>
      </c>
      <c r="K170" s="137" t="s">
        <v>2048</v>
      </c>
      <c r="L170" s="139">
        <f t="shared" ref="L170:L171" si="248">ABS(R170)+ABS(T170)+ABS(V170)</f>
        <v>277583420089556</v>
      </c>
      <c r="M170" s="140">
        <f t="shared" ref="M170:M171" si="249">Q170+S170+U170</f>
        <v>11485001</v>
      </c>
      <c r="N170" s="141">
        <f t="shared" ref="N170:N171" si="250">ABS(R170)/$L170</f>
        <v>4.3514976226328552E-3</v>
      </c>
      <c r="O170" s="141">
        <f t="shared" ref="O170:O171" si="251">ABS(T170)/$L170</f>
        <v>0</v>
      </c>
      <c r="P170" s="141">
        <f t="shared" ref="P170:P171" si="252">ABS(V170)/$L170</f>
        <v>0.99564850237736713</v>
      </c>
      <c r="Q170" s="140">
        <v>78</v>
      </c>
      <c r="R170" s="139">
        <v>1207903592602</v>
      </c>
      <c r="S170" s="140">
        <v>0</v>
      </c>
      <c r="T170" s="139">
        <v>0</v>
      </c>
      <c r="U170" s="140">
        <v>11484923</v>
      </c>
      <c r="V170" s="139">
        <v>276375516496954</v>
      </c>
    </row>
    <row r="171" spans="1:22" ht="15.95" customHeight="1" x14ac:dyDescent="0.3">
      <c r="A171" s="137">
        <v>43</v>
      </c>
      <c r="B171" s="207" t="s">
        <v>3967</v>
      </c>
      <c r="C171" s="137">
        <v>1000314998</v>
      </c>
      <c r="D171" s="137" t="s">
        <v>3361</v>
      </c>
      <c r="E171" s="137">
        <v>1665498</v>
      </c>
      <c r="F171" s="166" t="s">
        <v>3268</v>
      </c>
      <c r="G171" s="206" t="s">
        <v>4017</v>
      </c>
      <c r="H171" s="207" t="s">
        <v>3969</v>
      </c>
      <c r="I171" s="137" t="s">
        <v>2258</v>
      </c>
      <c r="J171" s="137" t="s">
        <v>2045</v>
      </c>
      <c r="K171" s="137" t="s">
        <v>2046</v>
      </c>
      <c r="L171" s="139">
        <f t="shared" si="248"/>
        <v>6151213049647</v>
      </c>
      <c r="M171" s="140">
        <f t="shared" si="249"/>
        <v>235428</v>
      </c>
      <c r="N171" s="141">
        <f t="shared" si="250"/>
        <v>1.4121156163658609E-3</v>
      </c>
      <c r="O171" s="141">
        <f t="shared" si="251"/>
        <v>2.4204915321303063E-3</v>
      </c>
      <c r="P171" s="141">
        <f t="shared" si="252"/>
        <v>0.9961673928515038</v>
      </c>
      <c r="Q171" s="140">
        <v>4</v>
      </c>
      <c r="R171" s="139">
        <v>8686224007</v>
      </c>
      <c r="S171" s="140">
        <v>39</v>
      </c>
      <c r="T171" s="139">
        <v>14888959099</v>
      </c>
      <c r="U171" s="140">
        <v>235385</v>
      </c>
      <c r="V171" s="139">
        <v>6127637866541</v>
      </c>
    </row>
    <row r="172" spans="1:22" ht="15.95" customHeight="1" x14ac:dyDescent="0.3">
      <c r="A172" s="137">
        <v>45</v>
      </c>
      <c r="B172" s="207" t="s">
        <v>3967</v>
      </c>
      <c r="C172" s="137">
        <v>1000708387</v>
      </c>
      <c r="D172" s="137" t="s">
        <v>4018</v>
      </c>
      <c r="E172" s="137">
        <v>1672093</v>
      </c>
      <c r="F172" s="166" t="s">
        <v>3552</v>
      </c>
      <c r="G172" s="206" t="s">
        <v>4019</v>
      </c>
      <c r="H172" s="207" t="s">
        <v>3969</v>
      </c>
      <c r="I172" s="137" t="s">
        <v>2258</v>
      </c>
      <c r="J172" s="137" t="s">
        <v>2047</v>
      </c>
      <c r="K172" s="137" t="s">
        <v>2048</v>
      </c>
      <c r="L172" s="139">
        <f t="shared" ref="L172:L173" si="253">ABS(R172)+ABS(T172)+ABS(V172)</f>
        <v>69575678921820</v>
      </c>
      <c r="M172" s="140">
        <f t="shared" ref="M172:M173" si="254">Q172+S172+U172</f>
        <v>285233</v>
      </c>
      <c r="N172" s="141">
        <f t="shared" ref="N172:N173" si="255">ABS(R172)/$L172</f>
        <v>8.527144711482474E-3</v>
      </c>
      <c r="O172" s="141">
        <f t="shared" ref="O172:O173" si="256">ABS(T172)/$L172</f>
        <v>0</v>
      </c>
      <c r="P172" s="141">
        <f t="shared" ref="P172:P173" si="257">ABS(V172)/$L172</f>
        <v>0.99147285528851747</v>
      </c>
      <c r="Q172" s="140">
        <v>5</v>
      </c>
      <c r="R172" s="139">
        <v>593281882566</v>
      </c>
      <c r="S172" s="140">
        <v>0</v>
      </c>
      <c r="T172" s="139">
        <v>0</v>
      </c>
      <c r="U172" s="140">
        <v>285228</v>
      </c>
      <c r="V172" s="139">
        <v>68982397039254</v>
      </c>
    </row>
    <row r="173" spans="1:22" ht="15.95" customHeight="1" x14ac:dyDescent="0.3">
      <c r="A173" s="137">
        <v>45</v>
      </c>
      <c r="B173" s="207" t="s">
        <v>3967</v>
      </c>
      <c r="C173" s="137">
        <v>1000708387</v>
      </c>
      <c r="D173" s="137" t="s">
        <v>4018</v>
      </c>
      <c r="E173" s="137">
        <v>1672093</v>
      </c>
      <c r="F173" s="166" t="s">
        <v>3552</v>
      </c>
      <c r="G173" s="206" t="s">
        <v>4019</v>
      </c>
      <c r="H173" s="207" t="s">
        <v>3969</v>
      </c>
      <c r="I173" s="137" t="s">
        <v>2258</v>
      </c>
      <c r="J173" s="137" t="s">
        <v>2050</v>
      </c>
      <c r="K173" s="137" t="s">
        <v>2046</v>
      </c>
      <c r="L173" s="139">
        <f t="shared" si="253"/>
        <v>693488212934</v>
      </c>
      <c r="M173" s="140">
        <f t="shared" si="254"/>
        <v>14233</v>
      </c>
      <c r="N173" s="141">
        <f t="shared" si="255"/>
        <v>3.2085358575687332E-3</v>
      </c>
      <c r="O173" s="141">
        <f t="shared" si="256"/>
        <v>3.9891569099578687E-2</v>
      </c>
      <c r="P173" s="141">
        <f t="shared" si="257"/>
        <v>0.95689989504285256</v>
      </c>
      <c r="Q173" s="140">
        <v>3</v>
      </c>
      <c r="R173" s="139">
        <v>2225081798</v>
      </c>
      <c r="S173" s="140">
        <v>666</v>
      </c>
      <c r="T173" s="139">
        <v>27664332966</v>
      </c>
      <c r="U173" s="140">
        <v>13564</v>
      </c>
      <c r="V173" s="139">
        <v>663598798170</v>
      </c>
    </row>
    <row r="174" spans="1:22" ht="15.95" customHeight="1" x14ac:dyDescent="0.3">
      <c r="A174" s="137">
        <v>47</v>
      </c>
      <c r="B174" s="167" t="s">
        <v>3335</v>
      </c>
      <c r="C174" s="137">
        <v>1000712754</v>
      </c>
      <c r="D174" s="137" t="s">
        <v>3363</v>
      </c>
      <c r="E174" s="137">
        <v>1667534</v>
      </c>
      <c r="F174" s="166" t="s">
        <v>3269</v>
      </c>
      <c r="G174" s="166" t="s">
        <v>3364</v>
      </c>
      <c r="H174" s="137" t="s">
        <v>2056</v>
      </c>
      <c r="I174" s="137" t="s">
        <v>2258</v>
      </c>
      <c r="J174" s="137" t="s">
        <v>2047</v>
      </c>
      <c r="K174" s="137" t="s">
        <v>2048</v>
      </c>
      <c r="L174" s="139">
        <f t="shared" ref="L174:L175" si="258">ABS(R174)+ABS(T174)+ABS(V174)</f>
        <v>2109338480088</v>
      </c>
      <c r="M174" s="140">
        <f t="shared" ref="M174:M175" si="259">Q174+S174+U174</f>
        <v>47756</v>
      </c>
      <c r="N174" s="141">
        <f t="shared" ref="N174:N175" si="260">ABS(R174)/$L174</f>
        <v>2.8872092760313774E-3</v>
      </c>
      <c r="O174" s="141">
        <f t="shared" ref="O174:O175" si="261">ABS(T174)/$L174</f>
        <v>0</v>
      </c>
      <c r="P174" s="141">
        <f t="shared" ref="P174:P175" si="262">ABS(V174)/$L174</f>
        <v>0.99711279072396863</v>
      </c>
      <c r="Q174" s="140">
        <v>6</v>
      </c>
      <c r="R174" s="139">
        <v>6090101626</v>
      </c>
      <c r="S174" s="140">
        <v>0</v>
      </c>
      <c r="T174" s="139">
        <v>0</v>
      </c>
      <c r="U174" s="140">
        <v>47750</v>
      </c>
      <c r="V174" s="139">
        <v>2103248378462</v>
      </c>
    </row>
    <row r="175" spans="1:22" ht="15.95" customHeight="1" x14ac:dyDescent="0.3">
      <c r="A175" s="137">
        <v>47</v>
      </c>
      <c r="B175" s="167" t="s">
        <v>3335</v>
      </c>
      <c r="C175" s="137">
        <v>1000712754</v>
      </c>
      <c r="D175" s="137" t="s">
        <v>3363</v>
      </c>
      <c r="E175" s="137">
        <v>1667534</v>
      </c>
      <c r="F175" s="166" t="s">
        <v>3269</v>
      </c>
      <c r="G175" s="166" t="s">
        <v>3364</v>
      </c>
      <c r="H175" s="137" t="s">
        <v>2056</v>
      </c>
      <c r="I175" s="137" t="s">
        <v>2258</v>
      </c>
      <c r="J175" s="137" t="s">
        <v>2050</v>
      </c>
      <c r="K175" s="137" t="s">
        <v>2048</v>
      </c>
      <c r="L175" s="139">
        <f t="shared" si="258"/>
        <v>71787138188</v>
      </c>
      <c r="M175" s="140">
        <f t="shared" si="259"/>
        <v>3171</v>
      </c>
      <c r="N175" s="141">
        <f t="shared" si="260"/>
        <v>2.8728039953328805E-2</v>
      </c>
      <c r="O175" s="141">
        <f t="shared" si="261"/>
        <v>0.15455918866612112</v>
      </c>
      <c r="P175" s="141">
        <f t="shared" si="262"/>
        <v>0.8167127713805501</v>
      </c>
      <c r="Q175" s="140">
        <v>12</v>
      </c>
      <c r="R175" s="139">
        <v>2062303774</v>
      </c>
      <c r="S175" s="140">
        <v>122</v>
      </c>
      <c r="T175" s="139">
        <v>-11095361835</v>
      </c>
      <c r="U175" s="140">
        <v>3037</v>
      </c>
      <c r="V175" s="139">
        <v>58629472579</v>
      </c>
    </row>
    <row r="176" spans="1:22" ht="15.95" customHeight="1" x14ac:dyDescent="0.3">
      <c r="A176" s="137">
        <v>47</v>
      </c>
      <c r="B176" s="207" t="s">
        <v>3967</v>
      </c>
      <c r="C176" s="137">
        <v>1000712754</v>
      </c>
      <c r="D176" s="137" t="s">
        <v>3363</v>
      </c>
      <c r="E176" s="137">
        <v>1667534</v>
      </c>
      <c r="F176" s="166" t="s">
        <v>3269</v>
      </c>
      <c r="G176" s="206" t="s">
        <v>4020</v>
      </c>
      <c r="H176" s="207" t="s">
        <v>3969</v>
      </c>
      <c r="I176" s="137" t="s">
        <v>2258</v>
      </c>
      <c r="J176" s="137" t="s">
        <v>2047</v>
      </c>
      <c r="K176" s="137" t="s">
        <v>2048</v>
      </c>
      <c r="L176" s="139">
        <f t="shared" ref="L176:L177" si="263">ABS(R176)+ABS(T176)+ABS(V176)</f>
        <v>7074296374856</v>
      </c>
      <c r="M176" s="140">
        <f t="shared" ref="M176:M177" si="264">Q176+S176+U176</f>
        <v>103698</v>
      </c>
      <c r="N176" s="141">
        <f t="shared" ref="N176:N177" si="265">ABS(R176)/$L176</f>
        <v>2.2303902627660514E-2</v>
      </c>
      <c r="O176" s="141">
        <f t="shared" ref="O176:O177" si="266">ABS(T176)/$L176</f>
        <v>0</v>
      </c>
      <c r="P176" s="141">
        <f t="shared" ref="P176:P177" si="267">ABS(V176)/$L176</f>
        <v>0.97769609737233953</v>
      </c>
      <c r="Q176" s="140">
        <v>23</v>
      </c>
      <c r="R176" s="139">
        <v>157784417504</v>
      </c>
      <c r="S176" s="140">
        <v>0</v>
      </c>
      <c r="T176" s="139">
        <v>0</v>
      </c>
      <c r="U176" s="140">
        <v>103675</v>
      </c>
      <c r="V176" s="139">
        <v>6916511957352</v>
      </c>
    </row>
    <row r="177" spans="1:22" ht="15.95" customHeight="1" x14ac:dyDescent="0.3">
      <c r="A177" s="137">
        <v>47</v>
      </c>
      <c r="B177" s="207" t="s">
        <v>3967</v>
      </c>
      <c r="C177" s="137">
        <v>1000712754</v>
      </c>
      <c r="D177" s="137" t="s">
        <v>3363</v>
      </c>
      <c r="E177" s="137">
        <v>1667534</v>
      </c>
      <c r="F177" s="166" t="s">
        <v>3269</v>
      </c>
      <c r="G177" s="206" t="s">
        <v>4020</v>
      </c>
      <c r="H177" s="207" t="s">
        <v>3969</v>
      </c>
      <c r="I177" s="137" t="s">
        <v>2258</v>
      </c>
      <c r="J177" s="137" t="s">
        <v>2050</v>
      </c>
      <c r="K177" s="137" t="s">
        <v>2046</v>
      </c>
      <c r="L177" s="139">
        <f t="shared" si="263"/>
        <v>209110017143</v>
      </c>
      <c r="M177" s="140">
        <f t="shared" si="264"/>
        <v>6668</v>
      </c>
      <c r="N177" s="141">
        <f t="shared" si="265"/>
        <v>1.9380240011307663E-2</v>
      </c>
      <c r="O177" s="141">
        <f t="shared" si="266"/>
        <v>7.5902538672482325E-2</v>
      </c>
      <c r="P177" s="141">
        <f t="shared" si="267"/>
        <v>0.90471722131621002</v>
      </c>
      <c r="Q177" s="140">
        <v>5</v>
      </c>
      <c r="R177" s="139">
        <v>4052602321</v>
      </c>
      <c r="S177" s="140">
        <v>69</v>
      </c>
      <c r="T177" s="139">
        <v>15871981163</v>
      </c>
      <c r="U177" s="140">
        <v>6594</v>
      </c>
      <c r="V177" s="139">
        <v>189185433659</v>
      </c>
    </row>
    <row r="178" spans="1:22" ht="15.95" customHeight="1" x14ac:dyDescent="0.3">
      <c r="A178" s="137">
        <v>48</v>
      </c>
      <c r="B178" s="167" t="s">
        <v>3335</v>
      </c>
      <c r="C178" s="137">
        <v>1000317098</v>
      </c>
      <c r="D178" s="137" t="s">
        <v>3365</v>
      </c>
      <c r="E178" s="137">
        <v>1661004</v>
      </c>
      <c r="F178" s="166" t="s">
        <v>3244</v>
      </c>
      <c r="G178" s="166" t="s">
        <v>3366</v>
      </c>
      <c r="H178" s="137" t="s">
        <v>2056</v>
      </c>
      <c r="I178" s="137" t="s">
        <v>2258</v>
      </c>
      <c r="J178" s="137" t="s">
        <v>2047</v>
      </c>
      <c r="K178" s="137" t="s">
        <v>2048</v>
      </c>
      <c r="L178" s="139">
        <f t="shared" ref="L178:L184" si="268">ABS(R178)+ABS(T178)+ABS(V178)</f>
        <v>12773621183270</v>
      </c>
      <c r="M178" s="140">
        <f t="shared" ref="M178:M184" si="269">Q178+S178+U178</f>
        <v>1379887</v>
      </c>
      <c r="N178" s="141">
        <f t="shared" ref="N178:N184" si="270">ABS(R178)/$L178</f>
        <v>1.6803552280705132E-2</v>
      </c>
      <c r="O178" s="141">
        <f t="shared" ref="O178:O184" si="271">ABS(T178)/$L178</f>
        <v>0</v>
      </c>
      <c r="P178" s="141">
        <f t="shared" ref="P178:P184" si="272">ABS(V178)/$L178</f>
        <v>0.98319644771929482</v>
      </c>
      <c r="Q178" s="140">
        <v>17</v>
      </c>
      <c r="R178" s="139">
        <v>214642211367</v>
      </c>
      <c r="S178" s="140">
        <v>0</v>
      </c>
      <c r="T178" s="139">
        <v>0</v>
      </c>
      <c r="U178" s="140">
        <v>1379870</v>
      </c>
      <c r="V178" s="139">
        <v>12558978971903</v>
      </c>
    </row>
    <row r="179" spans="1:22" ht="15.95" customHeight="1" x14ac:dyDescent="0.3">
      <c r="A179" s="137">
        <v>48</v>
      </c>
      <c r="B179" s="167" t="s">
        <v>3335</v>
      </c>
      <c r="C179" s="137">
        <v>1000317098</v>
      </c>
      <c r="D179" s="137" t="s">
        <v>3365</v>
      </c>
      <c r="E179" s="137">
        <v>1661004</v>
      </c>
      <c r="F179" s="166" t="s">
        <v>3244</v>
      </c>
      <c r="G179" s="166" t="s">
        <v>3366</v>
      </c>
      <c r="H179" s="137" t="s">
        <v>2056</v>
      </c>
      <c r="I179" s="137" t="s">
        <v>2258</v>
      </c>
      <c r="J179" s="137" t="s">
        <v>2045</v>
      </c>
      <c r="K179" s="137" t="s">
        <v>2048</v>
      </c>
      <c r="L179" s="139">
        <f t="shared" si="268"/>
        <v>576393057849</v>
      </c>
      <c r="M179" s="140">
        <f t="shared" si="269"/>
        <v>419771</v>
      </c>
      <c r="N179" s="141">
        <f t="shared" si="270"/>
        <v>6.304183571641718E-2</v>
      </c>
      <c r="O179" s="141">
        <f t="shared" si="271"/>
        <v>0.13193290462377821</v>
      </c>
      <c r="P179" s="141">
        <f t="shared" si="272"/>
        <v>0.80502525965980465</v>
      </c>
      <c r="Q179" s="140">
        <v>28</v>
      </c>
      <c r="R179" s="139">
        <v>36336876461</v>
      </c>
      <c r="S179" s="140">
        <v>1606</v>
      </c>
      <c r="T179" s="139">
        <v>76045210327</v>
      </c>
      <c r="U179" s="140">
        <v>418137</v>
      </c>
      <c r="V179" s="139">
        <v>464010971061</v>
      </c>
    </row>
    <row r="180" spans="1:22" ht="15.95" customHeight="1" x14ac:dyDescent="0.3">
      <c r="A180" s="137">
        <v>48</v>
      </c>
      <c r="B180" s="207" t="s">
        <v>3967</v>
      </c>
      <c r="C180" s="137">
        <v>1000317098</v>
      </c>
      <c r="D180" s="137" t="s">
        <v>3365</v>
      </c>
      <c r="E180" s="137">
        <v>1661004</v>
      </c>
      <c r="F180" s="166" t="s">
        <v>3244</v>
      </c>
      <c r="G180" s="206" t="s">
        <v>4021</v>
      </c>
      <c r="H180" s="207" t="s">
        <v>3969</v>
      </c>
      <c r="I180" s="137" t="s">
        <v>2258</v>
      </c>
      <c r="J180" s="137" t="s">
        <v>2047</v>
      </c>
      <c r="K180" s="137" t="s">
        <v>2048</v>
      </c>
      <c r="L180" s="139">
        <f t="shared" ref="L180:L181" si="273">ABS(R180)+ABS(T180)+ABS(V180)</f>
        <v>51122220016794</v>
      </c>
      <c r="M180" s="140">
        <f t="shared" ref="M180:M181" si="274">Q180+S180+U180</f>
        <v>2794918</v>
      </c>
      <c r="N180" s="141">
        <f t="shared" ref="N180:N181" si="275">ABS(R180)/$L180</f>
        <v>2.5501978978763436E-2</v>
      </c>
      <c r="O180" s="141">
        <f t="shared" ref="O180:O181" si="276">ABS(T180)/$L180</f>
        <v>0</v>
      </c>
      <c r="P180" s="141">
        <f t="shared" ref="P180:P181" si="277">ABS(V180)/$L180</f>
        <v>0.97449802102123662</v>
      </c>
      <c r="Q180" s="140">
        <v>53</v>
      </c>
      <c r="R180" s="139">
        <v>1303717780216</v>
      </c>
      <c r="S180" s="140">
        <v>0</v>
      </c>
      <c r="T180" s="139">
        <v>0</v>
      </c>
      <c r="U180" s="140">
        <v>2794865</v>
      </c>
      <c r="V180" s="139">
        <v>49818502236578</v>
      </c>
    </row>
    <row r="181" spans="1:22" ht="15.95" customHeight="1" x14ac:dyDescent="0.3">
      <c r="A181" s="137">
        <v>48</v>
      </c>
      <c r="B181" s="207" t="s">
        <v>3967</v>
      </c>
      <c r="C181" s="137">
        <v>1000317098</v>
      </c>
      <c r="D181" s="137" t="s">
        <v>3365</v>
      </c>
      <c r="E181" s="137">
        <v>1661004</v>
      </c>
      <c r="F181" s="166" t="s">
        <v>3244</v>
      </c>
      <c r="G181" s="206" t="s">
        <v>4021</v>
      </c>
      <c r="H181" s="207" t="s">
        <v>3969</v>
      </c>
      <c r="I181" s="137" t="s">
        <v>2258</v>
      </c>
      <c r="J181" s="137" t="s">
        <v>2045</v>
      </c>
      <c r="K181" s="137" t="s">
        <v>2046</v>
      </c>
      <c r="L181" s="139">
        <f t="shared" si="273"/>
        <v>463163937336</v>
      </c>
      <c r="M181" s="140">
        <f t="shared" si="274"/>
        <v>73378</v>
      </c>
      <c r="N181" s="141">
        <f t="shared" si="275"/>
        <v>1.254196759879839E-2</v>
      </c>
      <c r="O181" s="141">
        <f t="shared" si="276"/>
        <v>0.1408486906196128</v>
      </c>
      <c r="P181" s="141">
        <f t="shared" si="277"/>
        <v>0.84660934178158875</v>
      </c>
      <c r="Q181" s="140">
        <v>3</v>
      </c>
      <c r="R181" s="139">
        <v>5808987095</v>
      </c>
      <c r="S181" s="140">
        <v>57</v>
      </c>
      <c r="T181" s="139">
        <v>65236034116</v>
      </c>
      <c r="U181" s="140">
        <v>73318</v>
      </c>
      <c r="V181" s="139">
        <v>392118916125</v>
      </c>
    </row>
    <row r="182" spans="1:22" ht="15.95" customHeight="1" x14ac:dyDescent="0.3">
      <c r="A182" s="137">
        <v>50</v>
      </c>
      <c r="B182" s="167" t="s">
        <v>3335</v>
      </c>
      <c r="C182" s="137">
        <v>1000923332</v>
      </c>
      <c r="D182" s="137" t="s">
        <v>3367</v>
      </c>
      <c r="E182" s="137">
        <v>1670157</v>
      </c>
      <c r="F182" s="166" t="s">
        <v>3270</v>
      </c>
      <c r="G182" s="166" t="s">
        <v>3368</v>
      </c>
      <c r="H182" s="137" t="s">
        <v>2056</v>
      </c>
      <c r="I182" s="137" t="s">
        <v>2258</v>
      </c>
      <c r="J182" s="137" t="s">
        <v>2047</v>
      </c>
      <c r="K182" s="137" t="s">
        <v>2048</v>
      </c>
      <c r="L182" s="139">
        <f t="shared" si="268"/>
        <v>62222437556930</v>
      </c>
      <c r="M182" s="140">
        <f t="shared" si="269"/>
        <v>389003</v>
      </c>
      <c r="N182" s="141">
        <f t="shared" si="270"/>
        <v>5.3458852202255616E-3</v>
      </c>
      <c r="O182" s="141">
        <f t="shared" si="271"/>
        <v>0</v>
      </c>
      <c r="P182" s="141">
        <f t="shared" si="272"/>
        <v>0.99465411477977439</v>
      </c>
      <c r="Q182" s="140">
        <v>13</v>
      </c>
      <c r="R182" s="139">
        <v>332634009302</v>
      </c>
      <c r="S182" s="140">
        <v>0</v>
      </c>
      <c r="T182" s="139">
        <v>0</v>
      </c>
      <c r="U182" s="140">
        <v>388990</v>
      </c>
      <c r="V182" s="139">
        <v>61889803547628</v>
      </c>
    </row>
    <row r="183" spans="1:22" ht="15.95" customHeight="1" x14ac:dyDescent="0.3">
      <c r="A183" s="137">
        <v>50</v>
      </c>
      <c r="B183" s="167" t="s">
        <v>3335</v>
      </c>
      <c r="C183" s="137">
        <v>1000923332</v>
      </c>
      <c r="D183" s="137" t="s">
        <v>3367</v>
      </c>
      <c r="E183" s="137">
        <v>1670157</v>
      </c>
      <c r="F183" s="166" t="s">
        <v>3270</v>
      </c>
      <c r="G183" s="166" t="s">
        <v>3368</v>
      </c>
      <c r="H183" s="137" t="s">
        <v>2056</v>
      </c>
      <c r="I183" s="137" t="s">
        <v>2258</v>
      </c>
      <c r="J183" s="137" t="s">
        <v>2050</v>
      </c>
      <c r="K183" s="137" t="s">
        <v>2046</v>
      </c>
      <c r="L183" s="139">
        <f t="shared" si="268"/>
        <v>154088817418</v>
      </c>
      <c r="M183" s="140">
        <f t="shared" si="269"/>
        <v>4759</v>
      </c>
      <c r="N183" s="141">
        <f t="shared" si="270"/>
        <v>7.5088973319931509E-4</v>
      </c>
      <c r="O183" s="141">
        <f t="shared" si="271"/>
        <v>0.1521648805597299</v>
      </c>
      <c r="P183" s="141">
        <f t="shared" si="272"/>
        <v>0.84708422970707076</v>
      </c>
      <c r="Q183" s="140">
        <v>16</v>
      </c>
      <c r="R183" s="139">
        <v>-115703711</v>
      </c>
      <c r="S183" s="140">
        <v>485</v>
      </c>
      <c r="T183" s="139">
        <v>23446906498</v>
      </c>
      <c r="U183" s="140">
        <v>4258</v>
      </c>
      <c r="V183" s="139">
        <v>130526207209</v>
      </c>
    </row>
    <row r="184" spans="1:22" ht="15.95" customHeight="1" x14ac:dyDescent="0.3">
      <c r="A184" s="137">
        <v>50</v>
      </c>
      <c r="B184" s="167" t="s">
        <v>3335</v>
      </c>
      <c r="C184" s="137">
        <v>1000923332</v>
      </c>
      <c r="D184" s="137" t="s">
        <v>3367</v>
      </c>
      <c r="E184" s="137">
        <v>1670157</v>
      </c>
      <c r="F184" s="166" t="s">
        <v>3270</v>
      </c>
      <c r="G184" s="166" t="s">
        <v>3368</v>
      </c>
      <c r="H184" s="137" t="s">
        <v>2056</v>
      </c>
      <c r="I184" s="137" t="s">
        <v>2258</v>
      </c>
      <c r="J184" s="137" t="s">
        <v>2045</v>
      </c>
      <c r="K184" s="137" t="s">
        <v>2046</v>
      </c>
      <c r="L184" s="139">
        <f t="shared" si="268"/>
        <v>4994877696</v>
      </c>
      <c r="M184" s="140">
        <f t="shared" si="269"/>
        <v>454</v>
      </c>
      <c r="N184" s="141">
        <f t="shared" si="270"/>
        <v>5.866661024246228E-2</v>
      </c>
      <c r="O184" s="141">
        <f t="shared" si="271"/>
        <v>0.32128504713641742</v>
      </c>
      <c r="P184" s="141">
        <f t="shared" si="272"/>
        <v>0.6200483426211203</v>
      </c>
      <c r="Q184" s="140">
        <v>11</v>
      </c>
      <c r="R184" s="139">
        <v>293032543</v>
      </c>
      <c r="S184" s="140">
        <v>39</v>
      </c>
      <c r="T184" s="139">
        <v>1604779516</v>
      </c>
      <c r="U184" s="140">
        <v>404</v>
      </c>
      <c r="V184" s="139">
        <v>3097065637</v>
      </c>
    </row>
    <row r="185" spans="1:22" ht="15.95" customHeight="1" x14ac:dyDescent="0.3">
      <c r="A185" s="137">
        <v>52</v>
      </c>
      <c r="B185" s="167" t="s">
        <v>3335</v>
      </c>
      <c r="C185" s="137">
        <v>1000317231</v>
      </c>
      <c r="D185" s="137" t="s">
        <v>3369</v>
      </c>
      <c r="E185" s="137">
        <v>1698943</v>
      </c>
      <c r="F185" s="166" t="s">
        <v>3271</v>
      </c>
      <c r="G185" s="166" t="s">
        <v>3370</v>
      </c>
      <c r="H185" s="137" t="s">
        <v>2056</v>
      </c>
      <c r="I185" s="137" t="s">
        <v>2258</v>
      </c>
      <c r="J185" s="167" t="s">
        <v>2111</v>
      </c>
      <c r="K185" s="137" t="s">
        <v>2048</v>
      </c>
      <c r="L185" s="139">
        <f t="shared" ref="L185:L186" si="278">ABS(R185)+ABS(T185)+ABS(V185)</f>
        <v>2050258786437</v>
      </c>
      <c r="M185" s="140">
        <f t="shared" ref="M185:M186" si="279">Q185+S185+U185</f>
        <v>7032</v>
      </c>
      <c r="N185" s="141">
        <f t="shared" ref="N185:N186" si="280">ABS(R185)/$L185</f>
        <v>1.4485263839113206E-3</v>
      </c>
      <c r="O185" s="141">
        <f t="shared" ref="O185:O186" si="281">ABS(T185)/$L185</f>
        <v>2.8149677256253734E-3</v>
      </c>
      <c r="P185" s="141">
        <f t="shared" ref="P185:P186" si="282">ABS(V185)/$L185</f>
        <v>0.99573650589046325</v>
      </c>
      <c r="Q185" s="140">
        <v>3</v>
      </c>
      <c r="R185" s="139">
        <v>2969853946</v>
      </c>
      <c r="S185" s="140">
        <v>233</v>
      </c>
      <c r="T185" s="139">
        <v>5771412313</v>
      </c>
      <c r="U185" s="140">
        <v>6796</v>
      </c>
      <c r="V185" s="139">
        <v>2041517520178</v>
      </c>
    </row>
    <row r="186" spans="1:22" ht="15.95" customHeight="1" x14ac:dyDescent="0.3">
      <c r="A186" s="137">
        <v>52</v>
      </c>
      <c r="B186" s="167" t="s">
        <v>3335</v>
      </c>
      <c r="C186" s="137">
        <v>1000317231</v>
      </c>
      <c r="D186" s="137" t="s">
        <v>3369</v>
      </c>
      <c r="E186" s="137">
        <v>1698943</v>
      </c>
      <c r="F186" s="166" t="s">
        <v>3271</v>
      </c>
      <c r="G186" s="166" t="s">
        <v>3370</v>
      </c>
      <c r="H186" s="137" t="s">
        <v>2056</v>
      </c>
      <c r="I186" s="137" t="s">
        <v>2258</v>
      </c>
      <c r="J186" s="137" t="s">
        <v>2047</v>
      </c>
      <c r="K186" s="137" t="s">
        <v>2048</v>
      </c>
      <c r="L186" s="139">
        <f t="shared" si="278"/>
        <v>132269400990442</v>
      </c>
      <c r="M186" s="140">
        <f t="shared" si="279"/>
        <v>983489</v>
      </c>
      <c r="N186" s="141">
        <f t="shared" si="280"/>
        <v>1.3014148858467949E-3</v>
      </c>
      <c r="O186" s="141">
        <f t="shared" si="281"/>
        <v>0</v>
      </c>
      <c r="P186" s="141">
        <f t="shared" si="282"/>
        <v>0.99869858511415321</v>
      </c>
      <c r="Q186" s="140">
        <v>4</v>
      </c>
      <c r="R186" s="139">
        <v>172137367391</v>
      </c>
      <c r="S186" s="140">
        <v>0</v>
      </c>
      <c r="T186" s="139">
        <v>0</v>
      </c>
      <c r="U186" s="140">
        <v>983485</v>
      </c>
      <c r="V186" s="139">
        <v>132097263623051</v>
      </c>
    </row>
    <row r="187" spans="1:22" ht="15.95" customHeight="1" x14ac:dyDescent="0.3">
      <c r="A187" s="137">
        <v>52</v>
      </c>
      <c r="B187" s="207" t="s">
        <v>3967</v>
      </c>
      <c r="C187" s="137">
        <v>1000317231</v>
      </c>
      <c r="D187" s="137" t="s">
        <v>3369</v>
      </c>
      <c r="E187" s="137">
        <v>1698943</v>
      </c>
      <c r="F187" s="166" t="s">
        <v>3271</v>
      </c>
      <c r="G187" s="206" t="s">
        <v>4022</v>
      </c>
      <c r="H187" s="207" t="s">
        <v>3969</v>
      </c>
      <c r="I187" s="137" t="s">
        <v>2258</v>
      </c>
      <c r="J187" s="167" t="s">
        <v>2111</v>
      </c>
      <c r="K187" s="137" t="s">
        <v>2046</v>
      </c>
      <c r="L187" s="139">
        <f t="shared" ref="L187:L188" si="283">ABS(R187)+ABS(T187)+ABS(V187)</f>
        <v>4823627022201</v>
      </c>
      <c r="M187" s="140">
        <f t="shared" ref="M187:M188" si="284">Q187+S187+U187</f>
        <v>15866</v>
      </c>
      <c r="N187" s="141">
        <f t="shared" ref="N187:N188" si="285">ABS(R187)/$L187</f>
        <v>7.031390182428307E-2</v>
      </c>
      <c r="O187" s="141">
        <f t="shared" ref="O187:O188" si="286">ABS(T187)/$L187</f>
        <v>4.398717340591235E-2</v>
      </c>
      <c r="P187" s="141">
        <f t="shared" ref="P187:P188" si="287">ABS(V187)/$L187</f>
        <v>0.88569892476980461</v>
      </c>
      <c r="Q187" s="140">
        <v>35</v>
      </c>
      <c r="R187" s="139">
        <v>339168036876</v>
      </c>
      <c r="S187" s="140">
        <v>793</v>
      </c>
      <c r="T187" s="139">
        <v>-212177718271</v>
      </c>
      <c r="U187" s="140">
        <v>15038</v>
      </c>
      <c r="V187" s="209">
        <v>4272281267054</v>
      </c>
    </row>
    <row r="188" spans="1:22" ht="15.95" customHeight="1" x14ac:dyDescent="0.3">
      <c r="A188" s="137">
        <v>52</v>
      </c>
      <c r="B188" s="207" t="s">
        <v>3967</v>
      </c>
      <c r="C188" s="137">
        <v>1000317231</v>
      </c>
      <c r="D188" s="137" t="s">
        <v>3369</v>
      </c>
      <c r="E188" s="137">
        <v>1698943</v>
      </c>
      <c r="F188" s="166" t="s">
        <v>3271</v>
      </c>
      <c r="G188" s="206" t="s">
        <v>4022</v>
      </c>
      <c r="H188" s="207" t="s">
        <v>3969</v>
      </c>
      <c r="I188" s="137" t="s">
        <v>2258</v>
      </c>
      <c r="J188" s="137" t="s">
        <v>2047</v>
      </c>
      <c r="K188" s="137" t="s">
        <v>2048</v>
      </c>
      <c r="L188" s="139">
        <f t="shared" si="283"/>
        <v>348993660589414</v>
      </c>
      <c r="M188" s="140">
        <f t="shared" si="284"/>
        <v>3757092</v>
      </c>
      <c r="N188" s="141">
        <f t="shared" si="285"/>
        <v>2.1666815114146416E-4</v>
      </c>
      <c r="O188" s="141">
        <f t="shared" si="286"/>
        <v>0</v>
      </c>
      <c r="P188" s="141">
        <f t="shared" si="287"/>
        <v>0.99978333184885848</v>
      </c>
      <c r="Q188" s="140">
        <v>28</v>
      </c>
      <c r="R188" s="139">
        <v>75615811200</v>
      </c>
      <c r="S188" s="140">
        <v>0</v>
      </c>
      <c r="T188" s="139">
        <v>0</v>
      </c>
      <c r="U188" s="140">
        <v>3757064</v>
      </c>
      <c r="V188" s="139">
        <v>348918044778214</v>
      </c>
    </row>
    <row r="189" spans="1:22" ht="15.95" customHeight="1" x14ac:dyDescent="0.3">
      <c r="A189" s="137">
        <v>56</v>
      </c>
      <c r="B189" s="137" t="s">
        <v>2054</v>
      </c>
      <c r="C189" s="137">
        <v>1000326195</v>
      </c>
      <c r="D189" s="137" t="s">
        <v>571</v>
      </c>
      <c r="E189" s="137">
        <v>1683535</v>
      </c>
      <c r="F189" s="137" t="s">
        <v>2067</v>
      </c>
      <c r="G189" s="137" t="s">
        <v>883</v>
      </c>
      <c r="H189" s="137" t="s">
        <v>2056</v>
      </c>
      <c r="I189" s="137" t="s">
        <v>2258</v>
      </c>
      <c r="J189" s="137" t="s">
        <v>2047</v>
      </c>
      <c r="K189" s="137" t="s">
        <v>2048</v>
      </c>
      <c r="L189" s="139">
        <f>ABS(R189)+ABS(T189)+ABS(V189)</f>
        <v>63007338481260</v>
      </c>
      <c r="M189" s="140">
        <f>Q189+S189+U189</f>
        <v>213414622</v>
      </c>
      <c r="N189" s="141">
        <f>ABS(R189)/$L189</f>
        <v>7.7067644819726003E-3</v>
      </c>
      <c r="O189" s="141">
        <f>ABS(T189)/$L189</f>
        <v>0</v>
      </c>
      <c r="P189" s="141">
        <f>ABS(V189)/$L189</f>
        <v>0.99229323551802739</v>
      </c>
      <c r="Q189" s="140">
        <v>181</v>
      </c>
      <c r="R189" s="139">
        <v>485582718311</v>
      </c>
      <c r="S189" s="140">
        <v>0</v>
      </c>
      <c r="T189" s="139">
        <v>0</v>
      </c>
      <c r="U189" s="140">
        <v>213414441</v>
      </c>
      <c r="V189" s="139">
        <v>62521755762949</v>
      </c>
    </row>
    <row r="190" spans="1:22" ht="15.95" customHeight="1" x14ac:dyDescent="0.3">
      <c r="A190" s="137">
        <v>56</v>
      </c>
      <c r="B190" s="137" t="s">
        <v>2054</v>
      </c>
      <c r="C190" s="137">
        <v>1000326195</v>
      </c>
      <c r="D190" s="137" t="s">
        <v>571</v>
      </c>
      <c r="E190" s="137">
        <v>1683535</v>
      </c>
      <c r="F190" s="137" t="s">
        <v>2067</v>
      </c>
      <c r="G190" s="137" t="s">
        <v>883</v>
      </c>
      <c r="H190" s="137" t="s">
        <v>2056</v>
      </c>
      <c r="I190" s="137" t="s">
        <v>2258</v>
      </c>
      <c r="J190" s="137" t="s">
        <v>2050</v>
      </c>
      <c r="K190" s="137" t="s">
        <v>2048</v>
      </c>
      <c r="L190" s="139">
        <f>ABS(R190)+ABS(T190)+ABS(V190)</f>
        <v>567595276135</v>
      </c>
      <c r="M190" s="140">
        <f>Q190+S190+U190</f>
        <v>8825071</v>
      </c>
      <c r="N190" s="141">
        <f>ABS(R190)/$L190</f>
        <v>6.5793874007009576E-2</v>
      </c>
      <c r="O190" s="141">
        <f>ABS(T190)/$L190</f>
        <v>0.36533844036376251</v>
      </c>
      <c r="P190" s="141">
        <f>ABS(V190)/$L190</f>
        <v>0.56886768562922796</v>
      </c>
      <c r="Q190" s="140">
        <v>1933</v>
      </c>
      <c r="R190" s="139">
        <v>37344292085</v>
      </c>
      <c r="S190" s="140">
        <v>134217</v>
      </c>
      <c r="T190" s="139">
        <v>207364372941</v>
      </c>
      <c r="U190" s="140">
        <v>8688921</v>
      </c>
      <c r="V190" s="139">
        <v>322886611109</v>
      </c>
    </row>
    <row r="191" spans="1:22" ht="15.95" customHeight="1" x14ac:dyDescent="0.3">
      <c r="A191" s="137">
        <v>56</v>
      </c>
      <c r="B191" s="137" t="s">
        <v>2054</v>
      </c>
      <c r="C191" s="137">
        <v>1000326195</v>
      </c>
      <c r="D191" s="137" t="s">
        <v>571</v>
      </c>
      <c r="E191" s="137">
        <v>1683535</v>
      </c>
      <c r="F191" s="137" t="s">
        <v>2067</v>
      </c>
      <c r="G191" s="137" t="s">
        <v>883</v>
      </c>
      <c r="H191" s="137" t="s">
        <v>2056</v>
      </c>
      <c r="I191" s="137" t="s">
        <v>2258</v>
      </c>
      <c r="J191" s="137" t="s">
        <v>2045</v>
      </c>
      <c r="K191" s="137" t="s">
        <v>2048</v>
      </c>
      <c r="L191" s="139">
        <f>ABS(R191)+ABS(T191)+ABS(V191)</f>
        <v>3595097292404</v>
      </c>
      <c r="M191" s="140">
        <f>Q191+S191+U191</f>
        <v>46445656</v>
      </c>
      <c r="N191" s="141">
        <f>ABS(R191)/$L191</f>
        <v>3.23399432737618E-3</v>
      </c>
      <c r="O191" s="141">
        <f>ABS(T191)/$L191</f>
        <v>5.5516266042563454E-2</v>
      </c>
      <c r="P191" s="141">
        <f>ABS(V191)/$L191</f>
        <v>0.94124973963006031</v>
      </c>
      <c r="Q191" s="140">
        <v>8982</v>
      </c>
      <c r="R191" s="139">
        <v>11626524250</v>
      </c>
      <c r="S191" s="140">
        <v>197727</v>
      </c>
      <c r="T191" s="139">
        <v>199586377734</v>
      </c>
      <c r="U191" s="140">
        <v>46238947</v>
      </c>
      <c r="V191" s="139">
        <v>3383884390420</v>
      </c>
    </row>
    <row r="192" spans="1:22" ht="15.95" customHeight="1" x14ac:dyDescent="0.3">
      <c r="A192" s="137">
        <v>56</v>
      </c>
      <c r="B192" s="207" t="s">
        <v>3983</v>
      </c>
      <c r="C192" s="137">
        <v>1000326195</v>
      </c>
      <c r="D192" s="137" t="s">
        <v>571</v>
      </c>
      <c r="E192" s="137">
        <v>1683535</v>
      </c>
      <c r="F192" s="137" t="s">
        <v>2067</v>
      </c>
      <c r="G192" s="206" t="s">
        <v>4023</v>
      </c>
      <c r="H192" s="207" t="s">
        <v>3969</v>
      </c>
      <c r="I192" s="137" t="s">
        <v>2258</v>
      </c>
      <c r="J192" s="137" t="s">
        <v>2047</v>
      </c>
      <c r="K192" s="137" t="s">
        <v>2048</v>
      </c>
      <c r="L192" s="139">
        <f t="shared" ref="L192:L194" si="288">ABS(R192)+ABS(T192)+ABS(V192)</f>
        <v>14631579974914</v>
      </c>
      <c r="M192" s="140">
        <f t="shared" ref="M192:M194" si="289">Q192+S192+U192</f>
        <v>70324961</v>
      </c>
      <c r="N192" s="141">
        <f t="shared" ref="N192:N194" si="290">ABS(R192)/$L192</f>
        <v>6.5722449056678321E-3</v>
      </c>
      <c r="O192" s="141">
        <f t="shared" ref="O192:O194" si="291">ABS(T192)/$L192</f>
        <v>0</v>
      </c>
      <c r="P192" s="141">
        <f t="shared" ref="P192:P194" si="292">ABS(V192)/$L192</f>
        <v>0.99342775509433212</v>
      </c>
      <c r="Q192" s="140">
        <v>48</v>
      </c>
      <c r="R192" s="139">
        <v>96162326952</v>
      </c>
      <c r="S192" s="140">
        <v>0</v>
      </c>
      <c r="T192" s="139">
        <v>0</v>
      </c>
      <c r="U192" s="140">
        <v>70324913</v>
      </c>
      <c r="V192" s="139">
        <v>14535417647962</v>
      </c>
    </row>
    <row r="193" spans="1:22" ht="15.95" customHeight="1" x14ac:dyDescent="0.3">
      <c r="A193" s="137">
        <v>56</v>
      </c>
      <c r="B193" s="207" t="s">
        <v>3983</v>
      </c>
      <c r="C193" s="137">
        <v>1000326195</v>
      </c>
      <c r="D193" s="137" t="s">
        <v>571</v>
      </c>
      <c r="E193" s="137">
        <v>1683535</v>
      </c>
      <c r="F193" s="137" t="s">
        <v>2067</v>
      </c>
      <c r="G193" s="206" t="s">
        <v>4023</v>
      </c>
      <c r="H193" s="207" t="s">
        <v>3969</v>
      </c>
      <c r="I193" s="137" t="s">
        <v>2258</v>
      </c>
      <c r="J193" s="137" t="s">
        <v>2050</v>
      </c>
      <c r="K193" s="137" t="s">
        <v>2046</v>
      </c>
      <c r="L193" s="139">
        <f t="shared" si="288"/>
        <v>55733448548</v>
      </c>
      <c r="M193" s="140">
        <f t="shared" si="289"/>
        <v>67464</v>
      </c>
      <c r="N193" s="141">
        <f t="shared" si="290"/>
        <v>2.4469686131577791E-2</v>
      </c>
      <c r="O193" s="141">
        <f t="shared" si="291"/>
        <v>0.75610273948340145</v>
      </c>
      <c r="P193" s="141">
        <f t="shared" si="292"/>
        <v>0.21942757438502081</v>
      </c>
      <c r="Q193" s="140">
        <v>114</v>
      </c>
      <c r="R193" s="139">
        <v>1363779993</v>
      </c>
      <c r="S193" s="140">
        <v>5342</v>
      </c>
      <c r="T193" s="139">
        <v>42140213128</v>
      </c>
      <c r="U193" s="140">
        <v>62008</v>
      </c>
      <c r="V193" s="139">
        <v>12229455427</v>
      </c>
    </row>
    <row r="194" spans="1:22" ht="15.95" customHeight="1" x14ac:dyDescent="0.3">
      <c r="A194" s="137">
        <v>56</v>
      </c>
      <c r="B194" s="207" t="s">
        <v>3983</v>
      </c>
      <c r="C194" s="137">
        <v>1000326195</v>
      </c>
      <c r="D194" s="137" t="s">
        <v>571</v>
      </c>
      <c r="E194" s="137">
        <v>1683535</v>
      </c>
      <c r="F194" s="137" t="s">
        <v>2067</v>
      </c>
      <c r="G194" s="206" t="s">
        <v>4023</v>
      </c>
      <c r="H194" s="207" t="s">
        <v>3969</v>
      </c>
      <c r="I194" s="137" t="s">
        <v>2258</v>
      </c>
      <c r="J194" s="137" t="s">
        <v>2045</v>
      </c>
      <c r="K194" s="137" t="s">
        <v>2046</v>
      </c>
      <c r="L194" s="139">
        <f t="shared" si="288"/>
        <v>824552411940</v>
      </c>
      <c r="M194" s="140">
        <f t="shared" si="289"/>
        <v>20328597</v>
      </c>
      <c r="N194" s="141">
        <f t="shared" si="290"/>
        <v>2.6997546780106747E-2</v>
      </c>
      <c r="O194" s="141">
        <f t="shared" si="291"/>
        <v>5.8329374683218756E-2</v>
      </c>
      <c r="P194" s="141">
        <f t="shared" si="292"/>
        <v>0.91467307853667446</v>
      </c>
      <c r="Q194" s="140">
        <v>3113</v>
      </c>
      <c r="R194" s="139">
        <v>22260892314</v>
      </c>
      <c r="S194" s="140">
        <v>50652</v>
      </c>
      <c r="T194" s="139">
        <v>48095626582</v>
      </c>
      <c r="U194" s="140">
        <v>20274832</v>
      </c>
      <c r="V194" s="139">
        <v>754195893044</v>
      </c>
    </row>
    <row r="195" spans="1:22" ht="15.95" customHeight="1" x14ac:dyDescent="0.3">
      <c r="A195" s="137">
        <v>56</v>
      </c>
      <c r="B195" s="207" t="s">
        <v>3983</v>
      </c>
      <c r="C195" s="137">
        <v>1000326195</v>
      </c>
      <c r="D195" s="137" t="s">
        <v>571</v>
      </c>
      <c r="E195" s="137">
        <v>1683535</v>
      </c>
      <c r="F195" s="137" t="s">
        <v>2067</v>
      </c>
      <c r="G195" s="206" t="s">
        <v>4024</v>
      </c>
      <c r="H195" s="207" t="s">
        <v>3969</v>
      </c>
      <c r="I195" s="137" t="s">
        <v>2258</v>
      </c>
      <c r="J195" s="137" t="s">
        <v>2047</v>
      </c>
      <c r="K195" s="137" t="s">
        <v>2048</v>
      </c>
      <c r="L195" s="139">
        <f t="shared" ref="L195:L197" si="293">ABS(R195)+ABS(T195)+ABS(V195)</f>
        <v>135135802579544</v>
      </c>
      <c r="M195" s="140">
        <f t="shared" ref="M195:M197" si="294">Q195+S195+U195</f>
        <v>436666872</v>
      </c>
      <c r="N195" s="141">
        <f t="shared" ref="N195:N197" si="295">ABS(R195)/$L195</f>
        <v>1.5824599990133983E-2</v>
      </c>
      <c r="O195" s="141">
        <f t="shared" ref="O195:O197" si="296">ABS(T195)/$L195</f>
        <v>0</v>
      </c>
      <c r="P195" s="141">
        <f t="shared" ref="P195:P197" si="297">ABS(V195)/$L195</f>
        <v>0.98417540000986603</v>
      </c>
      <c r="Q195" s="140">
        <v>448</v>
      </c>
      <c r="R195" s="139">
        <v>2138470020167</v>
      </c>
      <c r="S195" s="140">
        <v>0</v>
      </c>
      <c r="T195" s="139">
        <v>0</v>
      </c>
      <c r="U195" s="140">
        <v>436666424</v>
      </c>
      <c r="V195" s="139">
        <v>132997332559377</v>
      </c>
    </row>
    <row r="196" spans="1:22" ht="15.95" customHeight="1" x14ac:dyDescent="0.3">
      <c r="A196" s="137">
        <v>56</v>
      </c>
      <c r="B196" s="207" t="s">
        <v>3983</v>
      </c>
      <c r="C196" s="137">
        <v>1000326195</v>
      </c>
      <c r="D196" s="137" t="s">
        <v>571</v>
      </c>
      <c r="E196" s="137">
        <v>1683535</v>
      </c>
      <c r="F196" s="137" t="s">
        <v>2067</v>
      </c>
      <c r="G196" s="206" t="s">
        <v>4024</v>
      </c>
      <c r="H196" s="207" t="s">
        <v>3969</v>
      </c>
      <c r="I196" s="137" t="s">
        <v>2258</v>
      </c>
      <c r="J196" s="137" t="s">
        <v>2050</v>
      </c>
      <c r="K196" s="137" t="s">
        <v>2046</v>
      </c>
      <c r="L196" s="139">
        <f t="shared" si="293"/>
        <v>1294185518710</v>
      </c>
      <c r="M196" s="140">
        <f t="shared" si="294"/>
        <v>17366088</v>
      </c>
      <c r="N196" s="141">
        <f t="shared" si="295"/>
        <v>3.5851555573151915E-2</v>
      </c>
      <c r="O196" s="141">
        <f t="shared" si="296"/>
        <v>0.38206776131359238</v>
      </c>
      <c r="P196" s="141">
        <f t="shared" si="297"/>
        <v>0.58208068311325578</v>
      </c>
      <c r="Q196" s="140">
        <v>4672</v>
      </c>
      <c r="R196" s="139">
        <v>46398564046</v>
      </c>
      <c r="S196" s="140">
        <v>383992</v>
      </c>
      <c r="T196" s="139">
        <v>494466563858</v>
      </c>
      <c r="U196" s="140">
        <v>16977424</v>
      </c>
      <c r="V196" s="139">
        <v>753320390806</v>
      </c>
    </row>
    <row r="197" spans="1:22" ht="15.95" customHeight="1" x14ac:dyDescent="0.3">
      <c r="A197" s="137">
        <v>56</v>
      </c>
      <c r="B197" s="207" t="s">
        <v>3983</v>
      </c>
      <c r="C197" s="137">
        <v>1000326195</v>
      </c>
      <c r="D197" s="137" t="s">
        <v>571</v>
      </c>
      <c r="E197" s="137">
        <v>1683535</v>
      </c>
      <c r="F197" s="137" t="s">
        <v>2067</v>
      </c>
      <c r="G197" s="206" t="s">
        <v>4024</v>
      </c>
      <c r="H197" s="207" t="s">
        <v>3969</v>
      </c>
      <c r="I197" s="137" t="s">
        <v>2258</v>
      </c>
      <c r="J197" s="137" t="s">
        <v>2045</v>
      </c>
      <c r="K197" s="137" t="s">
        <v>2046</v>
      </c>
      <c r="L197" s="139">
        <f t="shared" si="293"/>
        <v>8902968226048</v>
      </c>
      <c r="M197" s="140">
        <f t="shared" si="294"/>
        <v>94467012</v>
      </c>
      <c r="N197" s="141">
        <f t="shared" si="295"/>
        <v>0.14670334771718843</v>
      </c>
      <c r="O197" s="141">
        <f t="shared" si="296"/>
        <v>6.4106934566737259E-2</v>
      </c>
      <c r="P197" s="141">
        <f t="shared" si="297"/>
        <v>0.78918971771607427</v>
      </c>
      <c r="Q197" s="140">
        <v>3358</v>
      </c>
      <c r="R197" s="139">
        <v>1306095243381</v>
      </c>
      <c r="S197" s="140">
        <v>331584</v>
      </c>
      <c r="T197" s="139">
        <v>570742001517</v>
      </c>
      <c r="U197" s="140">
        <v>94132070</v>
      </c>
      <c r="V197" s="139">
        <v>7026130981150</v>
      </c>
    </row>
    <row r="198" spans="1:22" ht="15.95" customHeight="1" x14ac:dyDescent="0.3">
      <c r="A198" s="137">
        <v>59</v>
      </c>
      <c r="B198" s="137" t="s">
        <v>2054</v>
      </c>
      <c r="C198" s="137">
        <v>1000317517</v>
      </c>
      <c r="D198" s="137" t="s">
        <v>3371</v>
      </c>
      <c r="E198" s="137">
        <v>1664607</v>
      </c>
      <c r="F198" s="166" t="s">
        <v>3272</v>
      </c>
      <c r="G198" s="166" t="s">
        <v>3372</v>
      </c>
      <c r="H198" s="137" t="s">
        <v>2056</v>
      </c>
      <c r="I198" s="137" t="s">
        <v>2258</v>
      </c>
      <c r="J198" s="137" t="s">
        <v>2047</v>
      </c>
      <c r="K198" s="137" t="s">
        <v>2048</v>
      </c>
      <c r="L198" s="139">
        <f t="shared" ref="L198:L199" si="298">ABS(R198)+ABS(T198)+ABS(V198)</f>
        <v>58666734762130</v>
      </c>
      <c r="M198" s="140">
        <f t="shared" ref="M198:M199" si="299">Q198+S198+U198</f>
        <v>128984268</v>
      </c>
      <c r="N198" s="141">
        <f t="shared" ref="N198:N199" si="300">ABS(R198)/$L198</f>
        <v>2.8252101360853425E-3</v>
      </c>
      <c r="O198" s="141">
        <f t="shared" ref="O198:O199" si="301">ABS(T198)/$L198</f>
        <v>0</v>
      </c>
      <c r="P198" s="141">
        <f t="shared" ref="P198:P199" si="302">ABS(V198)/$L198</f>
        <v>0.99717478986391461</v>
      </c>
      <c r="Q198" s="140">
        <v>18</v>
      </c>
      <c r="R198" s="139">
        <v>-165745853701</v>
      </c>
      <c r="S198" s="140">
        <v>0</v>
      </c>
      <c r="T198" s="139">
        <v>0</v>
      </c>
      <c r="U198" s="140">
        <v>128984250</v>
      </c>
      <c r="V198" s="139">
        <v>58500988908429</v>
      </c>
    </row>
    <row r="199" spans="1:22" ht="15.95" customHeight="1" x14ac:dyDescent="0.3">
      <c r="A199" s="137">
        <v>59</v>
      </c>
      <c r="B199" s="137" t="s">
        <v>2054</v>
      </c>
      <c r="C199" s="137">
        <v>1000317517</v>
      </c>
      <c r="D199" s="137" t="s">
        <v>3371</v>
      </c>
      <c r="E199" s="137">
        <v>1664607</v>
      </c>
      <c r="F199" s="166" t="s">
        <v>3272</v>
      </c>
      <c r="G199" s="166" t="s">
        <v>3372</v>
      </c>
      <c r="H199" s="137" t="s">
        <v>2056</v>
      </c>
      <c r="I199" s="137" t="s">
        <v>2258</v>
      </c>
      <c r="J199" s="137" t="s">
        <v>2045</v>
      </c>
      <c r="K199" s="137" t="s">
        <v>2046</v>
      </c>
      <c r="L199" s="139">
        <f t="shared" si="298"/>
        <v>2373067933038</v>
      </c>
      <c r="M199" s="140">
        <f t="shared" si="299"/>
        <v>26281456</v>
      </c>
      <c r="N199" s="141">
        <f t="shared" si="300"/>
        <v>6.2573317195307706E-4</v>
      </c>
      <c r="O199" s="141">
        <f t="shared" si="301"/>
        <v>4.7387942482133426E-2</v>
      </c>
      <c r="P199" s="141">
        <f t="shared" si="302"/>
        <v>0.95198632434591346</v>
      </c>
      <c r="Q199" s="140">
        <v>284</v>
      </c>
      <c r="R199" s="139">
        <v>1484907325</v>
      </c>
      <c r="S199" s="140">
        <v>12264</v>
      </c>
      <c r="T199" s="139">
        <v>112454806717</v>
      </c>
      <c r="U199" s="140">
        <v>26268908</v>
      </c>
      <c r="V199" s="139">
        <v>2259128218996</v>
      </c>
    </row>
    <row r="200" spans="1:22" ht="15.95" customHeight="1" x14ac:dyDescent="0.3">
      <c r="A200" s="137">
        <v>59</v>
      </c>
      <c r="B200" s="207" t="s">
        <v>3983</v>
      </c>
      <c r="C200" s="137">
        <v>1000317517</v>
      </c>
      <c r="D200" s="137" t="s">
        <v>3371</v>
      </c>
      <c r="E200" s="137">
        <v>1664607</v>
      </c>
      <c r="F200" s="166" t="s">
        <v>3272</v>
      </c>
      <c r="G200" s="206" t="s">
        <v>4025</v>
      </c>
      <c r="H200" s="213" t="s">
        <v>3974</v>
      </c>
      <c r="I200" s="137" t="s">
        <v>2258</v>
      </c>
      <c r="J200" s="137" t="s">
        <v>2047</v>
      </c>
      <c r="K200" s="137" t="s">
        <v>2048</v>
      </c>
      <c r="L200" s="139">
        <f t="shared" ref="L200:L201" si="303">ABS(R200)+ABS(T200)+ABS(V200)</f>
        <v>68770549535284</v>
      </c>
      <c r="M200" s="140">
        <f t="shared" ref="M200:M201" si="304">Q200+S200+U200</f>
        <v>128152572</v>
      </c>
      <c r="N200" s="141">
        <f t="shared" ref="N200:N201" si="305">ABS(R200)/$L200</f>
        <v>2.5212767065361207E-3</v>
      </c>
      <c r="O200" s="141">
        <f t="shared" ref="O200:O201" si="306">ABS(T200)/$L200</f>
        <v>0</v>
      </c>
      <c r="P200" s="141">
        <f t="shared" ref="P200:P201" si="307">ABS(V200)/$L200</f>
        <v>0.99747872329346388</v>
      </c>
      <c r="Q200" s="140">
        <v>101</v>
      </c>
      <c r="R200" s="139">
        <v>173389584639</v>
      </c>
      <c r="S200" s="140">
        <v>0</v>
      </c>
      <c r="T200" s="139">
        <v>0</v>
      </c>
      <c r="U200" s="140">
        <v>128152471</v>
      </c>
      <c r="V200" s="139">
        <v>68597159950645</v>
      </c>
    </row>
    <row r="201" spans="1:22" ht="15.95" customHeight="1" x14ac:dyDescent="0.3">
      <c r="A201" s="137">
        <v>59</v>
      </c>
      <c r="B201" s="207" t="s">
        <v>3983</v>
      </c>
      <c r="C201" s="137">
        <v>1000317517</v>
      </c>
      <c r="D201" s="137" t="s">
        <v>3371</v>
      </c>
      <c r="E201" s="137">
        <v>1664607</v>
      </c>
      <c r="F201" s="166" t="s">
        <v>3272</v>
      </c>
      <c r="G201" s="206" t="s">
        <v>4025</v>
      </c>
      <c r="H201" s="213" t="s">
        <v>3974</v>
      </c>
      <c r="I201" s="137" t="s">
        <v>2258</v>
      </c>
      <c r="J201" s="137" t="s">
        <v>2045</v>
      </c>
      <c r="K201" s="137" t="s">
        <v>2046</v>
      </c>
      <c r="L201" s="139">
        <f t="shared" si="303"/>
        <v>2505098407973</v>
      </c>
      <c r="M201" s="140">
        <f t="shared" si="304"/>
        <v>26491863</v>
      </c>
      <c r="N201" s="141">
        <f t="shared" si="305"/>
        <v>2.9959536096918434E-3</v>
      </c>
      <c r="O201" s="141">
        <f t="shared" si="306"/>
        <v>4.6781722324364318E-2</v>
      </c>
      <c r="P201" s="141">
        <f t="shared" si="307"/>
        <v>0.95022232406594387</v>
      </c>
      <c r="Q201" s="140">
        <v>160</v>
      </c>
      <c r="R201" s="139">
        <v>7505158618</v>
      </c>
      <c r="S201" s="140">
        <v>11657</v>
      </c>
      <c r="T201" s="139">
        <v>117192818117</v>
      </c>
      <c r="U201" s="140">
        <v>26480046</v>
      </c>
      <c r="V201" s="139">
        <v>2380400431238</v>
      </c>
    </row>
    <row r="202" spans="1:22" ht="15.95" customHeight="1" x14ac:dyDescent="0.3">
      <c r="A202" s="137">
        <v>61</v>
      </c>
      <c r="B202" s="207" t="s">
        <v>3983</v>
      </c>
      <c r="C202" s="207">
        <v>1001005932</v>
      </c>
      <c r="D202" s="137" t="s">
        <v>4026</v>
      </c>
      <c r="E202" s="137">
        <v>1657550</v>
      </c>
      <c r="F202" s="166" t="s">
        <v>3599</v>
      </c>
      <c r="G202" s="206" t="s">
        <v>4027</v>
      </c>
      <c r="H202" s="207" t="s">
        <v>3969</v>
      </c>
      <c r="I202" s="137" t="s">
        <v>2258</v>
      </c>
      <c r="J202" s="137" t="s">
        <v>2047</v>
      </c>
      <c r="K202" s="137" t="s">
        <v>2048</v>
      </c>
      <c r="L202" s="139">
        <f t="shared" ref="L202:L203" si="308">ABS(R202)+ABS(T202)+ABS(V202)</f>
        <v>65447447683436</v>
      </c>
      <c r="M202" s="140">
        <f t="shared" ref="M202:M203" si="309">Q202+S202+U202</f>
        <v>1349103</v>
      </c>
      <c r="N202" s="141">
        <f t="shared" ref="N202:N203" si="310">ABS(R202)/$L202</f>
        <v>2.4069224271776799E-2</v>
      </c>
      <c r="O202" s="141">
        <f t="shared" ref="O202:O203" si="311">ABS(T202)/$L202</f>
        <v>0</v>
      </c>
      <c r="P202" s="141">
        <f t="shared" ref="P202:P203" si="312">ABS(V202)/$L202</f>
        <v>0.97593077572822318</v>
      </c>
      <c r="Q202" s="140">
        <v>41</v>
      </c>
      <c r="R202" s="139">
        <v>1575269296308</v>
      </c>
      <c r="S202" s="140">
        <v>0</v>
      </c>
      <c r="T202" s="139">
        <v>0</v>
      </c>
      <c r="U202" s="140">
        <v>1349062</v>
      </c>
      <c r="V202" s="139">
        <v>63872178387128</v>
      </c>
    </row>
    <row r="203" spans="1:22" ht="15.95" customHeight="1" x14ac:dyDescent="0.3">
      <c r="A203" s="137">
        <v>61</v>
      </c>
      <c r="B203" s="207" t="s">
        <v>3983</v>
      </c>
      <c r="C203" s="207">
        <v>1001005932</v>
      </c>
      <c r="D203" s="137" t="s">
        <v>4026</v>
      </c>
      <c r="E203" s="137">
        <v>1657550</v>
      </c>
      <c r="F203" s="166" t="s">
        <v>3599</v>
      </c>
      <c r="G203" s="206" t="s">
        <v>4027</v>
      </c>
      <c r="H203" s="207" t="s">
        <v>3969</v>
      </c>
      <c r="I203" s="137" t="s">
        <v>2258</v>
      </c>
      <c r="J203" s="137" t="s">
        <v>2050</v>
      </c>
      <c r="K203" s="137" t="s">
        <v>2046</v>
      </c>
      <c r="L203" s="139">
        <f t="shared" si="308"/>
        <v>82123120250</v>
      </c>
      <c r="M203" s="140">
        <f t="shared" si="309"/>
        <v>3299</v>
      </c>
      <c r="N203" s="141">
        <f t="shared" si="310"/>
        <v>0</v>
      </c>
      <c r="O203" s="141">
        <f t="shared" si="311"/>
        <v>0.3312829831986322</v>
      </c>
      <c r="P203" s="141">
        <f t="shared" si="312"/>
        <v>0.66871701680136786</v>
      </c>
      <c r="Q203" s="140">
        <v>0</v>
      </c>
      <c r="R203" s="139">
        <v>0</v>
      </c>
      <c r="S203" s="140">
        <v>66</v>
      </c>
      <c r="T203" s="139">
        <v>27205992266</v>
      </c>
      <c r="U203" s="140">
        <v>3233</v>
      </c>
      <c r="V203" s="139">
        <v>54917127984</v>
      </c>
    </row>
    <row r="204" spans="1:22" ht="15.95" customHeight="1" x14ac:dyDescent="0.3">
      <c r="A204" s="137">
        <v>65</v>
      </c>
      <c r="B204" s="137" t="s">
        <v>2054</v>
      </c>
      <c r="C204" s="137">
        <v>1001227695</v>
      </c>
      <c r="D204" s="137" t="s">
        <v>3373</v>
      </c>
      <c r="E204" s="137">
        <v>1660912</v>
      </c>
      <c r="F204" s="166" t="s">
        <v>3273</v>
      </c>
      <c r="G204" s="166" t="s">
        <v>3374</v>
      </c>
      <c r="H204" s="137" t="s">
        <v>2056</v>
      </c>
      <c r="I204" s="137" t="s">
        <v>2258</v>
      </c>
      <c r="J204" s="167" t="s">
        <v>2111</v>
      </c>
      <c r="K204" s="137" t="s">
        <v>2048</v>
      </c>
      <c r="L204" s="139">
        <f t="shared" ref="L204:L209" si="313">ABS(R204)+ABS(T204)+ABS(V204)</f>
        <v>6358296751</v>
      </c>
      <c r="M204" s="140">
        <f t="shared" ref="M204:M209" si="314">Q204+S204+U204</f>
        <v>335</v>
      </c>
      <c r="N204" s="141">
        <f t="shared" ref="N204:N209" si="315">ABS(R204)/$L204</f>
        <v>5.8044737364916991E-2</v>
      </c>
      <c r="O204" s="141">
        <f t="shared" ref="O204:O209" si="316">ABS(T204)/$L204</f>
        <v>0.28959493557931298</v>
      </c>
      <c r="P204" s="141">
        <f t="shared" ref="P204:P209" si="317">ABS(V204)/$L204</f>
        <v>0.65236032705577007</v>
      </c>
      <c r="Q204" s="140">
        <v>3</v>
      </c>
      <c r="R204" s="169">
        <v>369065665</v>
      </c>
      <c r="S204" s="140">
        <v>54</v>
      </c>
      <c r="T204" s="139">
        <v>-1841330538</v>
      </c>
      <c r="U204" s="140">
        <v>278</v>
      </c>
      <c r="V204" s="139">
        <v>4147900548</v>
      </c>
    </row>
    <row r="205" spans="1:22" ht="15.95" customHeight="1" x14ac:dyDescent="0.3">
      <c r="A205" s="137">
        <v>65</v>
      </c>
      <c r="B205" s="137" t="s">
        <v>2054</v>
      </c>
      <c r="C205" s="137">
        <v>1001227695</v>
      </c>
      <c r="D205" s="137" t="s">
        <v>3373</v>
      </c>
      <c r="E205" s="137">
        <v>1660912</v>
      </c>
      <c r="F205" s="166" t="s">
        <v>3273</v>
      </c>
      <c r="G205" s="166" t="s">
        <v>3374</v>
      </c>
      <c r="H205" s="137" t="s">
        <v>2056</v>
      </c>
      <c r="I205" s="137" t="s">
        <v>2258</v>
      </c>
      <c r="J205" s="137" t="s">
        <v>2047</v>
      </c>
      <c r="K205" s="137" t="s">
        <v>2048</v>
      </c>
      <c r="L205" s="139">
        <f t="shared" si="313"/>
        <v>113491899398</v>
      </c>
      <c r="M205" s="140">
        <f t="shared" si="314"/>
        <v>17114</v>
      </c>
      <c r="N205" s="141">
        <f t="shared" si="315"/>
        <v>4.036062506925249E-2</v>
      </c>
      <c r="O205" s="141">
        <f t="shared" si="316"/>
        <v>0</v>
      </c>
      <c r="P205" s="141">
        <f t="shared" si="317"/>
        <v>0.95963937493074747</v>
      </c>
      <c r="Q205" s="140">
        <v>6</v>
      </c>
      <c r="R205" s="139">
        <v>4580604000</v>
      </c>
      <c r="S205" s="140">
        <v>0</v>
      </c>
      <c r="T205" s="139">
        <v>0</v>
      </c>
      <c r="U205" s="140">
        <v>17108</v>
      </c>
      <c r="V205" s="139">
        <v>108911295398</v>
      </c>
    </row>
    <row r="206" spans="1:22" ht="15.95" customHeight="1" x14ac:dyDescent="0.3">
      <c r="A206" s="137">
        <v>65</v>
      </c>
      <c r="B206" s="207" t="s">
        <v>3983</v>
      </c>
      <c r="C206" s="137">
        <v>1001227695</v>
      </c>
      <c r="D206" s="137" t="s">
        <v>3373</v>
      </c>
      <c r="E206" s="137">
        <v>1660912</v>
      </c>
      <c r="F206" s="166" t="s">
        <v>3273</v>
      </c>
      <c r="G206" s="206" t="s">
        <v>4028</v>
      </c>
      <c r="H206" s="207" t="s">
        <v>3969</v>
      </c>
      <c r="I206" s="137" t="s">
        <v>2258</v>
      </c>
      <c r="J206" s="167" t="s">
        <v>2111</v>
      </c>
      <c r="K206" s="137" t="s">
        <v>2046</v>
      </c>
      <c r="L206" s="139">
        <f t="shared" ref="L206:L207" si="318">ABS(R206)+ABS(T206)+ABS(V206)</f>
        <v>28840070270</v>
      </c>
      <c r="M206" s="140">
        <f t="shared" ref="M206:M207" si="319">Q206+S206+U206</f>
        <v>794</v>
      </c>
      <c r="N206" s="141">
        <f t="shared" ref="N206:N207" si="320">ABS(R206)/$L206</f>
        <v>3.8526643992119508E-3</v>
      </c>
      <c r="O206" s="141">
        <f t="shared" ref="O206:O207" si="321">ABS(T206)/$L206</f>
        <v>0.5644905992110123</v>
      </c>
      <c r="P206" s="141">
        <f t="shared" ref="P206:P207" si="322">ABS(V206)/$L206</f>
        <v>0.43165673638977581</v>
      </c>
      <c r="Q206" s="140">
        <v>1</v>
      </c>
      <c r="R206" s="139">
        <v>111111112</v>
      </c>
      <c r="S206" s="140">
        <v>133</v>
      </c>
      <c r="T206" s="139">
        <v>16279948548</v>
      </c>
      <c r="U206" s="140">
        <v>660</v>
      </c>
      <c r="V206" s="139">
        <v>12449010610</v>
      </c>
    </row>
    <row r="207" spans="1:22" ht="15.95" customHeight="1" x14ac:dyDescent="0.3">
      <c r="A207" s="137">
        <v>65</v>
      </c>
      <c r="B207" s="207" t="s">
        <v>3983</v>
      </c>
      <c r="C207" s="137">
        <v>1001227695</v>
      </c>
      <c r="D207" s="137" t="s">
        <v>3373</v>
      </c>
      <c r="E207" s="137">
        <v>1660912</v>
      </c>
      <c r="F207" s="166" t="s">
        <v>3273</v>
      </c>
      <c r="G207" s="206" t="s">
        <v>4028</v>
      </c>
      <c r="H207" s="207" t="s">
        <v>3969</v>
      </c>
      <c r="I207" s="137" t="s">
        <v>2258</v>
      </c>
      <c r="J207" s="137" t="s">
        <v>2047</v>
      </c>
      <c r="K207" s="137" t="s">
        <v>2048</v>
      </c>
      <c r="L207" s="139">
        <f t="shared" si="318"/>
        <v>390412601416</v>
      </c>
      <c r="M207" s="140">
        <f t="shared" si="319"/>
        <v>34446</v>
      </c>
      <c r="N207" s="141">
        <f t="shared" si="320"/>
        <v>8.3782772570259248E-2</v>
      </c>
      <c r="O207" s="141">
        <f t="shared" si="321"/>
        <v>0</v>
      </c>
      <c r="P207" s="141">
        <f t="shared" si="322"/>
        <v>0.91621722742974077</v>
      </c>
      <c r="Q207" s="140">
        <v>8</v>
      </c>
      <c r="R207" s="139">
        <v>32709850193</v>
      </c>
      <c r="S207" s="140">
        <v>0</v>
      </c>
      <c r="T207" s="139">
        <v>0</v>
      </c>
      <c r="U207" s="140">
        <v>34438</v>
      </c>
      <c r="V207" s="139">
        <v>357702751223</v>
      </c>
    </row>
    <row r="208" spans="1:22" ht="15.95" customHeight="1" x14ac:dyDescent="0.3">
      <c r="A208" s="137">
        <v>66</v>
      </c>
      <c r="B208" s="137" t="s">
        <v>2054</v>
      </c>
      <c r="C208" s="137">
        <v>1000670608</v>
      </c>
      <c r="D208" s="137" t="s">
        <v>3375</v>
      </c>
      <c r="E208" s="137">
        <v>1683705</v>
      </c>
      <c r="F208" s="166" t="s">
        <v>3274</v>
      </c>
      <c r="G208" s="166" t="s">
        <v>3377</v>
      </c>
      <c r="H208" s="137" t="s">
        <v>2056</v>
      </c>
      <c r="I208" s="137" t="s">
        <v>2258</v>
      </c>
      <c r="J208" s="137" t="s">
        <v>2047</v>
      </c>
      <c r="K208" s="137" t="s">
        <v>2048</v>
      </c>
      <c r="L208" s="139">
        <f t="shared" si="313"/>
        <v>50271528549698</v>
      </c>
      <c r="M208" s="140">
        <f t="shared" si="314"/>
        <v>70728265</v>
      </c>
      <c r="N208" s="141">
        <f t="shared" si="315"/>
        <v>0.19120417691024721</v>
      </c>
      <c r="O208" s="141">
        <f t="shared" si="316"/>
        <v>0</v>
      </c>
      <c r="P208" s="141">
        <f t="shared" si="317"/>
        <v>0.80879582308975273</v>
      </c>
      <c r="Q208" s="140">
        <v>39</v>
      </c>
      <c r="R208" s="139">
        <v>9612126238365</v>
      </c>
      <c r="S208" s="140">
        <v>0</v>
      </c>
      <c r="T208" s="139">
        <v>0</v>
      </c>
      <c r="U208" s="140">
        <v>70728226</v>
      </c>
      <c r="V208" s="139">
        <v>40659402311333</v>
      </c>
    </row>
    <row r="209" spans="1:22" ht="15.95" customHeight="1" x14ac:dyDescent="0.3">
      <c r="A209" s="137">
        <v>66</v>
      </c>
      <c r="B209" s="137" t="s">
        <v>2054</v>
      </c>
      <c r="C209" s="137">
        <v>1000670608</v>
      </c>
      <c r="D209" s="137" t="s">
        <v>3375</v>
      </c>
      <c r="E209" s="137">
        <v>1683705</v>
      </c>
      <c r="F209" s="166" t="s">
        <v>3274</v>
      </c>
      <c r="G209" s="166" t="s">
        <v>3377</v>
      </c>
      <c r="H209" s="137" t="s">
        <v>2056</v>
      </c>
      <c r="I209" s="137" t="s">
        <v>2258</v>
      </c>
      <c r="J209" s="137" t="s">
        <v>2050</v>
      </c>
      <c r="K209" s="137" t="s">
        <v>2046</v>
      </c>
      <c r="L209" s="139">
        <f t="shared" si="313"/>
        <v>959963262739</v>
      </c>
      <c r="M209" s="140">
        <f t="shared" si="314"/>
        <v>5912696</v>
      </c>
      <c r="N209" s="141">
        <f t="shared" si="315"/>
        <v>0.10396328854423507</v>
      </c>
      <c r="O209" s="141">
        <f t="shared" si="316"/>
        <v>0.28588166675563198</v>
      </c>
      <c r="P209" s="141">
        <f t="shared" si="317"/>
        <v>0.61015504470013293</v>
      </c>
      <c r="Q209" s="140">
        <v>1994</v>
      </c>
      <c r="R209" s="139">
        <v>99800937676</v>
      </c>
      <c r="S209" s="140">
        <v>36716</v>
      </c>
      <c r="T209" s="139">
        <v>274435897576</v>
      </c>
      <c r="U209" s="168">
        <v>5873986</v>
      </c>
      <c r="V209" s="139">
        <v>585726427487</v>
      </c>
    </row>
    <row r="210" spans="1:22" ht="15.95" customHeight="1" x14ac:dyDescent="0.3">
      <c r="A210" s="137">
        <v>68</v>
      </c>
      <c r="B210" s="207" t="s">
        <v>3983</v>
      </c>
      <c r="C210" s="137">
        <v>1000855664</v>
      </c>
      <c r="D210" s="137" t="s">
        <v>4029</v>
      </c>
      <c r="E210" s="137">
        <v>1669402</v>
      </c>
      <c r="F210" s="166" t="s">
        <v>3275</v>
      </c>
      <c r="G210" s="206" t="s">
        <v>4030</v>
      </c>
      <c r="H210" s="207" t="s">
        <v>3969</v>
      </c>
      <c r="I210" s="137" t="s">
        <v>2258</v>
      </c>
      <c r="J210" s="137" t="s">
        <v>2047</v>
      </c>
      <c r="K210" s="137" t="s">
        <v>2048</v>
      </c>
      <c r="L210" s="139">
        <f t="shared" ref="L210:L211" si="323">ABS(R210)+ABS(T210)+ABS(V210)</f>
        <v>92835038685076</v>
      </c>
      <c r="M210" s="140">
        <f t="shared" ref="M210:M211" si="324">Q210+S210+U210</f>
        <v>7866939</v>
      </c>
      <c r="N210" s="141">
        <f t="shared" ref="N210:N211" si="325">ABS(R210)/$L210</f>
        <v>3.4451058383133388E-3</v>
      </c>
      <c r="O210" s="141">
        <f t="shared" ref="O210:O211" si="326">ABS(T210)/$L210</f>
        <v>0</v>
      </c>
      <c r="P210" s="141">
        <f t="shared" ref="P210:P211" si="327">ABS(V210)/$L210</f>
        <v>0.99655489416168663</v>
      </c>
      <c r="Q210" s="140">
        <v>48</v>
      </c>
      <c r="R210" s="139">
        <v>319826533774</v>
      </c>
      <c r="S210" s="140">
        <v>0</v>
      </c>
      <c r="T210" s="139">
        <v>0</v>
      </c>
      <c r="U210" s="168">
        <v>7866891</v>
      </c>
      <c r="V210" s="139">
        <v>92515212151302</v>
      </c>
    </row>
    <row r="211" spans="1:22" ht="15.95" customHeight="1" x14ac:dyDescent="0.3">
      <c r="A211" s="137">
        <v>68</v>
      </c>
      <c r="B211" s="207" t="s">
        <v>3983</v>
      </c>
      <c r="C211" s="137">
        <v>1000855664</v>
      </c>
      <c r="D211" s="137" t="s">
        <v>4029</v>
      </c>
      <c r="E211" s="137">
        <v>1669402</v>
      </c>
      <c r="F211" s="166" t="s">
        <v>3275</v>
      </c>
      <c r="G211" s="206" t="s">
        <v>4030</v>
      </c>
      <c r="H211" s="207" t="s">
        <v>3969</v>
      </c>
      <c r="I211" s="137" t="s">
        <v>2258</v>
      </c>
      <c r="J211" s="137" t="s">
        <v>2045</v>
      </c>
      <c r="K211" s="137" t="s">
        <v>2046</v>
      </c>
      <c r="L211" s="139">
        <f t="shared" si="323"/>
        <v>1656261726386</v>
      </c>
      <c r="M211" s="140">
        <f t="shared" si="324"/>
        <v>679714</v>
      </c>
      <c r="N211" s="141">
        <f t="shared" si="325"/>
        <v>2.1873677939809353E-2</v>
      </c>
      <c r="O211" s="141">
        <f t="shared" si="326"/>
        <v>4.0451500917183976E-2</v>
      </c>
      <c r="P211" s="141">
        <f t="shared" si="327"/>
        <v>0.93767482114300671</v>
      </c>
      <c r="Q211" s="140">
        <v>33</v>
      </c>
      <c r="R211" s="139">
        <v>36228535587</v>
      </c>
      <c r="S211" s="140">
        <v>53</v>
      </c>
      <c r="T211" s="139">
        <v>66998272744</v>
      </c>
      <c r="U211" s="168">
        <v>679628</v>
      </c>
      <c r="V211" s="139">
        <v>1553034918055</v>
      </c>
    </row>
    <row r="212" spans="1:22" ht="15.95" customHeight="1" x14ac:dyDescent="0.3">
      <c r="A212" s="137">
        <v>70</v>
      </c>
      <c r="B212" s="137" t="s">
        <v>2054</v>
      </c>
      <c r="C212" s="137">
        <v>1000326244</v>
      </c>
      <c r="D212" s="137" t="s">
        <v>2236</v>
      </c>
      <c r="E212" s="137">
        <v>1659927</v>
      </c>
      <c r="F212" s="166" t="s">
        <v>2237</v>
      </c>
      <c r="G212" s="166" t="s">
        <v>3376</v>
      </c>
      <c r="H212" s="137" t="s">
        <v>2056</v>
      </c>
      <c r="I212" s="137" t="s">
        <v>2258</v>
      </c>
      <c r="J212" s="137" t="s">
        <v>2047</v>
      </c>
      <c r="K212" s="137" t="s">
        <v>2048</v>
      </c>
      <c r="L212" s="139">
        <f t="shared" ref="L212:L214" si="328">ABS(R212)+ABS(T212)+ABS(V212)</f>
        <v>28446099086336</v>
      </c>
      <c r="M212" s="140">
        <f t="shared" ref="M212:M214" si="329">Q212+S212+U212</f>
        <v>7919062</v>
      </c>
      <c r="N212" s="141">
        <f t="shared" ref="N212:N214" si="330">ABS(R212)/$L212</f>
        <v>2.1255454372316187E-4</v>
      </c>
      <c r="O212" s="141">
        <f t="shared" ref="O212:O214" si="331">ABS(T212)/$L212</f>
        <v>0</v>
      </c>
      <c r="P212" s="141">
        <f t="shared" ref="P212:P214" si="332">ABS(V212)/$L212</f>
        <v>0.99978744545627685</v>
      </c>
      <c r="Q212" s="140">
        <v>28</v>
      </c>
      <c r="R212" s="139">
        <v>6046347612</v>
      </c>
      <c r="S212" s="140">
        <v>0</v>
      </c>
      <c r="T212" s="139">
        <v>0</v>
      </c>
      <c r="U212" s="140">
        <v>7919034</v>
      </c>
      <c r="V212" s="139">
        <v>28440052738724</v>
      </c>
    </row>
    <row r="213" spans="1:22" ht="15.95" customHeight="1" x14ac:dyDescent="0.3">
      <c r="A213" s="137">
        <v>70</v>
      </c>
      <c r="B213" s="137" t="s">
        <v>2054</v>
      </c>
      <c r="C213" s="137">
        <v>1000326244</v>
      </c>
      <c r="D213" s="137" t="s">
        <v>2236</v>
      </c>
      <c r="E213" s="137">
        <v>1659927</v>
      </c>
      <c r="F213" s="166" t="s">
        <v>2237</v>
      </c>
      <c r="G213" s="166" t="s">
        <v>3376</v>
      </c>
      <c r="H213" s="137" t="s">
        <v>2056</v>
      </c>
      <c r="I213" s="137" t="s">
        <v>2258</v>
      </c>
      <c r="J213" s="137" t="s">
        <v>2050</v>
      </c>
      <c r="K213" s="137" t="s">
        <v>2048</v>
      </c>
      <c r="L213" s="139">
        <f t="shared" si="328"/>
        <v>60596572808</v>
      </c>
      <c r="M213" s="140">
        <f t="shared" si="329"/>
        <v>22534</v>
      </c>
      <c r="N213" s="141">
        <f t="shared" si="330"/>
        <v>5.6302120646492787E-2</v>
      </c>
      <c r="O213" s="141">
        <f t="shared" si="331"/>
        <v>0.27432186299825567</v>
      </c>
      <c r="P213" s="141">
        <f t="shared" si="332"/>
        <v>0.66937601635525157</v>
      </c>
      <c r="Q213" s="140">
        <v>95</v>
      </c>
      <c r="R213" s="139">
        <v>-3411715553</v>
      </c>
      <c r="S213" s="140">
        <v>869</v>
      </c>
      <c r="T213" s="139">
        <v>16622964744</v>
      </c>
      <c r="U213" s="140">
        <v>21570</v>
      </c>
      <c r="V213" s="139">
        <v>40561892511</v>
      </c>
    </row>
    <row r="214" spans="1:22" ht="15.95" customHeight="1" x14ac:dyDescent="0.3">
      <c r="A214" s="137">
        <v>70</v>
      </c>
      <c r="B214" s="137" t="s">
        <v>2054</v>
      </c>
      <c r="C214" s="137">
        <v>1000326244</v>
      </c>
      <c r="D214" s="137" t="s">
        <v>2236</v>
      </c>
      <c r="E214" s="137">
        <v>1659927</v>
      </c>
      <c r="F214" s="166" t="s">
        <v>2237</v>
      </c>
      <c r="G214" s="166" t="s">
        <v>3376</v>
      </c>
      <c r="H214" s="137" t="s">
        <v>2056</v>
      </c>
      <c r="I214" s="137" t="s">
        <v>2258</v>
      </c>
      <c r="J214" s="137" t="s">
        <v>2045</v>
      </c>
      <c r="K214" s="137" t="s">
        <v>2048</v>
      </c>
      <c r="L214" s="139">
        <f t="shared" si="328"/>
        <v>1045207799234</v>
      </c>
      <c r="M214" s="140">
        <f t="shared" si="329"/>
        <v>79191</v>
      </c>
      <c r="N214" s="141">
        <f t="shared" si="330"/>
        <v>1.6323401406403324E-3</v>
      </c>
      <c r="O214" s="141">
        <f t="shared" si="331"/>
        <v>6.2299018442764253E-2</v>
      </c>
      <c r="P214" s="141">
        <f t="shared" si="332"/>
        <v>0.9360686414165954</v>
      </c>
      <c r="Q214" s="140">
        <v>10</v>
      </c>
      <c r="R214" s="139">
        <v>1706134646</v>
      </c>
      <c r="S214" s="140">
        <v>1004</v>
      </c>
      <c r="T214" s="139">
        <v>65115419961</v>
      </c>
      <c r="U214" s="140">
        <v>78177</v>
      </c>
      <c r="V214" s="139">
        <v>978386244627</v>
      </c>
    </row>
    <row r="215" spans="1:22" ht="15.95" customHeight="1" x14ac:dyDescent="0.3">
      <c r="A215" s="137">
        <v>70</v>
      </c>
      <c r="B215" s="207" t="s">
        <v>3983</v>
      </c>
      <c r="C215" s="137">
        <v>1000326244</v>
      </c>
      <c r="D215" s="137" t="s">
        <v>2236</v>
      </c>
      <c r="E215" s="137">
        <v>1659927</v>
      </c>
      <c r="F215" s="166" t="s">
        <v>2237</v>
      </c>
      <c r="G215" s="206" t="s">
        <v>4031</v>
      </c>
      <c r="H215" s="207" t="s">
        <v>3969</v>
      </c>
      <c r="I215" s="137" t="s">
        <v>2258</v>
      </c>
      <c r="J215" s="137" t="s">
        <v>2047</v>
      </c>
      <c r="K215" s="137" t="s">
        <v>2048</v>
      </c>
      <c r="L215" s="139">
        <f t="shared" ref="L215:L217" si="333">ABS(R215)+ABS(T215)+ABS(V215)</f>
        <v>64913583296330</v>
      </c>
      <c r="M215" s="140">
        <f t="shared" ref="M215:M217" si="334">Q215+S215+U215</f>
        <v>16908062</v>
      </c>
      <c r="N215" s="141">
        <f t="shared" ref="N215:N217" si="335">ABS(R215)/$L215</f>
        <v>1.8700908630915655E-2</v>
      </c>
      <c r="O215" s="141">
        <f t="shared" ref="O215:O217" si="336">ABS(T215)/$L215</f>
        <v>0</v>
      </c>
      <c r="P215" s="141">
        <f t="shared" ref="P215:P217" si="337">ABS(V215)/$L215</f>
        <v>0.98129909136908433</v>
      </c>
      <c r="Q215" s="140">
        <v>159</v>
      </c>
      <c r="R215" s="139">
        <v>-1213942990130</v>
      </c>
      <c r="S215" s="140">
        <v>0</v>
      </c>
      <c r="T215" s="139">
        <v>0</v>
      </c>
      <c r="U215" s="140">
        <v>16907903</v>
      </c>
      <c r="V215" s="139">
        <v>63699640306200</v>
      </c>
    </row>
    <row r="216" spans="1:22" ht="15.95" customHeight="1" x14ac:dyDescent="0.3">
      <c r="A216" s="137">
        <v>70</v>
      </c>
      <c r="B216" s="207" t="s">
        <v>3983</v>
      </c>
      <c r="C216" s="137">
        <v>1000326244</v>
      </c>
      <c r="D216" s="137" t="s">
        <v>2236</v>
      </c>
      <c r="E216" s="137">
        <v>1659927</v>
      </c>
      <c r="F216" s="166" t="s">
        <v>2237</v>
      </c>
      <c r="G216" s="206" t="s">
        <v>4031</v>
      </c>
      <c r="H216" s="207" t="s">
        <v>3969</v>
      </c>
      <c r="I216" s="137" t="s">
        <v>2258</v>
      </c>
      <c r="J216" s="137" t="s">
        <v>2050</v>
      </c>
      <c r="K216" s="137" t="s">
        <v>2046</v>
      </c>
      <c r="L216" s="139">
        <f t="shared" si="333"/>
        <v>91829166503</v>
      </c>
      <c r="M216" s="140">
        <f t="shared" si="334"/>
        <v>43555</v>
      </c>
      <c r="N216" s="141">
        <f t="shared" si="335"/>
        <v>1.6744987595523533E-2</v>
      </c>
      <c r="O216" s="141">
        <f t="shared" si="336"/>
        <v>0.22485607097746479</v>
      </c>
      <c r="P216" s="141">
        <f t="shared" si="337"/>
        <v>0.7583989414270117</v>
      </c>
      <c r="Q216" s="140">
        <v>134</v>
      </c>
      <c r="R216" s="139">
        <v>1537678254</v>
      </c>
      <c r="S216" s="140">
        <v>1065</v>
      </c>
      <c r="T216" s="139">
        <v>20648345581</v>
      </c>
      <c r="U216" s="140">
        <v>42356</v>
      </c>
      <c r="V216" s="139">
        <v>69643142668</v>
      </c>
    </row>
    <row r="217" spans="1:22" ht="15.95" customHeight="1" x14ac:dyDescent="0.3">
      <c r="A217" s="137">
        <v>70</v>
      </c>
      <c r="B217" s="207" t="s">
        <v>3983</v>
      </c>
      <c r="C217" s="137">
        <v>1000326244</v>
      </c>
      <c r="D217" s="137" t="s">
        <v>2236</v>
      </c>
      <c r="E217" s="137">
        <v>1659927</v>
      </c>
      <c r="F217" s="166" t="s">
        <v>2237</v>
      </c>
      <c r="G217" s="206" t="s">
        <v>4031</v>
      </c>
      <c r="H217" s="207" t="s">
        <v>3969</v>
      </c>
      <c r="I217" s="137" t="s">
        <v>2258</v>
      </c>
      <c r="J217" s="137" t="s">
        <v>2045</v>
      </c>
      <c r="K217" s="137" t="s">
        <v>2046</v>
      </c>
      <c r="L217" s="139">
        <f t="shared" si="333"/>
        <v>4512349562454</v>
      </c>
      <c r="M217" s="140">
        <f t="shared" si="334"/>
        <v>141733</v>
      </c>
      <c r="N217" s="141">
        <f t="shared" si="335"/>
        <v>7.3500489093231906E-4</v>
      </c>
      <c r="O217" s="141">
        <f t="shared" si="336"/>
        <v>0.31309279788613503</v>
      </c>
      <c r="P217" s="141">
        <f t="shared" si="337"/>
        <v>0.68617219722293266</v>
      </c>
      <c r="Q217" s="140">
        <v>33</v>
      </c>
      <c r="R217" s="139">
        <v>3316598998</v>
      </c>
      <c r="S217" s="140">
        <v>2419</v>
      </c>
      <c r="T217" s="139">
        <v>1412784149549</v>
      </c>
      <c r="U217" s="140">
        <v>139281</v>
      </c>
      <c r="V217" s="139">
        <v>3096248813907</v>
      </c>
    </row>
    <row r="218" spans="1:22" ht="15.95" customHeight="1" x14ac:dyDescent="0.3">
      <c r="A218" s="137">
        <v>71</v>
      </c>
      <c r="B218" s="137" t="s">
        <v>2246</v>
      </c>
      <c r="C218" s="137">
        <v>1001148872</v>
      </c>
      <c r="D218" s="137" t="s">
        <v>1539</v>
      </c>
      <c r="E218" s="137">
        <v>1661433</v>
      </c>
      <c r="F218" s="137" t="s">
        <v>2238</v>
      </c>
      <c r="G218" s="137" t="s">
        <v>2240</v>
      </c>
      <c r="H218" s="137" t="s">
        <v>2241</v>
      </c>
      <c r="I218" s="137" t="s">
        <v>2258</v>
      </c>
      <c r="J218" s="137" t="s">
        <v>2242</v>
      </c>
      <c r="K218" s="137" t="s">
        <v>2077</v>
      </c>
      <c r="L218" s="139">
        <f>ABS(R218)+ABS(T218)+ABS(V218)</f>
        <v>1265490134368</v>
      </c>
      <c r="M218" s="140">
        <f>Q218+S218+U218</f>
        <v>17204</v>
      </c>
      <c r="N218" s="141">
        <f>ABS(R218)/$L218</f>
        <v>4.4899316472645889E-2</v>
      </c>
      <c r="O218" s="141">
        <f>ABS(T218)/$L218</f>
        <v>0</v>
      </c>
      <c r="P218" s="141">
        <f>ABS(V218)/$L218</f>
        <v>0.95510068352735411</v>
      </c>
      <c r="Q218" s="140">
        <v>3</v>
      </c>
      <c r="R218" s="139">
        <v>56819642036</v>
      </c>
      <c r="S218" s="140">
        <v>0</v>
      </c>
      <c r="T218" s="139">
        <v>0</v>
      </c>
      <c r="U218" s="140">
        <v>17201</v>
      </c>
      <c r="V218" s="139">
        <v>1208670492332</v>
      </c>
    </row>
    <row r="219" spans="1:22" ht="15.95" customHeight="1" x14ac:dyDescent="0.3">
      <c r="A219" s="137">
        <v>71</v>
      </c>
      <c r="B219" s="137" t="s">
        <v>2246</v>
      </c>
      <c r="C219" s="137">
        <v>1001148872</v>
      </c>
      <c r="D219" s="137" t="s">
        <v>1539</v>
      </c>
      <c r="E219" s="137">
        <v>1661433</v>
      </c>
      <c r="F219" s="137" t="s">
        <v>2238</v>
      </c>
      <c r="G219" s="137" t="s">
        <v>2239</v>
      </c>
      <c r="H219" s="137" t="s">
        <v>2241</v>
      </c>
      <c r="I219" s="137" t="s">
        <v>2258</v>
      </c>
      <c r="J219" s="137" t="s">
        <v>2243</v>
      </c>
      <c r="K219" s="137" t="s">
        <v>2077</v>
      </c>
      <c r="L219" s="139">
        <f>ABS(R219)+ABS(T219)+ABS(V219)</f>
        <v>27437094196</v>
      </c>
      <c r="M219" s="140">
        <f>Q219+S219+U219</f>
        <v>115</v>
      </c>
      <c r="N219" s="141">
        <f>ABS(R219)/$L219</f>
        <v>0</v>
      </c>
      <c r="O219" s="141">
        <f>ABS(T219)/$L219</f>
        <v>3.2287830178793178E-2</v>
      </c>
      <c r="P219" s="141">
        <f>ABS(V219)/$L219</f>
        <v>0.96771216982120678</v>
      </c>
      <c r="Q219" s="140">
        <v>0</v>
      </c>
      <c r="R219" s="139">
        <v>0</v>
      </c>
      <c r="S219" s="140">
        <v>4</v>
      </c>
      <c r="T219" s="139">
        <v>-885884238</v>
      </c>
      <c r="U219" s="140">
        <v>111</v>
      </c>
      <c r="V219" s="139">
        <v>26551209958</v>
      </c>
    </row>
    <row r="220" spans="1:22" ht="15.95" customHeight="1" x14ac:dyDescent="0.3">
      <c r="A220" s="137">
        <v>71</v>
      </c>
      <c r="B220" s="207" t="s">
        <v>3983</v>
      </c>
      <c r="C220" s="137">
        <v>1001148872</v>
      </c>
      <c r="D220" s="137" t="s">
        <v>1539</v>
      </c>
      <c r="E220" s="137">
        <v>1661433</v>
      </c>
      <c r="F220" s="137" t="s">
        <v>2238</v>
      </c>
      <c r="G220" s="207" t="s">
        <v>4033</v>
      </c>
      <c r="H220" s="207" t="s">
        <v>3969</v>
      </c>
      <c r="I220" s="137" t="s">
        <v>2258</v>
      </c>
      <c r="J220" s="137" t="s">
        <v>2242</v>
      </c>
      <c r="K220" s="137" t="s">
        <v>2077</v>
      </c>
      <c r="L220" s="139">
        <f>ABS(R220)+ABS(T220)+ABS(V220)</f>
        <v>2687069896926</v>
      </c>
      <c r="M220" s="140">
        <f>Q220+S220+U220</f>
        <v>31565</v>
      </c>
      <c r="N220" s="141">
        <f>ABS(R220)/$L220</f>
        <v>2.1480895601946295E-2</v>
      </c>
      <c r="O220" s="141">
        <f>ABS(T220)/$L220</f>
        <v>0</v>
      </c>
      <c r="P220" s="141">
        <f>ABS(V220)/$L220</f>
        <v>0.97851910439805367</v>
      </c>
      <c r="Q220" s="140">
        <v>7</v>
      </c>
      <c r="R220" s="139">
        <v>57720667931</v>
      </c>
      <c r="S220" s="140">
        <v>0</v>
      </c>
      <c r="T220" s="139">
        <v>0</v>
      </c>
      <c r="U220" s="140">
        <v>31558</v>
      </c>
      <c r="V220" s="139">
        <v>2629349228995</v>
      </c>
    </row>
    <row r="221" spans="1:22" ht="15.95" customHeight="1" x14ac:dyDescent="0.3">
      <c r="A221" s="137">
        <v>71</v>
      </c>
      <c r="B221" s="207" t="s">
        <v>3983</v>
      </c>
      <c r="C221" s="137">
        <v>1001148872</v>
      </c>
      <c r="D221" s="137" t="s">
        <v>1539</v>
      </c>
      <c r="E221" s="137">
        <v>1661433</v>
      </c>
      <c r="F221" s="137" t="s">
        <v>2238</v>
      </c>
      <c r="G221" s="207" t="s">
        <v>4033</v>
      </c>
      <c r="H221" s="207" t="s">
        <v>3969</v>
      </c>
      <c r="I221" s="137" t="s">
        <v>2258</v>
      </c>
      <c r="J221" s="137" t="s">
        <v>2243</v>
      </c>
      <c r="K221" s="137" t="s">
        <v>2245</v>
      </c>
      <c r="L221" s="139">
        <f>ABS(R221)+ABS(T221)+ABS(V221)</f>
        <v>16304508310</v>
      </c>
      <c r="M221" s="140">
        <f>Q221+S221+U221</f>
        <v>88</v>
      </c>
      <c r="N221" s="141">
        <f>ABS(R221)/$L221</f>
        <v>0</v>
      </c>
      <c r="O221" s="141">
        <f>ABS(T221)/$L221</f>
        <v>1.9278103578702768E-5</v>
      </c>
      <c r="P221" s="141">
        <f>ABS(V221)/$L221</f>
        <v>0.99998072189642129</v>
      </c>
      <c r="Q221" s="140">
        <v>0</v>
      </c>
      <c r="R221" s="139">
        <v>0</v>
      </c>
      <c r="S221" s="140">
        <v>1</v>
      </c>
      <c r="T221" s="139">
        <v>314320</v>
      </c>
      <c r="U221" s="140">
        <v>87</v>
      </c>
      <c r="V221" s="139">
        <v>16304193990</v>
      </c>
    </row>
    <row r="222" spans="1:22" ht="15.95" customHeight="1" x14ac:dyDescent="0.3">
      <c r="A222" s="137">
        <v>73</v>
      </c>
      <c r="B222" s="137" t="s">
        <v>2246</v>
      </c>
      <c r="C222" s="137">
        <v>1000316497</v>
      </c>
      <c r="D222" s="137" t="s">
        <v>3378</v>
      </c>
      <c r="E222" s="137">
        <v>1661198</v>
      </c>
      <c r="F222" s="137" t="s">
        <v>3276</v>
      </c>
      <c r="G222" s="167" t="s">
        <v>3379</v>
      </c>
      <c r="H222" s="137" t="s">
        <v>2241</v>
      </c>
      <c r="I222" s="137" t="s">
        <v>2258</v>
      </c>
      <c r="J222" s="137" t="s">
        <v>2242</v>
      </c>
      <c r="K222" s="137" t="s">
        <v>2077</v>
      </c>
      <c r="L222" s="139">
        <f t="shared" ref="L222:L223" si="338">ABS(R222)+ABS(T222)+ABS(V222)</f>
        <v>4440417332276</v>
      </c>
      <c r="M222" s="140">
        <f t="shared" ref="M222:M223" si="339">Q222+S222+U222</f>
        <v>100142</v>
      </c>
      <c r="N222" s="141">
        <f t="shared" ref="N222:N223" si="340">ABS(R222)/$L222</f>
        <v>5.6007017547498858E-2</v>
      </c>
      <c r="O222" s="141">
        <f t="shared" ref="O222:O223" si="341">ABS(T222)/$L222</f>
        <v>0</v>
      </c>
      <c r="P222" s="141">
        <f t="shared" ref="P222:P223" si="342">ABS(V222)/$L222</f>
        <v>0.94399298245250118</v>
      </c>
      <c r="Q222" s="140">
        <v>8</v>
      </c>
      <c r="R222" s="139">
        <v>248694531447</v>
      </c>
      <c r="S222" s="140">
        <v>0</v>
      </c>
      <c r="T222" s="139">
        <v>0</v>
      </c>
      <c r="U222" s="140">
        <v>100134</v>
      </c>
      <c r="V222" s="139">
        <v>4191722800829</v>
      </c>
    </row>
    <row r="223" spans="1:22" ht="15.95" customHeight="1" x14ac:dyDescent="0.3">
      <c r="A223" s="137">
        <v>73</v>
      </c>
      <c r="B223" s="137" t="s">
        <v>2246</v>
      </c>
      <c r="C223" s="137">
        <v>1000316497</v>
      </c>
      <c r="D223" s="137" t="s">
        <v>3378</v>
      </c>
      <c r="E223" s="137">
        <v>1661198</v>
      </c>
      <c r="F223" s="137" t="s">
        <v>3276</v>
      </c>
      <c r="G223" s="167" t="s">
        <v>3379</v>
      </c>
      <c r="H223" s="137" t="s">
        <v>2241</v>
      </c>
      <c r="I223" s="137" t="s">
        <v>2258</v>
      </c>
      <c r="J223" s="137" t="s">
        <v>2243</v>
      </c>
      <c r="K223" s="137" t="s">
        <v>2077</v>
      </c>
      <c r="L223" s="139">
        <f t="shared" si="338"/>
        <v>6224749995</v>
      </c>
      <c r="M223" s="140">
        <f t="shared" si="339"/>
        <v>6055</v>
      </c>
      <c r="N223" s="141">
        <f t="shared" si="340"/>
        <v>0</v>
      </c>
      <c r="O223" s="141">
        <f t="shared" si="341"/>
        <v>1.934493274376074E-3</v>
      </c>
      <c r="P223" s="141">
        <f t="shared" si="342"/>
        <v>0.99806550672562389</v>
      </c>
      <c r="Q223" s="140">
        <v>0</v>
      </c>
      <c r="R223" s="139">
        <v>0</v>
      </c>
      <c r="S223" s="140">
        <v>40</v>
      </c>
      <c r="T223" s="139">
        <v>12041737</v>
      </c>
      <c r="U223" s="140">
        <v>6015</v>
      </c>
      <c r="V223" s="139">
        <v>6212708258</v>
      </c>
    </row>
    <row r="224" spans="1:22" ht="15.95" customHeight="1" x14ac:dyDescent="0.3">
      <c r="A224" s="137">
        <v>73</v>
      </c>
      <c r="B224" s="207" t="s">
        <v>3983</v>
      </c>
      <c r="C224" s="137">
        <v>1000316497</v>
      </c>
      <c r="D224" s="137" t="s">
        <v>3378</v>
      </c>
      <c r="E224" s="137">
        <v>1661198</v>
      </c>
      <c r="F224" s="137" t="s">
        <v>3276</v>
      </c>
      <c r="G224" s="207" t="s">
        <v>4032</v>
      </c>
      <c r="H224" s="207" t="s">
        <v>3969</v>
      </c>
      <c r="I224" s="137" t="s">
        <v>2258</v>
      </c>
      <c r="J224" s="137" t="s">
        <v>2242</v>
      </c>
      <c r="K224" s="137" t="s">
        <v>2077</v>
      </c>
      <c r="L224" s="139">
        <f t="shared" ref="L224:L225" si="343">ABS(R224)+ABS(T224)+ABS(V224)</f>
        <v>8451985129670</v>
      </c>
      <c r="M224" s="140">
        <f t="shared" ref="M224:M225" si="344">Q224+S224+U224</f>
        <v>202554</v>
      </c>
      <c r="N224" s="141">
        <f t="shared" ref="N224:N225" si="345">ABS(R224)/$L224</f>
        <v>4.0484297497025978E-3</v>
      </c>
      <c r="O224" s="141">
        <f t="shared" ref="O224:O225" si="346">ABS(T224)/$L224</f>
        <v>0</v>
      </c>
      <c r="P224" s="141">
        <f t="shared" ref="P224:P225" si="347">ABS(V224)/$L224</f>
        <v>0.99595157025029735</v>
      </c>
      <c r="Q224" s="140">
        <v>10</v>
      </c>
      <c r="R224" s="139">
        <v>34217268043</v>
      </c>
      <c r="S224" s="140">
        <v>0</v>
      </c>
      <c r="T224" s="139">
        <v>0</v>
      </c>
      <c r="U224" s="140">
        <v>202544</v>
      </c>
      <c r="V224" s="139">
        <v>8417767861627</v>
      </c>
    </row>
    <row r="225" spans="1:22" ht="15.95" customHeight="1" x14ac:dyDescent="0.3">
      <c r="A225" s="137">
        <v>73</v>
      </c>
      <c r="B225" s="207" t="s">
        <v>3983</v>
      </c>
      <c r="C225" s="137">
        <v>1000316497</v>
      </c>
      <c r="D225" s="137" t="s">
        <v>3378</v>
      </c>
      <c r="E225" s="137">
        <v>1661198</v>
      </c>
      <c r="F225" s="137" t="s">
        <v>3276</v>
      </c>
      <c r="G225" s="207" t="s">
        <v>4032</v>
      </c>
      <c r="H225" s="207" t="s">
        <v>3969</v>
      </c>
      <c r="I225" s="137" t="s">
        <v>2258</v>
      </c>
      <c r="J225" s="137" t="s">
        <v>2243</v>
      </c>
      <c r="K225" s="137" t="s">
        <v>2245</v>
      </c>
      <c r="L225" s="139">
        <f t="shared" si="343"/>
        <v>23060500576</v>
      </c>
      <c r="M225" s="140">
        <f t="shared" si="344"/>
        <v>12090</v>
      </c>
      <c r="N225" s="141">
        <f t="shared" si="345"/>
        <v>0</v>
      </c>
      <c r="O225" s="141">
        <f t="shared" si="346"/>
        <v>1.6179008897503996E-2</v>
      </c>
      <c r="P225" s="141">
        <f t="shared" si="347"/>
        <v>0.98382099110249599</v>
      </c>
      <c r="Q225" s="140">
        <v>0</v>
      </c>
      <c r="R225" s="139">
        <v>0</v>
      </c>
      <c r="S225" s="140">
        <v>82</v>
      </c>
      <c r="T225" s="139">
        <v>373096044</v>
      </c>
      <c r="U225" s="140">
        <v>12008</v>
      </c>
      <c r="V225" s="139">
        <v>22687404532</v>
      </c>
    </row>
    <row r="226" spans="1:22" ht="15.95" customHeight="1" x14ac:dyDescent="0.3">
      <c r="A226" s="137">
        <v>75</v>
      </c>
      <c r="B226" s="207" t="s">
        <v>3983</v>
      </c>
      <c r="C226" s="137">
        <v>1000325995</v>
      </c>
      <c r="D226" s="137" t="s">
        <v>4034</v>
      </c>
      <c r="E226" s="137">
        <v>1687118</v>
      </c>
      <c r="F226" s="137" t="s">
        <v>3602</v>
      </c>
      <c r="G226" s="207" t="s">
        <v>4035</v>
      </c>
      <c r="H226" s="207" t="s">
        <v>3969</v>
      </c>
      <c r="I226" s="137" t="s">
        <v>2258</v>
      </c>
      <c r="J226" s="137" t="s">
        <v>2242</v>
      </c>
      <c r="K226" s="137" t="s">
        <v>2077</v>
      </c>
      <c r="L226" s="139">
        <f t="shared" ref="L226:L227" si="348">ABS(R226)+ABS(T226)+ABS(V226)</f>
        <v>35613990771680</v>
      </c>
      <c r="M226" s="140">
        <f t="shared" ref="M226:M227" si="349">Q226+S226+U226</f>
        <v>602196</v>
      </c>
      <c r="N226" s="141">
        <f t="shared" ref="N226:N227" si="350">ABS(R226)/$L226</f>
        <v>8.1075709476402299E-3</v>
      </c>
      <c r="O226" s="141">
        <f t="shared" ref="O226:O227" si="351">ABS(T226)/$L226</f>
        <v>0</v>
      </c>
      <c r="P226" s="141">
        <f t="shared" ref="P226:P227" si="352">ABS(V226)/$L226</f>
        <v>0.99189242905235975</v>
      </c>
      <c r="Q226" s="140">
        <v>7</v>
      </c>
      <c r="R226" s="139">
        <v>-288742956910</v>
      </c>
      <c r="S226" s="140">
        <v>0</v>
      </c>
      <c r="T226" s="139">
        <v>0</v>
      </c>
      <c r="U226" s="140">
        <v>602189</v>
      </c>
      <c r="V226" s="139">
        <v>35325247814770</v>
      </c>
    </row>
    <row r="227" spans="1:22" ht="15.95" customHeight="1" x14ac:dyDescent="0.3">
      <c r="A227" s="137">
        <v>75</v>
      </c>
      <c r="B227" s="207" t="s">
        <v>3983</v>
      </c>
      <c r="C227" s="137">
        <v>1000325995</v>
      </c>
      <c r="D227" s="137" t="s">
        <v>4034</v>
      </c>
      <c r="E227" s="137">
        <v>1687118</v>
      </c>
      <c r="F227" s="137" t="s">
        <v>3602</v>
      </c>
      <c r="G227" s="207" t="s">
        <v>4035</v>
      </c>
      <c r="H227" s="207" t="s">
        <v>3969</v>
      </c>
      <c r="I227" s="137" t="s">
        <v>2258</v>
      </c>
      <c r="J227" s="137" t="s">
        <v>2243</v>
      </c>
      <c r="K227" s="137" t="s">
        <v>2245</v>
      </c>
      <c r="L227" s="139">
        <f t="shared" si="348"/>
        <v>50309786990</v>
      </c>
      <c r="M227" s="140">
        <f t="shared" si="349"/>
        <v>9362</v>
      </c>
      <c r="N227" s="141">
        <f t="shared" si="350"/>
        <v>2.0779917040948697E-4</v>
      </c>
      <c r="O227" s="141">
        <f t="shared" si="351"/>
        <v>1.6256129272870134E-2</v>
      </c>
      <c r="P227" s="141">
        <f t="shared" si="352"/>
        <v>0.9835360715567204</v>
      </c>
      <c r="Q227" s="140">
        <v>1</v>
      </c>
      <c r="R227" s="139">
        <v>10454332</v>
      </c>
      <c r="S227" s="140">
        <v>124</v>
      </c>
      <c r="T227" s="139">
        <v>817842401</v>
      </c>
      <c r="U227" s="140">
        <v>9237</v>
      </c>
      <c r="V227" s="139">
        <v>49481490257</v>
      </c>
    </row>
    <row r="228" spans="1:22" ht="15.95" customHeight="1" x14ac:dyDescent="0.3">
      <c r="A228" s="137">
        <v>77</v>
      </c>
      <c r="B228" s="137" t="s">
        <v>2246</v>
      </c>
      <c r="C228" s="137">
        <v>1000326239</v>
      </c>
      <c r="D228" s="137" t="s">
        <v>3380</v>
      </c>
      <c r="E228" s="137">
        <v>1671288</v>
      </c>
      <c r="F228" s="137" t="s">
        <v>3277</v>
      </c>
      <c r="G228" s="167" t="s">
        <v>3381</v>
      </c>
      <c r="H228" s="137" t="s">
        <v>2241</v>
      </c>
      <c r="I228" s="137" t="s">
        <v>2258</v>
      </c>
      <c r="J228" s="137" t="s">
        <v>2242</v>
      </c>
      <c r="K228" s="137" t="s">
        <v>2077</v>
      </c>
      <c r="L228" s="139">
        <f t="shared" ref="L228:L229" si="353">ABS(R228)+ABS(T228)+ABS(V228)</f>
        <v>16818919036158</v>
      </c>
      <c r="M228" s="140">
        <f t="shared" ref="M228:M229" si="354">Q228+S228+U228</f>
        <v>2797628</v>
      </c>
      <c r="N228" s="141">
        <f t="shared" ref="N228:N229" si="355">ABS(R228)/$L228</f>
        <v>8.2904427466613145E-4</v>
      </c>
      <c r="O228" s="141">
        <f t="shared" ref="O228:O229" si="356">ABS(T228)/$L228</f>
        <v>0</v>
      </c>
      <c r="P228" s="141">
        <f t="shared" ref="P228:P229" si="357">ABS(V228)/$L228</f>
        <v>0.99917095572533388</v>
      </c>
      <c r="Q228" s="140">
        <v>22</v>
      </c>
      <c r="R228" s="139">
        <v>13943628533</v>
      </c>
      <c r="S228" s="140">
        <v>0</v>
      </c>
      <c r="T228" s="139">
        <v>0</v>
      </c>
      <c r="U228" s="140">
        <v>2797606</v>
      </c>
      <c r="V228" s="139">
        <v>16804975407625</v>
      </c>
    </row>
    <row r="229" spans="1:22" ht="15.95" customHeight="1" x14ac:dyDescent="0.3">
      <c r="A229" s="137">
        <v>77</v>
      </c>
      <c r="B229" s="137" t="s">
        <v>2246</v>
      </c>
      <c r="C229" s="137">
        <v>1000326239</v>
      </c>
      <c r="D229" s="137" t="s">
        <v>3380</v>
      </c>
      <c r="E229" s="137">
        <v>1671288</v>
      </c>
      <c r="F229" s="137" t="s">
        <v>3277</v>
      </c>
      <c r="G229" s="167" t="s">
        <v>3381</v>
      </c>
      <c r="H229" s="137" t="s">
        <v>2241</v>
      </c>
      <c r="I229" s="137" t="s">
        <v>2258</v>
      </c>
      <c r="J229" s="137" t="s">
        <v>2045</v>
      </c>
      <c r="K229" s="137" t="s">
        <v>2046</v>
      </c>
      <c r="L229" s="139">
        <f t="shared" si="353"/>
        <v>562301857019</v>
      </c>
      <c r="M229" s="140">
        <f t="shared" si="354"/>
        <v>237502</v>
      </c>
      <c r="N229" s="141">
        <f t="shared" si="355"/>
        <v>4.7126403139558895E-5</v>
      </c>
      <c r="O229" s="141">
        <f t="shared" si="356"/>
        <v>5.1106163604629504E-3</v>
      </c>
      <c r="P229" s="141">
        <f t="shared" si="357"/>
        <v>0.99484225723639752</v>
      </c>
      <c r="Q229" s="140">
        <v>10</v>
      </c>
      <c r="R229" s="169">
        <v>26499264</v>
      </c>
      <c r="S229" s="140">
        <v>541</v>
      </c>
      <c r="T229" s="139">
        <v>2873709070</v>
      </c>
      <c r="U229" s="140">
        <v>236951</v>
      </c>
      <c r="V229" s="139">
        <v>559401648685</v>
      </c>
    </row>
    <row r="230" spans="1:22" ht="15.95" customHeight="1" x14ac:dyDescent="0.3">
      <c r="A230" s="137">
        <v>77</v>
      </c>
      <c r="B230" s="207" t="s">
        <v>3983</v>
      </c>
      <c r="C230" s="137">
        <v>1000326239</v>
      </c>
      <c r="D230" s="137" t="s">
        <v>3380</v>
      </c>
      <c r="E230" s="137">
        <v>1671288</v>
      </c>
      <c r="F230" s="137" t="s">
        <v>3277</v>
      </c>
      <c r="G230" s="207" t="s">
        <v>4036</v>
      </c>
      <c r="H230" s="213" t="s">
        <v>3974</v>
      </c>
      <c r="I230" s="137" t="s">
        <v>2258</v>
      </c>
      <c r="J230" s="137" t="s">
        <v>2242</v>
      </c>
      <c r="K230" s="137" t="s">
        <v>2077</v>
      </c>
      <c r="L230" s="139">
        <f t="shared" ref="L230:L231" si="358">ABS(R230)+ABS(T230)+ABS(V230)</f>
        <v>14442218104676</v>
      </c>
      <c r="M230" s="140">
        <f t="shared" ref="M230:M231" si="359">Q230+S230+U230</f>
        <v>2747441</v>
      </c>
      <c r="N230" s="141">
        <f t="shared" ref="N230:N231" si="360">ABS(R230)/$L230</f>
        <v>1.3859592210090812E-3</v>
      </c>
      <c r="O230" s="141">
        <f t="shared" ref="O230:O231" si="361">ABS(T230)/$L230</f>
        <v>0</v>
      </c>
      <c r="P230" s="141">
        <f t="shared" ref="P230:P231" si="362">ABS(V230)/$L230</f>
        <v>0.99861404077899096</v>
      </c>
      <c r="Q230" s="140">
        <v>83</v>
      </c>
      <c r="R230" s="139">
        <v>20016325354</v>
      </c>
      <c r="S230" s="140">
        <v>0</v>
      </c>
      <c r="T230" s="139">
        <v>0</v>
      </c>
      <c r="U230" s="140">
        <v>2747358</v>
      </c>
      <c r="V230" s="139">
        <v>14422201779322</v>
      </c>
    </row>
    <row r="231" spans="1:22" ht="15.95" customHeight="1" x14ac:dyDescent="0.3">
      <c r="A231" s="137">
        <v>77</v>
      </c>
      <c r="B231" s="207" t="s">
        <v>3983</v>
      </c>
      <c r="C231" s="137">
        <v>1000326239</v>
      </c>
      <c r="D231" s="137" t="s">
        <v>3380</v>
      </c>
      <c r="E231" s="137">
        <v>1671288</v>
      </c>
      <c r="F231" s="137" t="s">
        <v>3277</v>
      </c>
      <c r="G231" s="207" t="s">
        <v>4036</v>
      </c>
      <c r="H231" s="213" t="s">
        <v>3974</v>
      </c>
      <c r="I231" s="137" t="s">
        <v>2258</v>
      </c>
      <c r="J231" s="137" t="s">
        <v>2045</v>
      </c>
      <c r="K231" s="137" t="s">
        <v>2046</v>
      </c>
      <c r="L231" s="139">
        <f t="shared" si="358"/>
        <v>505130243924</v>
      </c>
      <c r="M231" s="140">
        <f t="shared" si="359"/>
        <v>208937</v>
      </c>
      <c r="N231" s="141">
        <f t="shared" si="360"/>
        <v>0</v>
      </c>
      <c r="O231" s="141">
        <f t="shared" si="361"/>
        <v>2.9165147736068941E-3</v>
      </c>
      <c r="P231" s="141">
        <f t="shared" si="362"/>
        <v>0.99708348522639312</v>
      </c>
      <c r="Q231" s="140">
        <v>0</v>
      </c>
      <c r="R231" s="169">
        <v>0</v>
      </c>
      <c r="S231" s="140">
        <v>459</v>
      </c>
      <c r="T231" s="139">
        <v>1473219819</v>
      </c>
      <c r="U231" s="140">
        <v>208478</v>
      </c>
      <c r="V231" s="139">
        <v>503657024105</v>
      </c>
    </row>
    <row r="232" spans="1:22" ht="15.95" customHeight="1" x14ac:dyDescent="0.3">
      <c r="A232" s="137">
        <v>80</v>
      </c>
      <c r="B232" s="137" t="s">
        <v>2246</v>
      </c>
      <c r="C232" s="137">
        <v>1001438239</v>
      </c>
      <c r="D232" s="137" t="s">
        <v>3382</v>
      </c>
      <c r="E232" s="137">
        <v>1670502</v>
      </c>
      <c r="F232" s="137" t="s">
        <v>3278</v>
      </c>
      <c r="G232" s="167" t="s">
        <v>3383</v>
      </c>
      <c r="H232" s="137" t="s">
        <v>2241</v>
      </c>
      <c r="I232" s="137" t="s">
        <v>2258</v>
      </c>
      <c r="J232" s="137" t="s">
        <v>2242</v>
      </c>
      <c r="K232" s="137" t="s">
        <v>2077</v>
      </c>
      <c r="L232" s="139">
        <f t="shared" ref="L232:L233" si="363">ABS(R232)+ABS(T232)+ABS(V232)</f>
        <v>43800051832416</v>
      </c>
      <c r="M232" s="140">
        <f t="shared" ref="M232:M233" si="364">Q232+S232+U232</f>
        <v>4322375</v>
      </c>
      <c r="N232" s="141">
        <f t="shared" ref="N232:N233" si="365">ABS(R232)/$L232</f>
        <v>3.8433975221785566E-3</v>
      </c>
      <c r="O232" s="141">
        <f t="shared" ref="O232:O233" si="366">ABS(T232)/$L232</f>
        <v>0</v>
      </c>
      <c r="P232" s="141">
        <f t="shared" ref="P232:P233" si="367">ABS(V232)/$L232</f>
        <v>0.99615660247782145</v>
      </c>
      <c r="Q232" s="140">
        <v>24</v>
      </c>
      <c r="R232" s="139">
        <v>168341010684</v>
      </c>
      <c r="S232" s="140">
        <v>0</v>
      </c>
      <c r="T232" s="139">
        <v>0</v>
      </c>
      <c r="U232" s="140">
        <v>4322351</v>
      </c>
      <c r="V232" s="139">
        <v>43631710821732</v>
      </c>
    </row>
    <row r="233" spans="1:22" ht="15.95" customHeight="1" x14ac:dyDescent="0.3">
      <c r="A233" s="137">
        <v>80</v>
      </c>
      <c r="B233" s="137" t="s">
        <v>2246</v>
      </c>
      <c r="C233" s="137">
        <v>1001438239</v>
      </c>
      <c r="D233" s="137" t="s">
        <v>3382</v>
      </c>
      <c r="E233" s="137">
        <v>1670502</v>
      </c>
      <c r="F233" s="137" t="s">
        <v>3278</v>
      </c>
      <c r="G233" s="167" t="s">
        <v>3383</v>
      </c>
      <c r="H233" s="137" t="s">
        <v>2241</v>
      </c>
      <c r="I233" s="137" t="s">
        <v>2258</v>
      </c>
      <c r="J233" s="137" t="s">
        <v>2045</v>
      </c>
      <c r="K233" s="137" t="s">
        <v>2077</v>
      </c>
      <c r="L233" s="139">
        <f t="shared" si="363"/>
        <v>757479163286</v>
      </c>
      <c r="M233" s="140">
        <f t="shared" si="364"/>
        <v>178393</v>
      </c>
      <c r="N233" s="141">
        <f t="shared" si="365"/>
        <v>3.7760758825256853E-5</v>
      </c>
      <c r="O233" s="141">
        <f t="shared" si="366"/>
        <v>3.5223942368598132E-2</v>
      </c>
      <c r="P233" s="141">
        <f t="shared" si="367"/>
        <v>0.96473829687257662</v>
      </c>
      <c r="Q233" s="140">
        <v>1</v>
      </c>
      <c r="R233" s="139">
        <v>28602988</v>
      </c>
      <c r="S233" s="140">
        <v>539</v>
      </c>
      <c r="T233" s="139">
        <v>26681402393</v>
      </c>
      <c r="U233" s="140">
        <v>177853</v>
      </c>
      <c r="V233" s="139">
        <v>730769157905</v>
      </c>
    </row>
    <row r="234" spans="1:22" ht="15.95" customHeight="1" x14ac:dyDescent="0.3">
      <c r="A234" s="137">
        <v>80</v>
      </c>
      <c r="B234" s="207" t="s">
        <v>3983</v>
      </c>
      <c r="C234" s="137">
        <v>1001438239</v>
      </c>
      <c r="D234" s="137" t="s">
        <v>3382</v>
      </c>
      <c r="E234" s="137">
        <v>1670502</v>
      </c>
      <c r="F234" s="137" t="s">
        <v>3278</v>
      </c>
      <c r="G234" s="207" t="s">
        <v>4037</v>
      </c>
      <c r="H234" s="207" t="s">
        <v>3969</v>
      </c>
      <c r="I234" s="137" t="s">
        <v>2258</v>
      </c>
      <c r="J234" s="137" t="s">
        <v>2242</v>
      </c>
      <c r="K234" s="137" t="s">
        <v>2077</v>
      </c>
      <c r="L234" s="139">
        <f t="shared" ref="L234:L235" si="368">ABS(R234)+ABS(T234)+ABS(V234)</f>
        <v>75060112569550</v>
      </c>
      <c r="M234" s="140">
        <f t="shared" ref="M234:M235" si="369">Q234+S234+U234</f>
        <v>8973476</v>
      </c>
      <c r="N234" s="141">
        <f t="shared" ref="N234:N235" si="370">ABS(R234)/$L234</f>
        <v>1.8017743298970755E-3</v>
      </c>
      <c r="O234" s="141">
        <f t="shared" ref="O234:O235" si="371">ABS(T234)/$L234</f>
        <v>0</v>
      </c>
      <c r="P234" s="141">
        <f t="shared" ref="P234:P235" si="372">ABS(V234)/$L234</f>
        <v>0.99819822567010297</v>
      </c>
      <c r="Q234" s="140">
        <v>53</v>
      </c>
      <c r="R234" s="139">
        <v>135241384027</v>
      </c>
      <c r="S234" s="140">
        <v>0</v>
      </c>
      <c r="T234" s="139">
        <v>0</v>
      </c>
      <c r="U234" s="140">
        <v>8973423</v>
      </c>
      <c r="V234" s="139">
        <v>74924871185523</v>
      </c>
    </row>
    <row r="235" spans="1:22" ht="15.95" customHeight="1" x14ac:dyDescent="0.3">
      <c r="A235" s="137">
        <v>80</v>
      </c>
      <c r="B235" s="207" t="s">
        <v>3983</v>
      </c>
      <c r="C235" s="137">
        <v>1001438239</v>
      </c>
      <c r="D235" s="137" t="s">
        <v>3382</v>
      </c>
      <c r="E235" s="137">
        <v>1670502</v>
      </c>
      <c r="F235" s="137" t="s">
        <v>3278</v>
      </c>
      <c r="G235" s="207" t="s">
        <v>4037</v>
      </c>
      <c r="H235" s="207" t="s">
        <v>3969</v>
      </c>
      <c r="I235" s="137" t="s">
        <v>2258</v>
      </c>
      <c r="J235" s="137" t="s">
        <v>2045</v>
      </c>
      <c r="K235" s="137" t="s">
        <v>2046</v>
      </c>
      <c r="L235" s="139">
        <f t="shared" si="368"/>
        <v>1595157817671</v>
      </c>
      <c r="M235" s="140">
        <f t="shared" si="369"/>
        <v>423073</v>
      </c>
      <c r="N235" s="141">
        <f t="shared" si="370"/>
        <v>3.3061595169937762E-5</v>
      </c>
      <c r="O235" s="141">
        <f t="shared" si="371"/>
        <v>1.5428932163548547E-2</v>
      </c>
      <c r="P235" s="141">
        <f t="shared" si="372"/>
        <v>0.98453800624128152</v>
      </c>
      <c r="Q235" s="140">
        <v>2</v>
      </c>
      <c r="R235" s="139">
        <v>52738462</v>
      </c>
      <c r="S235" s="140">
        <v>731</v>
      </c>
      <c r="T235" s="139">
        <v>24611581759</v>
      </c>
      <c r="U235" s="140">
        <v>422340</v>
      </c>
      <c r="V235" s="139">
        <v>1570493497450</v>
      </c>
    </row>
    <row r="236" spans="1:22" ht="15.95" customHeight="1" x14ac:dyDescent="0.3">
      <c r="A236" s="137">
        <v>82</v>
      </c>
      <c r="B236" s="137" t="s">
        <v>2246</v>
      </c>
      <c r="C236" s="137">
        <v>1000317012</v>
      </c>
      <c r="D236" s="137" t="s">
        <v>1540</v>
      </c>
      <c r="E236" s="137">
        <v>1679121</v>
      </c>
      <c r="F236" s="137" t="s">
        <v>2247</v>
      </c>
      <c r="G236" s="137" t="s">
        <v>2249</v>
      </c>
      <c r="H236" s="137" t="s">
        <v>2241</v>
      </c>
      <c r="I236" s="137" t="s">
        <v>2258</v>
      </c>
      <c r="J236" s="137" t="s">
        <v>2242</v>
      </c>
      <c r="K236" s="137" t="s">
        <v>2077</v>
      </c>
      <c r="L236" s="139">
        <f t="shared" ref="L236:L241" si="373">ABS(R236)+ABS(T236)+ABS(V236)</f>
        <v>64526510141640</v>
      </c>
      <c r="M236" s="140">
        <f t="shared" ref="M236:M241" si="374">Q236+S236+U236</f>
        <v>631027</v>
      </c>
      <c r="N236" s="141">
        <f t="shared" ref="N236:N241" si="375">ABS(R236)/$L236</f>
        <v>3.5728415274426393E-3</v>
      </c>
      <c r="O236" s="141">
        <f t="shared" ref="O236:O241" si="376">ABS(T236)/$L236</f>
        <v>0</v>
      </c>
      <c r="P236" s="141">
        <f t="shared" ref="P236:P241" si="377">ABS(V236)/$L236</f>
        <v>0.99642715847255736</v>
      </c>
      <c r="Q236" s="140">
        <v>12</v>
      </c>
      <c r="R236" s="139">
        <v>230542995055</v>
      </c>
      <c r="S236" s="140">
        <v>0</v>
      </c>
      <c r="T236" s="139">
        <v>0</v>
      </c>
      <c r="U236" s="140">
        <v>631015</v>
      </c>
      <c r="V236" s="139">
        <v>64295967146585</v>
      </c>
    </row>
    <row r="237" spans="1:22" ht="15.95" customHeight="1" x14ac:dyDescent="0.3">
      <c r="A237" s="137">
        <v>82</v>
      </c>
      <c r="B237" s="137" t="s">
        <v>2246</v>
      </c>
      <c r="C237" s="137">
        <v>1000317012</v>
      </c>
      <c r="D237" s="137" t="s">
        <v>1540</v>
      </c>
      <c r="E237" s="137">
        <v>1679121</v>
      </c>
      <c r="F237" s="137" t="s">
        <v>2247</v>
      </c>
      <c r="G237" s="137" t="s">
        <v>2248</v>
      </c>
      <c r="H237" s="137" t="s">
        <v>2241</v>
      </c>
      <c r="I237" s="137" t="s">
        <v>2258</v>
      </c>
      <c r="J237" s="137" t="s">
        <v>2243</v>
      </c>
      <c r="K237" s="137" t="s">
        <v>2077</v>
      </c>
      <c r="L237" s="139">
        <f t="shared" si="373"/>
        <v>922560518561</v>
      </c>
      <c r="M237" s="140">
        <f t="shared" si="374"/>
        <v>35476</v>
      </c>
      <c r="N237" s="141">
        <f t="shared" si="375"/>
        <v>1.6435317933018011E-2</v>
      </c>
      <c r="O237" s="141">
        <f t="shared" si="376"/>
        <v>0.26692461649681748</v>
      </c>
      <c r="P237" s="141">
        <f t="shared" si="377"/>
        <v>0.71664006557016446</v>
      </c>
      <c r="Q237" s="140">
        <v>63</v>
      </c>
      <c r="R237" s="139">
        <v>15162575435</v>
      </c>
      <c r="S237" s="140">
        <v>1615</v>
      </c>
      <c r="T237" s="139">
        <v>246254112612</v>
      </c>
      <c r="U237" s="140">
        <v>33798</v>
      </c>
      <c r="V237" s="139">
        <v>661143830514</v>
      </c>
    </row>
    <row r="238" spans="1:22" ht="15.95" customHeight="1" x14ac:dyDescent="0.3">
      <c r="A238" s="137">
        <v>82</v>
      </c>
      <c r="B238" s="137" t="s">
        <v>2246</v>
      </c>
      <c r="C238" s="137">
        <v>1000317012</v>
      </c>
      <c r="D238" s="137" t="s">
        <v>1540</v>
      </c>
      <c r="E238" s="137">
        <v>1679121</v>
      </c>
      <c r="F238" s="137" t="s">
        <v>2247</v>
      </c>
      <c r="G238" s="137" t="s">
        <v>2248</v>
      </c>
      <c r="H238" s="137" t="s">
        <v>2241</v>
      </c>
      <c r="I238" s="137" t="s">
        <v>2258</v>
      </c>
      <c r="J238" s="137" t="s">
        <v>2244</v>
      </c>
      <c r="K238" s="137" t="s">
        <v>2077</v>
      </c>
      <c r="L238" s="139">
        <f t="shared" si="373"/>
        <v>397009874795</v>
      </c>
      <c r="M238" s="140">
        <f t="shared" si="374"/>
        <v>29523</v>
      </c>
      <c r="N238" s="141">
        <f t="shared" si="375"/>
        <v>7.4808772691953313E-3</v>
      </c>
      <c r="O238" s="141">
        <f t="shared" si="376"/>
        <v>4.5493723644345653E-2</v>
      </c>
      <c r="P238" s="141">
        <f t="shared" si="377"/>
        <v>0.947025399086459</v>
      </c>
      <c r="Q238" s="140">
        <v>2</v>
      </c>
      <c r="R238" s="139">
        <v>2969982148</v>
      </c>
      <c r="S238" s="140">
        <v>34</v>
      </c>
      <c r="T238" s="139">
        <v>18061457528</v>
      </c>
      <c r="U238" s="140">
        <v>29487</v>
      </c>
      <c r="V238" s="139">
        <v>375978435119</v>
      </c>
    </row>
    <row r="239" spans="1:22" ht="15.95" customHeight="1" x14ac:dyDescent="0.3">
      <c r="A239" s="137">
        <v>82</v>
      </c>
      <c r="B239" s="207" t="s">
        <v>3983</v>
      </c>
      <c r="C239" s="137">
        <v>1000317012</v>
      </c>
      <c r="D239" s="137" t="s">
        <v>1540</v>
      </c>
      <c r="E239" s="137">
        <v>1679121</v>
      </c>
      <c r="F239" s="137" t="s">
        <v>2247</v>
      </c>
      <c r="G239" s="207" t="s">
        <v>4038</v>
      </c>
      <c r="H239" s="207" t="s">
        <v>3969</v>
      </c>
      <c r="I239" s="137" t="s">
        <v>2258</v>
      </c>
      <c r="J239" s="137" t="s">
        <v>2242</v>
      </c>
      <c r="K239" s="137" t="s">
        <v>2077</v>
      </c>
      <c r="L239" s="139">
        <f t="shared" si="373"/>
        <v>126306583432344</v>
      </c>
      <c r="M239" s="140">
        <f t="shared" si="374"/>
        <v>1273119</v>
      </c>
      <c r="N239" s="141">
        <f t="shared" si="375"/>
        <v>2.0095230450197102E-3</v>
      </c>
      <c r="O239" s="141">
        <f t="shared" si="376"/>
        <v>0</v>
      </c>
      <c r="P239" s="141">
        <f t="shared" si="377"/>
        <v>0.99799047695498033</v>
      </c>
      <c r="Q239" s="140">
        <v>59</v>
      </c>
      <c r="R239" s="139">
        <v>253815990145</v>
      </c>
      <c r="S239" s="140">
        <v>0</v>
      </c>
      <c r="T239" s="139">
        <v>0</v>
      </c>
      <c r="U239" s="140">
        <v>1273060</v>
      </c>
      <c r="V239" s="139">
        <v>126052767442199</v>
      </c>
    </row>
    <row r="240" spans="1:22" ht="15.95" customHeight="1" x14ac:dyDescent="0.3">
      <c r="A240" s="137">
        <v>82</v>
      </c>
      <c r="B240" s="207" t="s">
        <v>3983</v>
      </c>
      <c r="C240" s="137">
        <v>1000317012</v>
      </c>
      <c r="D240" s="137" t="s">
        <v>1540</v>
      </c>
      <c r="E240" s="137">
        <v>1679121</v>
      </c>
      <c r="F240" s="137" t="s">
        <v>2247</v>
      </c>
      <c r="G240" s="207" t="s">
        <v>4038</v>
      </c>
      <c r="H240" s="207" t="s">
        <v>3969</v>
      </c>
      <c r="I240" s="137" t="s">
        <v>2258</v>
      </c>
      <c r="J240" s="137" t="s">
        <v>2243</v>
      </c>
      <c r="K240" s="137" t="s">
        <v>2245</v>
      </c>
      <c r="L240" s="139">
        <f t="shared" si="373"/>
        <v>1904311213528</v>
      </c>
      <c r="M240" s="140">
        <f t="shared" si="374"/>
        <v>73844</v>
      </c>
      <c r="N240" s="141">
        <f t="shared" si="375"/>
        <v>5.2331356439567968E-2</v>
      </c>
      <c r="O240" s="141">
        <f t="shared" si="376"/>
        <v>0.15468132722659564</v>
      </c>
      <c r="P240" s="141">
        <f t="shared" si="377"/>
        <v>0.79298731633383635</v>
      </c>
      <c r="Q240" s="140">
        <v>157</v>
      </c>
      <c r="R240" s="139">
        <v>99655188887</v>
      </c>
      <c r="S240" s="140">
        <v>3216</v>
      </c>
      <c r="T240" s="139">
        <v>294561385961</v>
      </c>
      <c r="U240" s="140">
        <v>70471</v>
      </c>
      <c r="V240" s="139">
        <v>1510094638680</v>
      </c>
    </row>
    <row r="241" spans="1:22" ht="15.95" customHeight="1" x14ac:dyDescent="0.3">
      <c r="A241" s="137">
        <v>82</v>
      </c>
      <c r="B241" s="207" t="s">
        <v>3983</v>
      </c>
      <c r="C241" s="137">
        <v>1000317012</v>
      </c>
      <c r="D241" s="137" t="s">
        <v>1540</v>
      </c>
      <c r="E241" s="137">
        <v>1679121</v>
      </c>
      <c r="F241" s="137" t="s">
        <v>2247</v>
      </c>
      <c r="G241" s="207" t="s">
        <v>4038</v>
      </c>
      <c r="H241" s="207" t="s">
        <v>3969</v>
      </c>
      <c r="I241" s="137" t="s">
        <v>2258</v>
      </c>
      <c r="J241" s="137" t="s">
        <v>2244</v>
      </c>
      <c r="K241" s="137" t="s">
        <v>2245</v>
      </c>
      <c r="L241" s="139">
        <f t="shared" si="373"/>
        <v>368551914802</v>
      </c>
      <c r="M241" s="140">
        <f t="shared" si="374"/>
        <v>32721</v>
      </c>
      <c r="N241" s="141">
        <f t="shared" si="375"/>
        <v>5.0218507113016259E-2</v>
      </c>
      <c r="O241" s="141">
        <f t="shared" si="376"/>
        <v>5.8069147589418148E-2</v>
      </c>
      <c r="P241" s="141">
        <f t="shared" si="377"/>
        <v>0.8917123452975656</v>
      </c>
      <c r="Q241" s="140">
        <v>6</v>
      </c>
      <c r="R241" s="139">
        <v>18508126955</v>
      </c>
      <c r="S241" s="140">
        <v>1154</v>
      </c>
      <c r="T241" s="139">
        <v>21401495535</v>
      </c>
      <c r="U241" s="140">
        <v>31561</v>
      </c>
      <c r="V241" s="139">
        <v>328642292312</v>
      </c>
    </row>
    <row r="242" spans="1:22" ht="15.95" customHeight="1" x14ac:dyDescent="0.3">
      <c r="A242" s="137">
        <v>83</v>
      </c>
      <c r="B242" s="137" t="s">
        <v>2246</v>
      </c>
      <c r="C242" s="137">
        <v>1001330099</v>
      </c>
      <c r="D242" s="137" t="s">
        <v>3384</v>
      </c>
      <c r="E242" s="137">
        <v>1688777</v>
      </c>
      <c r="F242" s="137" t="s">
        <v>3279</v>
      </c>
      <c r="G242" s="207" t="s">
        <v>4039</v>
      </c>
      <c r="H242" s="207" t="s">
        <v>3334</v>
      </c>
      <c r="I242" s="137" t="s">
        <v>2258</v>
      </c>
      <c r="J242" s="137" t="s">
        <v>2242</v>
      </c>
      <c r="K242" s="137" t="s">
        <v>2077</v>
      </c>
      <c r="L242" s="139">
        <f t="shared" ref="L242:L243" si="378">ABS(R242)+ABS(T242)+ABS(V242)</f>
        <v>102915018850818</v>
      </c>
      <c r="M242" s="140">
        <f t="shared" ref="M242:M243" si="379">Q242+S242+U242</f>
        <v>3320172</v>
      </c>
      <c r="N242" s="141">
        <f t="shared" ref="N242:N243" si="380">ABS(R242)/$L242</f>
        <v>4.3883611404149327E-4</v>
      </c>
      <c r="O242" s="141">
        <f t="shared" ref="O242:O243" si="381">ABS(T242)/$L242</f>
        <v>0</v>
      </c>
      <c r="P242" s="141">
        <f t="shared" ref="P242:P243" si="382">ABS(V242)/$L242</f>
        <v>0.9995611638859585</v>
      </c>
      <c r="Q242" s="140">
        <v>146</v>
      </c>
      <c r="R242" s="139">
        <v>45162826949</v>
      </c>
      <c r="S242" s="140">
        <v>0</v>
      </c>
      <c r="T242" s="139">
        <v>0</v>
      </c>
      <c r="U242" s="140">
        <v>3320026</v>
      </c>
      <c r="V242" s="139">
        <v>102869856023869</v>
      </c>
    </row>
    <row r="243" spans="1:22" ht="15.95" customHeight="1" x14ac:dyDescent="0.3">
      <c r="A243" s="137">
        <v>83</v>
      </c>
      <c r="B243" s="137" t="s">
        <v>2246</v>
      </c>
      <c r="C243" s="137">
        <v>1001330099</v>
      </c>
      <c r="D243" s="137" t="s">
        <v>3384</v>
      </c>
      <c r="E243" s="137">
        <v>1688777</v>
      </c>
      <c r="F243" s="137" t="s">
        <v>3279</v>
      </c>
      <c r="G243" s="207" t="s">
        <v>4039</v>
      </c>
      <c r="H243" s="207" t="s">
        <v>3334</v>
      </c>
      <c r="I243" s="137" t="s">
        <v>2258</v>
      </c>
      <c r="J243" s="137" t="s">
        <v>2244</v>
      </c>
      <c r="K243" s="137" t="s">
        <v>2245</v>
      </c>
      <c r="L243" s="139">
        <f t="shared" si="378"/>
        <v>1909897990103</v>
      </c>
      <c r="M243" s="140">
        <f t="shared" si="379"/>
        <v>1134416</v>
      </c>
      <c r="N243" s="141">
        <f t="shared" si="380"/>
        <v>5.5050939529670773E-2</v>
      </c>
      <c r="O243" s="141">
        <f t="shared" si="381"/>
        <v>0.36904110728342554</v>
      </c>
      <c r="P243" s="141">
        <f t="shared" si="382"/>
        <v>0.57590795318690369</v>
      </c>
      <c r="Q243" s="140">
        <v>1201</v>
      </c>
      <c r="R243" s="139">
        <v>105141678761</v>
      </c>
      <c r="S243" s="140">
        <v>98163</v>
      </c>
      <c r="T243" s="139">
        <v>704830869066</v>
      </c>
      <c r="U243" s="140">
        <v>1035052</v>
      </c>
      <c r="V243" s="139">
        <v>1099925442276</v>
      </c>
    </row>
    <row r="244" spans="1:22" ht="15.95" customHeight="1" x14ac:dyDescent="0.3">
      <c r="A244" s="137">
        <v>90</v>
      </c>
      <c r="B244" s="137" t="s">
        <v>2246</v>
      </c>
      <c r="C244" s="137">
        <v>1000326253</v>
      </c>
      <c r="D244" s="137" t="s">
        <v>3385</v>
      </c>
      <c r="E244" s="137">
        <v>1671940</v>
      </c>
      <c r="F244" s="137" t="s">
        <v>3280</v>
      </c>
      <c r="G244" s="167" t="s">
        <v>3386</v>
      </c>
      <c r="H244" s="137" t="s">
        <v>2241</v>
      </c>
      <c r="I244" s="137" t="s">
        <v>2258</v>
      </c>
      <c r="J244" s="137" t="s">
        <v>2242</v>
      </c>
      <c r="K244" s="137" t="s">
        <v>2077</v>
      </c>
      <c r="L244" s="139">
        <f>ABS(R244)+ABS(T244)+ABS(V244)</f>
        <v>13551407616</v>
      </c>
      <c r="M244" s="140">
        <f>Q244+S244+U244</f>
        <v>626329</v>
      </c>
      <c r="N244" s="141">
        <f>ABS(R244)/$L244</f>
        <v>0.5</v>
      </c>
      <c r="O244" s="141">
        <f>ABS(T244)/$L244</f>
        <v>0</v>
      </c>
      <c r="P244" s="141">
        <f>ABS(V244)/$L244</f>
        <v>0.5</v>
      </c>
      <c r="Q244" s="140">
        <v>7</v>
      </c>
      <c r="R244" s="139">
        <v>-6775703808</v>
      </c>
      <c r="S244" s="140">
        <v>0</v>
      </c>
      <c r="T244" s="139">
        <v>0</v>
      </c>
      <c r="U244" s="140">
        <v>626322</v>
      </c>
      <c r="V244" s="139">
        <v>6775703808</v>
      </c>
    </row>
    <row r="245" spans="1:22" ht="15.95" customHeight="1" x14ac:dyDescent="0.3">
      <c r="A245" s="137">
        <v>90</v>
      </c>
      <c r="B245" s="137" t="s">
        <v>2246</v>
      </c>
      <c r="C245" s="137">
        <v>1000326253</v>
      </c>
      <c r="D245" s="137" t="s">
        <v>3385</v>
      </c>
      <c r="E245" s="137">
        <v>1671940</v>
      </c>
      <c r="F245" s="137" t="s">
        <v>3280</v>
      </c>
      <c r="G245" s="167" t="s">
        <v>3386</v>
      </c>
      <c r="H245" s="137" t="s">
        <v>2241</v>
      </c>
      <c r="I245" s="137" t="s">
        <v>2258</v>
      </c>
      <c r="J245" s="137" t="s">
        <v>2243</v>
      </c>
      <c r="K245" s="137" t="s">
        <v>2077</v>
      </c>
      <c r="L245" s="139">
        <f>ABS(R245)+ABS(T245)+ABS(V245)</f>
        <v>70004096320</v>
      </c>
      <c r="M245" s="140">
        <f>Q245+S245+U245</f>
        <v>8543</v>
      </c>
      <c r="N245" s="141">
        <f>ABS(R245)/$L245</f>
        <v>0.27275473636169068</v>
      </c>
      <c r="O245" s="141">
        <f>ABS(T245)/$L245</f>
        <v>0.19589453329007706</v>
      </c>
      <c r="P245" s="141">
        <f>ABS(V245)/$L245</f>
        <v>0.53135073034823233</v>
      </c>
      <c r="Q245" s="140">
        <v>12</v>
      </c>
      <c r="R245" s="139">
        <v>-19093948836</v>
      </c>
      <c r="S245" s="140">
        <v>327</v>
      </c>
      <c r="T245" s="139">
        <v>13713419777</v>
      </c>
      <c r="U245" s="140">
        <v>8204</v>
      </c>
      <c r="V245" s="139">
        <v>37196727707</v>
      </c>
    </row>
    <row r="246" spans="1:22" ht="15.95" customHeight="1" x14ac:dyDescent="0.3">
      <c r="A246" s="137">
        <v>90</v>
      </c>
      <c r="B246" s="207" t="s">
        <v>3983</v>
      </c>
      <c r="C246" s="137">
        <v>1000326253</v>
      </c>
      <c r="D246" s="137" t="s">
        <v>3385</v>
      </c>
      <c r="E246" s="137">
        <v>1671940</v>
      </c>
      <c r="F246" s="137" t="s">
        <v>3280</v>
      </c>
      <c r="G246" s="207" t="s">
        <v>4040</v>
      </c>
      <c r="H246" s="207" t="s">
        <v>3969</v>
      </c>
      <c r="I246" s="137" t="s">
        <v>2258</v>
      </c>
      <c r="J246" s="137" t="s">
        <v>2242</v>
      </c>
      <c r="K246" s="137" t="s">
        <v>2077</v>
      </c>
      <c r="L246" s="139">
        <f>ABS(R246)+ABS(T246)+ABS(V246)</f>
        <v>26112053961472</v>
      </c>
      <c r="M246" s="140">
        <f>Q246+S246+U246</f>
        <v>819132</v>
      </c>
      <c r="N246" s="141">
        <f>ABS(R246)/$L246</f>
        <v>1.153971424977147E-3</v>
      </c>
      <c r="O246" s="141">
        <f>ABS(T246)/$L246</f>
        <v>0</v>
      </c>
      <c r="P246" s="141">
        <f>ABS(V246)/$L246</f>
        <v>0.9988460285750228</v>
      </c>
      <c r="Q246" s="140">
        <v>12</v>
      </c>
      <c r="R246" s="139">
        <v>30132564119</v>
      </c>
      <c r="S246" s="140">
        <v>0</v>
      </c>
      <c r="T246" s="139">
        <v>0</v>
      </c>
      <c r="U246" s="140">
        <v>819120</v>
      </c>
      <c r="V246" s="139">
        <v>26081921397353</v>
      </c>
    </row>
    <row r="247" spans="1:22" ht="15.95" customHeight="1" x14ac:dyDescent="0.3">
      <c r="A247" s="137">
        <v>90</v>
      </c>
      <c r="B247" s="207" t="s">
        <v>3983</v>
      </c>
      <c r="C247" s="137">
        <v>1000326253</v>
      </c>
      <c r="D247" s="137" t="s">
        <v>3385</v>
      </c>
      <c r="E247" s="137">
        <v>1671940</v>
      </c>
      <c r="F247" s="137" t="s">
        <v>3280</v>
      </c>
      <c r="G247" s="207" t="s">
        <v>4040</v>
      </c>
      <c r="H247" s="207" t="s">
        <v>3969</v>
      </c>
      <c r="I247" s="137" t="s">
        <v>2258</v>
      </c>
      <c r="J247" s="137" t="s">
        <v>2243</v>
      </c>
      <c r="K247" s="137" t="s">
        <v>2245</v>
      </c>
      <c r="L247" s="139">
        <f>ABS(R247)+ABS(T247)+ABS(V247)</f>
        <v>120453370149</v>
      </c>
      <c r="M247" s="140">
        <f>Q247+S247+U247</f>
        <v>11281</v>
      </c>
      <c r="N247" s="141">
        <f>ABS(R247)/$L247</f>
        <v>0.1474804716300209</v>
      </c>
      <c r="O247" s="141">
        <f>ABS(T247)/$L247</f>
        <v>0.40247613652512215</v>
      </c>
      <c r="P247" s="141">
        <f>ABS(V247)/$L247</f>
        <v>0.45004339184485692</v>
      </c>
      <c r="Q247" s="140">
        <v>11</v>
      </c>
      <c r="R247" s="139">
        <v>17764519839</v>
      </c>
      <c r="S247" s="140">
        <v>419</v>
      </c>
      <c r="T247" s="139">
        <v>48479607049</v>
      </c>
      <c r="U247" s="140">
        <v>10851</v>
      </c>
      <c r="V247" s="139">
        <v>54209243261</v>
      </c>
    </row>
    <row r="248" spans="1:22" ht="15.95" customHeight="1" x14ac:dyDescent="0.3">
      <c r="A248" s="137">
        <v>93</v>
      </c>
      <c r="B248" s="207" t="s">
        <v>3983</v>
      </c>
      <c r="C248" s="137">
        <v>1000584416</v>
      </c>
      <c r="D248" s="137" t="s">
        <v>4041</v>
      </c>
      <c r="E248" s="137">
        <v>1657536</v>
      </c>
      <c r="F248" s="137" t="s">
        <v>3609</v>
      </c>
      <c r="G248" s="207" t="s">
        <v>4042</v>
      </c>
      <c r="H248" s="207" t="s">
        <v>3969</v>
      </c>
      <c r="I248" s="137" t="s">
        <v>2258</v>
      </c>
      <c r="J248" s="137" t="s">
        <v>2242</v>
      </c>
      <c r="K248" s="137" t="s">
        <v>2077</v>
      </c>
      <c r="L248" s="139">
        <f t="shared" ref="L248:L249" si="383">ABS(R248)+ABS(T248)+ABS(V248)</f>
        <v>3216862881746</v>
      </c>
      <c r="M248" s="140">
        <f t="shared" ref="M248:M249" si="384">Q248+S248+U248</f>
        <v>17917</v>
      </c>
      <c r="N248" s="141">
        <f t="shared" ref="N248:N249" si="385">ABS(R248)/$L248</f>
        <v>7.2263964816189838E-2</v>
      </c>
      <c r="O248" s="141">
        <f t="shared" ref="O248:O249" si="386">ABS(T248)/$L248</f>
        <v>0</v>
      </c>
      <c r="P248" s="141">
        <f t="shared" ref="P248:P249" si="387">ABS(V248)/$L248</f>
        <v>0.9277360351838102</v>
      </c>
      <c r="Q248" s="140">
        <v>5</v>
      </c>
      <c r="R248" s="139">
        <v>232463266105</v>
      </c>
      <c r="S248" s="140">
        <v>0</v>
      </c>
      <c r="T248" s="139">
        <v>0</v>
      </c>
      <c r="U248" s="140">
        <v>17912</v>
      </c>
      <c r="V248" s="139">
        <v>2984399615641</v>
      </c>
    </row>
    <row r="249" spans="1:22" ht="15.95" customHeight="1" x14ac:dyDescent="0.3">
      <c r="A249" s="137">
        <v>93</v>
      </c>
      <c r="B249" s="207" t="s">
        <v>3983</v>
      </c>
      <c r="C249" s="137">
        <v>1000584416</v>
      </c>
      <c r="D249" s="137" t="s">
        <v>4041</v>
      </c>
      <c r="E249" s="137">
        <v>1657536</v>
      </c>
      <c r="F249" s="137" t="s">
        <v>3609</v>
      </c>
      <c r="G249" s="207" t="s">
        <v>4042</v>
      </c>
      <c r="H249" s="207" t="s">
        <v>3969</v>
      </c>
      <c r="I249" s="137" t="s">
        <v>2258</v>
      </c>
      <c r="J249" s="137" t="s">
        <v>2243</v>
      </c>
      <c r="K249" s="137" t="s">
        <v>2245</v>
      </c>
      <c r="L249" s="139">
        <f t="shared" si="383"/>
        <v>1257212788</v>
      </c>
      <c r="M249" s="140">
        <f t="shared" si="384"/>
        <v>206</v>
      </c>
      <c r="N249" s="141">
        <f t="shared" si="385"/>
        <v>0</v>
      </c>
      <c r="O249" s="141">
        <f t="shared" si="386"/>
        <v>0</v>
      </c>
      <c r="P249" s="141">
        <f t="shared" si="387"/>
        <v>1</v>
      </c>
      <c r="Q249" s="140">
        <v>0</v>
      </c>
      <c r="R249" s="139">
        <v>0</v>
      </c>
      <c r="S249" s="140">
        <v>0</v>
      </c>
      <c r="T249" s="139">
        <v>0</v>
      </c>
      <c r="U249" s="140">
        <v>206</v>
      </c>
      <c r="V249" s="139">
        <v>1257212788</v>
      </c>
    </row>
    <row r="250" spans="1:22" ht="15.95" customHeight="1" x14ac:dyDescent="0.3">
      <c r="A250" s="137">
        <v>94</v>
      </c>
      <c r="B250" s="137" t="s">
        <v>2246</v>
      </c>
      <c r="C250" s="137">
        <v>1000314936</v>
      </c>
      <c r="D250" s="137" t="s">
        <v>3387</v>
      </c>
      <c r="E250" s="137">
        <v>1689472</v>
      </c>
      <c r="F250" s="137" t="s">
        <v>3281</v>
      </c>
      <c r="G250" s="167" t="s">
        <v>3388</v>
      </c>
      <c r="H250" s="137" t="s">
        <v>2241</v>
      </c>
      <c r="I250" s="137" t="s">
        <v>2258</v>
      </c>
      <c r="J250" s="137" t="s">
        <v>2242</v>
      </c>
      <c r="K250" s="137" t="s">
        <v>2077</v>
      </c>
      <c r="L250" s="139">
        <f t="shared" ref="L250:L251" si="388">ABS(R250)+ABS(T250)+ABS(V250)</f>
        <v>82912244325826</v>
      </c>
      <c r="M250" s="140">
        <f t="shared" ref="M250:M251" si="389">Q250+S250+U250</f>
        <v>257257</v>
      </c>
      <c r="N250" s="141">
        <f t="shared" ref="N250:N251" si="390">ABS(R250)/$L250</f>
        <v>4.3430181834052369E-3</v>
      </c>
      <c r="O250" s="141">
        <f t="shared" ref="O250:O251" si="391">ABS(T250)/$L250</f>
        <v>0</v>
      </c>
      <c r="P250" s="141">
        <f t="shared" ref="P250:P251" si="392">ABS(V250)/$L250</f>
        <v>0.99565698181659479</v>
      </c>
      <c r="Q250" s="140">
        <v>5</v>
      </c>
      <c r="R250" s="139">
        <v>360089384734</v>
      </c>
      <c r="S250" s="140">
        <v>0</v>
      </c>
      <c r="T250" s="139">
        <v>0</v>
      </c>
      <c r="U250" s="140">
        <v>257252</v>
      </c>
      <c r="V250" s="139">
        <v>82552154941092</v>
      </c>
    </row>
    <row r="251" spans="1:22" ht="15.95" customHeight="1" x14ac:dyDescent="0.3">
      <c r="A251" s="137">
        <v>94</v>
      </c>
      <c r="B251" s="137" t="s">
        <v>2246</v>
      </c>
      <c r="C251" s="137">
        <v>1000314936</v>
      </c>
      <c r="D251" s="137" t="s">
        <v>3387</v>
      </c>
      <c r="E251" s="137">
        <v>1689472</v>
      </c>
      <c r="F251" s="137" t="s">
        <v>3281</v>
      </c>
      <c r="G251" s="167" t="s">
        <v>3388</v>
      </c>
      <c r="H251" s="137" t="s">
        <v>2241</v>
      </c>
      <c r="I251" s="137" t="s">
        <v>2258</v>
      </c>
      <c r="J251" s="137" t="s">
        <v>2244</v>
      </c>
      <c r="K251" s="137" t="s">
        <v>2245</v>
      </c>
      <c r="L251" s="139">
        <f t="shared" si="388"/>
        <v>1944697248268</v>
      </c>
      <c r="M251" s="140">
        <f t="shared" si="389"/>
        <v>2088</v>
      </c>
      <c r="N251" s="141">
        <f t="shared" si="390"/>
        <v>0</v>
      </c>
      <c r="O251" s="141">
        <f t="shared" si="391"/>
        <v>3.6881061585744515E-2</v>
      </c>
      <c r="P251" s="141">
        <f t="shared" si="392"/>
        <v>0.96311893841425544</v>
      </c>
      <c r="Q251" s="140">
        <v>0</v>
      </c>
      <c r="R251" s="139">
        <v>0</v>
      </c>
      <c r="S251" s="140">
        <v>22</v>
      </c>
      <c r="T251" s="139">
        <v>71722498979</v>
      </c>
      <c r="U251" s="140">
        <v>2066</v>
      </c>
      <c r="V251" s="139">
        <v>1872974749289</v>
      </c>
    </row>
    <row r="252" spans="1:22" ht="15.95" customHeight="1" x14ac:dyDescent="0.3">
      <c r="A252" s="137">
        <v>102</v>
      </c>
      <c r="B252" s="207" t="s">
        <v>3422</v>
      </c>
      <c r="C252" s="137">
        <v>1000316306</v>
      </c>
      <c r="D252" s="137" t="s">
        <v>3389</v>
      </c>
      <c r="E252" s="137">
        <v>1662134</v>
      </c>
      <c r="F252" s="137" t="s">
        <v>3282</v>
      </c>
      <c r="G252" s="207" t="s">
        <v>4043</v>
      </c>
      <c r="H252" s="207" t="s">
        <v>3334</v>
      </c>
      <c r="I252" s="137" t="s">
        <v>2258</v>
      </c>
      <c r="J252" s="137" t="s">
        <v>2242</v>
      </c>
      <c r="K252" s="137" t="s">
        <v>2077</v>
      </c>
      <c r="L252" s="139">
        <f t="shared" ref="L252:L271" si="393">ABS(R252)+ABS(T252)+ABS(V252)</f>
        <v>5150963733544</v>
      </c>
      <c r="M252" s="140">
        <f t="shared" ref="M252:M271" si="394">Q252+S252+U252</f>
        <v>622442</v>
      </c>
      <c r="N252" s="141">
        <f t="shared" ref="N252:N271" si="395">ABS(R252)/$L252</f>
        <v>1.2034801708718042E-2</v>
      </c>
      <c r="O252" s="141">
        <f t="shared" ref="O252:O271" si="396">ABS(T252)/$L252</f>
        <v>0</v>
      </c>
      <c r="P252" s="141">
        <f t="shared" ref="P252:P271" si="397">ABS(V252)/$L252</f>
        <v>0.98796519829128193</v>
      </c>
      <c r="Q252" s="140">
        <v>6</v>
      </c>
      <c r="R252" s="139">
        <v>61990827142</v>
      </c>
      <c r="S252" s="140">
        <v>0</v>
      </c>
      <c r="T252" s="139">
        <v>0</v>
      </c>
      <c r="U252" s="140">
        <v>622436</v>
      </c>
      <c r="V252" s="139">
        <v>5088972906402</v>
      </c>
    </row>
    <row r="253" spans="1:22" ht="15.95" customHeight="1" x14ac:dyDescent="0.3">
      <c r="A253" s="137">
        <v>102</v>
      </c>
      <c r="B253" s="207" t="s">
        <v>3422</v>
      </c>
      <c r="C253" s="137">
        <v>1000316306</v>
      </c>
      <c r="D253" s="137" t="s">
        <v>3389</v>
      </c>
      <c r="E253" s="137">
        <v>1662134</v>
      </c>
      <c r="F253" s="137" t="s">
        <v>3282</v>
      </c>
      <c r="G253" s="207" t="s">
        <v>4043</v>
      </c>
      <c r="H253" s="207" t="s">
        <v>3334</v>
      </c>
      <c r="I253" s="137" t="s">
        <v>2258</v>
      </c>
      <c r="J253" s="137" t="s">
        <v>2243</v>
      </c>
      <c r="K253" s="137" t="s">
        <v>2245</v>
      </c>
      <c r="L253" s="139">
        <f t="shared" si="393"/>
        <v>58161746107</v>
      </c>
      <c r="M253" s="140">
        <f t="shared" si="394"/>
        <v>6118</v>
      </c>
      <c r="N253" s="141">
        <f t="shared" si="395"/>
        <v>4.9784495717736168E-4</v>
      </c>
      <c r="O253" s="141">
        <f t="shared" si="396"/>
        <v>9.0934867400128752E-3</v>
      </c>
      <c r="P253" s="141">
        <f t="shared" si="397"/>
        <v>0.99040866830280971</v>
      </c>
      <c r="Q253" s="140">
        <v>4</v>
      </c>
      <c r="R253" s="139">
        <v>28955532</v>
      </c>
      <c r="S253" s="140">
        <v>37</v>
      </c>
      <c r="T253" s="139">
        <v>528893067</v>
      </c>
      <c r="U253" s="140">
        <v>6077</v>
      </c>
      <c r="V253" s="139">
        <v>57603897508</v>
      </c>
    </row>
    <row r="254" spans="1:22" ht="15.95" customHeight="1" x14ac:dyDescent="0.3">
      <c r="A254" s="137">
        <v>102</v>
      </c>
      <c r="B254" s="207" t="s">
        <v>3422</v>
      </c>
      <c r="C254" s="137">
        <v>1000316306</v>
      </c>
      <c r="D254" s="137" t="s">
        <v>3389</v>
      </c>
      <c r="E254" s="137">
        <v>1662134</v>
      </c>
      <c r="F254" s="137" t="s">
        <v>3282</v>
      </c>
      <c r="G254" s="207" t="s">
        <v>4043</v>
      </c>
      <c r="H254" s="207" t="s">
        <v>3334</v>
      </c>
      <c r="I254" s="137" t="s">
        <v>2258</v>
      </c>
      <c r="J254" s="137" t="s">
        <v>2244</v>
      </c>
      <c r="K254" s="137" t="s">
        <v>2245</v>
      </c>
      <c r="L254" s="139">
        <f t="shared" si="393"/>
        <v>138552240092</v>
      </c>
      <c r="M254" s="140">
        <f t="shared" si="394"/>
        <v>15848</v>
      </c>
      <c r="N254" s="141">
        <f t="shared" si="395"/>
        <v>3.002760724213091E-2</v>
      </c>
      <c r="O254" s="141">
        <f t="shared" si="396"/>
        <v>3.0210932455661449E-2</v>
      </c>
      <c r="P254" s="141">
        <f t="shared" si="397"/>
        <v>0.93976146030220764</v>
      </c>
      <c r="Q254" s="140">
        <v>41</v>
      </c>
      <c r="R254" s="139">
        <v>4160392248</v>
      </c>
      <c r="S254" s="140">
        <v>374</v>
      </c>
      <c r="T254" s="139">
        <v>4185792367</v>
      </c>
      <c r="U254" s="140">
        <v>15433</v>
      </c>
      <c r="V254" s="139">
        <v>130206055477</v>
      </c>
    </row>
    <row r="255" spans="1:22" ht="15.95" customHeight="1" x14ac:dyDescent="0.3">
      <c r="A255" s="137">
        <v>105</v>
      </c>
      <c r="B255" s="137" t="s">
        <v>2246</v>
      </c>
      <c r="C255" s="137">
        <v>1000326107</v>
      </c>
      <c r="D255" s="137" t="s">
        <v>3390</v>
      </c>
      <c r="E255" s="137">
        <v>1684286</v>
      </c>
      <c r="F255" s="137" t="s">
        <v>3283</v>
      </c>
      <c r="G255" s="167" t="s">
        <v>3391</v>
      </c>
      <c r="H255" s="137" t="s">
        <v>2241</v>
      </c>
      <c r="I255" s="137" t="s">
        <v>2258</v>
      </c>
      <c r="J255" s="137" t="s">
        <v>2242</v>
      </c>
      <c r="K255" s="137" t="s">
        <v>2077</v>
      </c>
      <c r="L255" s="139">
        <f t="shared" si="393"/>
        <v>12583348581228</v>
      </c>
      <c r="M255" s="140">
        <f t="shared" si="394"/>
        <v>1430978</v>
      </c>
      <c r="N255" s="141">
        <f t="shared" si="395"/>
        <v>1.1787180139892885E-2</v>
      </c>
      <c r="O255" s="141">
        <f t="shared" si="396"/>
        <v>0</v>
      </c>
      <c r="P255" s="141">
        <f t="shared" si="397"/>
        <v>0.98821281986010712</v>
      </c>
      <c r="Q255" s="140">
        <v>23</v>
      </c>
      <c r="R255" s="139">
        <v>148322196490</v>
      </c>
      <c r="S255" s="140">
        <v>0</v>
      </c>
      <c r="T255" s="139">
        <v>0</v>
      </c>
      <c r="U255" s="140">
        <v>1430955</v>
      </c>
      <c r="V255" s="139">
        <v>12435026384738</v>
      </c>
    </row>
    <row r="256" spans="1:22" ht="15.95" customHeight="1" x14ac:dyDescent="0.3">
      <c r="A256" s="137">
        <v>105</v>
      </c>
      <c r="B256" s="137" t="s">
        <v>2246</v>
      </c>
      <c r="C256" s="137">
        <v>1000326107</v>
      </c>
      <c r="D256" s="137" t="s">
        <v>3390</v>
      </c>
      <c r="E256" s="137">
        <v>1684286</v>
      </c>
      <c r="F256" s="137" t="s">
        <v>3283</v>
      </c>
      <c r="G256" s="167" t="s">
        <v>3391</v>
      </c>
      <c r="H256" s="137" t="s">
        <v>2241</v>
      </c>
      <c r="I256" s="137" t="s">
        <v>2258</v>
      </c>
      <c r="J256" s="137" t="s">
        <v>2243</v>
      </c>
      <c r="K256" s="137" t="s">
        <v>2077</v>
      </c>
      <c r="L256" s="139">
        <f t="shared" si="393"/>
        <v>269963508398</v>
      </c>
      <c r="M256" s="140">
        <f t="shared" si="394"/>
        <v>11971</v>
      </c>
      <c r="N256" s="141">
        <f t="shared" si="395"/>
        <v>0.38290793903375503</v>
      </c>
      <c r="O256" s="141">
        <f t="shared" si="396"/>
        <v>0.20419076775269965</v>
      </c>
      <c r="P256" s="141">
        <f t="shared" si="397"/>
        <v>0.4129012932135453</v>
      </c>
      <c r="Q256" s="140">
        <v>93</v>
      </c>
      <c r="R256" s="139">
        <v>103371170615</v>
      </c>
      <c r="S256" s="140">
        <v>1019</v>
      </c>
      <c r="T256" s="139">
        <v>55124056045</v>
      </c>
      <c r="U256" s="140">
        <v>10859</v>
      </c>
      <c r="V256" s="139">
        <v>111468281738</v>
      </c>
    </row>
    <row r="257" spans="1:22" ht="15.95" customHeight="1" x14ac:dyDescent="0.3">
      <c r="A257" s="137">
        <v>105</v>
      </c>
      <c r="B257" s="137" t="s">
        <v>2246</v>
      </c>
      <c r="C257" s="137">
        <v>1000326107</v>
      </c>
      <c r="D257" s="137" t="s">
        <v>3390</v>
      </c>
      <c r="E257" s="137">
        <v>1684286</v>
      </c>
      <c r="F257" s="137" t="s">
        <v>3283</v>
      </c>
      <c r="G257" s="167" t="s">
        <v>3391</v>
      </c>
      <c r="H257" s="137" t="s">
        <v>2241</v>
      </c>
      <c r="I257" s="137" t="s">
        <v>2258</v>
      </c>
      <c r="J257" s="137" t="s">
        <v>2244</v>
      </c>
      <c r="K257" s="137" t="s">
        <v>2077</v>
      </c>
      <c r="L257" s="139">
        <f t="shared" si="393"/>
        <v>236629041594</v>
      </c>
      <c r="M257" s="140">
        <f t="shared" si="394"/>
        <v>196797</v>
      </c>
      <c r="N257" s="141">
        <f t="shared" si="395"/>
        <v>5.2723097367759185E-4</v>
      </c>
      <c r="O257" s="141">
        <f t="shared" si="396"/>
        <v>0.13734895436361388</v>
      </c>
      <c r="P257" s="141">
        <f t="shared" si="397"/>
        <v>0.86212381466270849</v>
      </c>
      <c r="Q257" s="140">
        <v>5</v>
      </c>
      <c r="R257" s="139">
        <v>124758160</v>
      </c>
      <c r="S257" s="140">
        <v>200</v>
      </c>
      <c r="T257" s="139">
        <v>32500751435</v>
      </c>
      <c r="U257" s="140">
        <v>196592</v>
      </c>
      <c r="V257" s="139">
        <v>204003531999</v>
      </c>
    </row>
    <row r="258" spans="1:22" ht="15.95" customHeight="1" x14ac:dyDescent="0.3">
      <c r="A258" s="137">
        <v>105</v>
      </c>
      <c r="B258" s="207" t="s">
        <v>3983</v>
      </c>
      <c r="C258" s="137">
        <v>1000326107</v>
      </c>
      <c r="D258" s="137" t="s">
        <v>3390</v>
      </c>
      <c r="E258" s="137">
        <v>1684286</v>
      </c>
      <c r="F258" s="137" t="s">
        <v>3283</v>
      </c>
      <c r="G258" s="207" t="s">
        <v>4044</v>
      </c>
      <c r="H258" s="207" t="s">
        <v>3969</v>
      </c>
      <c r="I258" s="137" t="s">
        <v>2258</v>
      </c>
      <c r="J258" s="137" t="s">
        <v>2242</v>
      </c>
      <c r="K258" s="137" t="s">
        <v>2077</v>
      </c>
      <c r="L258" s="139">
        <f t="shared" ref="L258:L260" si="398">ABS(R258)+ABS(T258)+ABS(V258)</f>
        <v>31368608497888</v>
      </c>
      <c r="M258" s="140">
        <f t="shared" ref="M258:M260" si="399">Q258+S258+U258</f>
        <v>3138327</v>
      </c>
      <c r="N258" s="141">
        <f t="shared" ref="N258:N260" si="400">ABS(R258)/$L258</f>
        <v>1.0818225831912439E-2</v>
      </c>
      <c r="O258" s="141">
        <f t="shared" ref="O258:O260" si="401">ABS(T258)/$L258</f>
        <v>0</v>
      </c>
      <c r="P258" s="141">
        <f t="shared" ref="P258:P260" si="402">ABS(V258)/$L258</f>
        <v>0.98918177416808761</v>
      </c>
      <c r="Q258" s="140">
        <v>127</v>
      </c>
      <c r="R258" s="139">
        <v>339352690763</v>
      </c>
      <c r="S258" s="210">
        <v>0</v>
      </c>
      <c r="T258" s="139">
        <v>0</v>
      </c>
      <c r="U258" s="140">
        <v>3138200</v>
      </c>
      <c r="V258" s="139">
        <v>31029255807125</v>
      </c>
    </row>
    <row r="259" spans="1:22" ht="15.95" customHeight="1" x14ac:dyDescent="0.3">
      <c r="A259" s="137">
        <v>105</v>
      </c>
      <c r="B259" s="207" t="s">
        <v>3983</v>
      </c>
      <c r="C259" s="137">
        <v>1000326107</v>
      </c>
      <c r="D259" s="137" t="s">
        <v>3390</v>
      </c>
      <c r="E259" s="137">
        <v>1684286</v>
      </c>
      <c r="F259" s="137" t="s">
        <v>3283</v>
      </c>
      <c r="G259" s="207" t="s">
        <v>4044</v>
      </c>
      <c r="H259" s="207" t="s">
        <v>3969</v>
      </c>
      <c r="I259" s="137" t="s">
        <v>2258</v>
      </c>
      <c r="J259" s="137" t="s">
        <v>2243</v>
      </c>
      <c r="K259" s="137" t="s">
        <v>2245</v>
      </c>
      <c r="L259" s="139">
        <f t="shared" si="398"/>
        <v>752714875050</v>
      </c>
      <c r="M259" s="140">
        <f t="shared" si="399"/>
        <v>21594</v>
      </c>
      <c r="N259" s="141">
        <f t="shared" si="400"/>
        <v>0.17304458634399617</v>
      </c>
      <c r="O259" s="141">
        <f t="shared" si="401"/>
        <v>0.49284546111880373</v>
      </c>
      <c r="P259" s="141">
        <f t="shared" si="402"/>
        <v>0.33410995253720011</v>
      </c>
      <c r="Q259" s="140">
        <v>324</v>
      </c>
      <c r="R259" s="139">
        <v>130253234188</v>
      </c>
      <c r="S259" s="140">
        <v>4161</v>
      </c>
      <c r="T259" s="139">
        <v>370972109685</v>
      </c>
      <c r="U259" s="140">
        <v>17109</v>
      </c>
      <c r="V259" s="139">
        <v>251489531177</v>
      </c>
    </row>
    <row r="260" spans="1:22" ht="15.95" customHeight="1" x14ac:dyDescent="0.3">
      <c r="A260" s="137">
        <v>105</v>
      </c>
      <c r="B260" s="207" t="s">
        <v>3983</v>
      </c>
      <c r="C260" s="137">
        <v>1000326107</v>
      </c>
      <c r="D260" s="137" t="s">
        <v>3390</v>
      </c>
      <c r="E260" s="137">
        <v>1684286</v>
      </c>
      <c r="F260" s="137" t="s">
        <v>3283</v>
      </c>
      <c r="G260" s="207" t="s">
        <v>4044</v>
      </c>
      <c r="H260" s="207" t="s">
        <v>3969</v>
      </c>
      <c r="I260" s="137" t="s">
        <v>2258</v>
      </c>
      <c r="J260" s="137" t="s">
        <v>2244</v>
      </c>
      <c r="K260" s="137" t="s">
        <v>2245</v>
      </c>
      <c r="L260" s="139">
        <f t="shared" si="398"/>
        <v>582598544242</v>
      </c>
      <c r="M260" s="140">
        <f t="shared" si="399"/>
        <v>460573</v>
      </c>
      <c r="N260" s="141">
        <f t="shared" si="400"/>
        <v>6.9921061085039557E-4</v>
      </c>
      <c r="O260" s="141">
        <f t="shared" si="401"/>
        <v>0.13866172998098647</v>
      </c>
      <c r="P260" s="141">
        <f t="shared" si="402"/>
        <v>0.8606390594081631</v>
      </c>
      <c r="Q260" s="140">
        <v>20</v>
      </c>
      <c r="R260" s="139">
        <v>407359084</v>
      </c>
      <c r="S260" s="140">
        <v>484</v>
      </c>
      <c r="T260" s="139">
        <v>80784122029</v>
      </c>
      <c r="U260" s="140">
        <v>460069</v>
      </c>
      <c r="V260" s="139">
        <v>501407063129</v>
      </c>
    </row>
    <row r="261" spans="1:22" ht="15.95" customHeight="1" x14ac:dyDescent="0.3">
      <c r="A261" s="137">
        <v>108</v>
      </c>
      <c r="B261" s="137" t="s">
        <v>2246</v>
      </c>
      <c r="C261" s="137">
        <v>1000314562</v>
      </c>
      <c r="D261" s="137" t="s">
        <v>3392</v>
      </c>
      <c r="E261" s="137">
        <v>1671868</v>
      </c>
      <c r="F261" s="137" t="s">
        <v>3284</v>
      </c>
      <c r="G261" s="167" t="s">
        <v>3393</v>
      </c>
      <c r="H261" s="137" t="s">
        <v>2241</v>
      </c>
      <c r="I261" s="137" t="s">
        <v>2258</v>
      </c>
      <c r="J261" s="137" t="s">
        <v>2242</v>
      </c>
      <c r="K261" s="137" t="s">
        <v>2077</v>
      </c>
      <c r="L261" s="139">
        <f t="shared" si="393"/>
        <v>4690628950824</v>
      </c>
      <c r="M261" s="140">
        <f t="shared" si="394"/>
        <v>75412</v>
      </c>
      <c r="N261" s="141">
        <f t="shared" si="395"/>
        <v>1.5376594281312677E-2</v>
      </c>
      <c r="O261" s="141">
        <f t="shared" si="396"/>
        <v>0</v>
      </c>
      <c r="P261" s="141">
        <f t="shared" si="397"/>
        <v>0.98462340571868734</v>
      </c>
      <c r="Q261" s="140">
        <v>9</v>
      </c>
      <c r="R261" s="139">
        <v>72125898301</v>
      </c>
      <c r="S261" s="140">
        <v>0</v>
      </c>
      <c r="T261" s="139">
        <v>0</v>
      </c>
      <c r="U261" s="140">
        <v>75403</v>
      </c>
      <c r="V261" s="139">
        <v>4618503052523</v>
      </c>
    </row>
    <row r="262" spans="1:22" ht="15.95" customHeight="1" x14ac:dyDescent="0.3">
      <c r="A262" s="137">
        <v>108</v>
      </c>
      <c r="B262" s="137" t="s">
        <v>2246</v>
      </c>
      <c r="C262" s="137">
        <v>1000314562</v>
      </c>
      <c r="D262" s="137" t="s">
        <v>3392</v>
      </c>
      <c r="E262" s="137">
        <v>1671868</v>
      </c>
      <c r="F262" s="137" t="s">
        <v>3284</v>
      </c>
      <c r="G262" s="167" t="s">
        <v>3393</v>
      </c>
      <c r="H262" s="137" t="s">
        <v>2241</v>
      </c>
      <c r="I262" s="137" t="s">
        <v>2258</v>
      </c>
      <c r="J262" s="137" t="s">
        <v>2244</v>
      </c>
      <c r="K262" s="137" t="s">
        <v>2077</v>
      </c>
      <c r="L262" s="139">
        <f t="shared" si="393"/>
        <v>94456506479</v>
      </c>
      <c r="M262" s="140">
        <f t="shared" si="394"/>
        <v>109</v>
      </c>
      <c r="N262" s="141">
        <f t="shared" si="395"/>
        <v>2.7385191221052506E-2</v>
      </c>
      <c r="O262" s="141">
        <f t="shared" si="396"/>
        <v>0.16514999079992598</v>
      </c>
      <c r="P262" s="141">
        <f t="shared" si="397"/>
        <v>0.80746481797902148</v>
      </c>
      <c r="Q262" s="140">
        <v>5</v>
      </c>
      <c r="R262" s="139">
        <v>2586709492</v>
      </c>
      <c r="S262" s="140">
        <v>19</v>
      </c>
      <c r="T262" s="139">
        <v>15599491176</v>
      </c>
      <c r="U262" s="140">
        <v>85</v>
      </c>
      <c r="V262" s="139">
        <v>76270305811</v>
      </c>
    </row>
    <row r="263" spans="1:22" ht="15.95" customHeight="1" x14ac:dyDescent="0.3">
      <c r="A263" s="137">
        <v>108</v>
      </c>
      <c r="B263" s="207" t="s">
        <v>3983</v>
      </c>
      <c r="C263" s="137">
        <v>1000314562</v>
      </c>
      <c r="D263" s="137" t="s">
        <v>3392</v>
      </c>
      <c r="E263" s="137">
        <v>1671868</v>
      </c>
      <c r="F263" s="137" t="s">
        <v>3284</v>
      </c>
      <c r="G263" s="207" t="s">
        <v>4045</v>
      </c>
      <c r="H263" s="207" t="s">
        <v>3969</v>
      </c>
      <c r="I263" s="137" t="s">
        <v>2258</v>
      </c>
      <c r="J263" s="137" t="s">
        <v>2242</v>
      </c>
      <c r="K263" s="137" t="s">
        <v>2077</v>
      </c>
      <c r="L263" s="139">
        <f t="shared" ref="L263:L264" si="403">ABS(R263)+ABS(T263)+ABS(V263)</f>
        <v>12096096932096</v>
      </c>
      <c r="M263" s="140">
        <f t="shared" ref="M263:M264" si="404">Q263+S263+U263</f>
        <v>159486</v>
      </c>
      <c r="N263" s="141">
        <f t="shared" ref="N263:N264" si="405">ABS(R263)/$L263</f>
        <v>5.8732873048074679E-3</v>
      </c>
      <c r="O263" s="141">
        <f t="shared" ref="O263:O264" si="406">ABS(T263)/$L263</f>
        <v>0</v>
      </c>
      <c r="P263" s="141">
        <f t="shared" ref="P263:P264" si="407">ABS(V263)/$L263</f>
        <v>0.99412671269519248</v>
      </c>
      <c r="Q263" s="140">
        <v>22</v>
      </c>
      <c r="R263" s="139">
        <v>71043852549</v>
      </c>
      <c r="S263" s="140">
        <v>0</v>
      </c>
      <c r="T263" s="139">
        <v>0</v>
      </c>
      <c r="U263" s="140">
        <v>159464</v>
      </c>
      <c r="V263" s="139">
        <v>12025053079547</v>
      </c>
    </row>
    <row r="264" spans="1:22" ht="15.95" customHeight="1" x14ac:dyDescent="0.3">
      <c r="A264" s="137">
        <v>108</v>
      </c>
      <c r="B264" s="207" t="s">
        <v>3983</v>
      </c>
      <c r="C264" s="137">
        <v>1000314562</v>
      </c>
      <c r="D264" s="137" t="s">
        <v>3392</v>
      </c>
      <c r="E264" s="137">
        <v>1671868</v>
      </c>
      <c r="F264" s="137" t="s">
        <v>3284</v>
      </c>
      <c r="G264" s="207" t="s">
        <v>4045</v>
      </c>
      <c r="H264" s="207" t="s">
        <v>3969</v>
      </c>
      <c r="I264" s="137" t="s">
        <v>2258</v>
      </c>
      <c r="J264" s="137" t="s">
        <v>2244</v>
      </c>
      <c r="K264" s="137" t="s">
        <v>2245</v>
      </c>
      <c r="L264" s="139">
        <f t="shared" si="403"/>
        <v>287533701143</v>
      </c>
      <c r="M264" s="140">
        <f t="shared" si="404"/>
        <v>243</v>
      </c>
      <c r="N264" s="141">
        <f t="shared" si="405"/>
        <v>0.12066188248571721</v>
      </c>
      <c r="O264" s="141">
        <f t="shared" si="406"/>
        <v>3.6272316665979472E-2</v>
      </c>
      <c r="P264" s="141">
        <f t="shared" si="407"/>
        <v>0.84306580084830329</v>
      </c>
      <c r="Q264" s="140">
        <v>21</v>
      </c>
      <c r="R264" s="139">
        <v>34694357658</v>
      </c>
      <c r="S264" s="140">
        <v>22</v>
      </c>
      <c r="T264" s="139">
        <v>10429513460</v>
      </c>
      <c r="U264" s="140">
        <v>200</v>
      </c>
      <c r="V264" s="139">
        <v>242409830025</v>
      </c>
    </row>
    <row r="265" spans="1:22" ht="15.95" customHeight="1" x14ac:dyDescent="0.3">
      <c r="A265" s="137">
        <v>110</v>
      </c>
      <c r="B265" s="137" t="s">
        <v>2054</v>
      </c>
      <c r="C265" s="137">
        <v>1000325890</v>
      </c>
      <c r="D265" s="137" t="s">
        <v>2068</v>
      </c>
      <c r="E265" s="137">
        <v>1658192</v>
      </c>
      <c r="F265" s="137" t="s">
        <v>2069</v>
      </c>
      <c r="G265" s="137" t="s">
        <v>2070</v>
      </c>
      <c r="H265" s="137" t="s">
        <v>2056</v>
      </c>
      <c r="I265" s="137" t="s">
        <v>2258</v>
      </c>
      <c r="J265" s="137" t="s">
        <v>2047</v>
      </c>
      <c r="K265" s="137" t="s">
        <v>2048</v>
      </c>
      <c r="L265" s="139">
        <f t="shared" si="393"/>
        <v>6556615289060</v>
      </c>
      <c r="M265" s="140">
        <f t="shared" si="394"/>
        <v>689318</v>
      </c>
      <c r="N265" s="141">
        <f t="shared" si="395"/>
        <v>3.4600991490004738E-3</v>
      </c>
      <c r="O265" s="141">
        <f t="shared" si="396"/>
        <v>0</v>
      </c>
      <c r="P265" s="141">
        <f t="shared" si="397"/>
        <v>0.99653990085099953</v>
      </c>
      <c r="Q265" s="140">
        <v>15</v>
      </c>
      <c r="R265" s="139">
        <v>22686538982</v>
      </c>
      <c r="S265" s="140">
        <v>0</v>
      </c>
      <c r="T265" s="139">
        <v>0</v>
      </c>
      <c r="U265" s="140">
        <v>689303</v>
      </c>
      <c r="V265" s="139">
        <v>6533928750078</v>
      </c>
    </row>
    <row r="266" spans="1:22" ht="15.95" customHeight="1" x14ac:dyDescent="0.3">
      <c r="A266" s="137">
        <v>110</v>
      </c>
      <c r="B266" s="137" t="s">
        <v>2054</v>
      </c>
      <c r="C266" s="137">
        <v>1000325890</v>
      </c>
      <c r="D266" s="137" t="s">
        <v>2068</v>
      </c>
      <c r="E266" s="137">
        <v>1658192</v>
      </c>
      <c r="F266" s="137" t="s">
        <v>2069</v>
      </c>
      <c r="G266" s="137" t="s">
        <v>2070</v>
      </c>
      <c r="H266" s="137" t="s">
        <v>2056</v>
      </c>
      <c r="I266" s="137" t="s">
        <v>2258</v>
      </c>
      <c r="J266" s="137" t="s">
        <v>2045</v>
      </c>
      <c r="K266" s="137" t="s">
        <v>2048</v>
      </c>
      <c r="L266" s="139">
        <f t="shared" si="393"/>
        <v>158210173704</v>
      </c>
      <c r="M266" s="140">
        <f t="shared" si="394"/>
        <v>9599</v>
      </c>
      <c r="N266" s="141">
        <f t="shared" si="395"/>
        <v>4.0320672764919144E-2</v>
      </c>
      <c r="O266" s="141">
        <f t="shared" si="396"/>
        <v>6.3430752012038766E-2</v>
      </c>
      <c r="P266" s="141">
        <f t="shared" si="397"/>
        <v>0.89624857522304213</v>
      </c>
      <c r="Q266" s="140">
        <v>12</v>
      </c>
      <c r="R266" s="139">
        <v>6379140642</v>
      </c>
      <c r="S266" s="140">
        <v>184</v>
      </c>
      <c r="T266" s="139">
        <v>10035390294</v>
      </c>
      <c r="U266" s="140">
        <v>9403</v>
      </c>
      <c r="V266" s="139">
        <v>141795642768</v>
      </c>
    </row>
    <row r="267" spans="1:22" ht="15.95" customHeight="1" x14ac:dyDescent="0.3">
      <c r="A267" s="137">
        <v>110</v>
      </c>
      <c r="B267" s="207" t="s">
        <v>3983</v>
      </c>
      <c r="C267" s="137">
        <v>1000325890</v>
      </c>
      <c r="D267" s="137" t="s">
        <v>2068</v>
      </c>
      <c r="E267" s="137">
        <v>1658192</v>
      </c>
      <c r="F267" s="137" t="s">
        <v>2069</v>
      </c>
      <c r="G267" s="207" t="s">
        <v>4046</v>
      </c>
      <c r="H267" s="207" t="s">
        <v>3969</v>
      </c>
      <c r="I267" s="137" t="s">
        <v>2258</v>
      </c>
      <c r="J267" s="137" t="s">
        <v>2047</v>
      </c>
      <c r="K267" s="137" t="s">
        <v>2048</v>
      </c>
      <c r="L267" s="139">
        <f t="shared" ref="L267:L268" si="408">ABS(R267)+ABS(T267)+ABS(V267)</f>
        <v>13818194401358</v>
      </c>
      <c r="M267" s="140">
        <f t="shared" ref="M267:M268" si="409">Q267+S267+U267</f>
        <v>1437258</v>
      </c>
      <c r="N267" s="141">
        <f t="shared" ref="N267:N268" si="410">ABS(R267)/$L267</f>
        <v>3.5726302450303036E-3</v>
      </c>
      <c r="O267" s="141">
        <f t="shared" ref="O267:O268" si="411">ABS(T267)/$L267</f>
        <v>0</v>
      </c>
      <c r="P267" s="141">
        <f t="shared" ref="P267:P268" si="412">ABS(V267)/$L267</f>
        <v>0.99642736975496971</v>
      </c>
      <c r="Q267" s="140">
        <v>15</v>
      </c>
      <c r="R267" s="139">
        <v>49367299250</v>
      </c>
      <c r="S267" s="140">
        <v>0</v>
      </c>
      <c r="T267" s="139">
        <v>0</v>
      </c>
      <c r="U267" s="140">
        <v>1437243</v>
      </c>
      <c r="V267" s="139">
        <v>13768827102108</v>
      </c>
    </row>
    <row r="268" spans="1:22" ht="15.95" customHeight="1" x14ac:dyDescent="0.3">
      <c r="A268" s="137">
        <v>110</v>
      </c>
      <c r="B268" s="207" t="s">
        <v>3983</v>
      </c>
      <c r="C268" s="137">
        <v>1000325890</v>
      </c>
      <c r="D268" s="137" t="s">
        <v>2068</v>
      </c>
      <c r="E268" s="137">
        <v>1658192</v>
      </c>
      <c r="F268" s="137" t="s">
        <v>2069</v>
      </c>
      <c r="G268" s="207" t="s">
        <v>4046</v>
      </c>
      <c r="H268" s="207" t="s">
        <v>3969</v>
      </c>
      <c r="I268" s="137" t="s">
        <v>2258</v>
      </c>
      <c r="J268" s="137" t="s">
        <v>2045</v>
      </c>
      <c r="K268" s="137" t="s">
        <v>2046</v>
      </c>
      <c r="L268" s="139">
        <f t="shared" si="408"/>
        <v>290821874002</v>
      </c>
      <c r="M268" s="140">
        <f t="shared" si="409"/>
        <v>17961</v>
      </c>
      <c r="N268" s="141">
        <f t="shared" si="410"/>
        <v>2.6715288609778263E-2</v>
      </c>
      <c r="O268" s="141">
        <f t="shared" si="411"/>
        <v>6.2914088160624992E-2</v>
      </c>
      <c r="P268" s="141">
        <f t="shared" si="412"/>
        <v>0.91037062322959672</v>
      </c>
      <c r="Q268" s="140">
        <v>15</v>
      </c>
      <c r="R268" s="139">
        <v>7769390298</v>
      </c>
      <c r="S268" s="140">
        <v>367</v>
      </c>
      <c r="T268" s="139">
        <v>18296793020</v>
      </c>
      <c r="U268" s="140">
        <v>17579</v>
      </c>
      <c r="V268" s="139">
        <v>264755690684</v>
      </c>
    </row>
    <row r="269" spans="1:22" ht="15.95" customHeight="1" x14ac:dyDescent="0.3">
      <c r="A269" s="137">
        <v>112</v>
      </c>
      <c r="B269" s="207" t="s">
        <v>3422</v>
      </c>
      <c r="C269" s="137">
        <v>1001113322</v>
      </c>
      <c r="D269" s="137" t="s">
        <v>3394</v>
      </c>
      <c r="E269" s="137">
        <v>1661712</v>
      </c>
      <c r="F269" s="137" t="s">
        <v>3285</v>
      </c>
      <c r="G269" s="207" t="s">
        <v>4047</v>
      </c>
      <c r="H269" s="207" t="s">
        <v>3334</v>
      </c>
      <c r="I269" s="137" t="s">
        <v>2258</v>
      </c>
      <c r="J269" s="137" t="s">
        <v>2242</v>
      </c>
      <c r="K269" s="137" t="s">
        <v>2077</v>
      </c>
      <c r="L269" s="139">
        <f t="shared" si="393"/>
        <v>1296930029786</v>
      </c>
      <c r="M269" s="140">
        <f t="shared" si="394"/>
        <v>40787</v>
      </c>
      <c r="N269" s="141">
        <f t="shared" si="395"/>
        <v>0.16324969690534147</v>
      </c>
      <c r="O269" s="141">
        <f t="shared" si="396"/>
        <v>0</v>
      </c>
      <c r="P269" s="141">
        <f t="shared" si="397"/>
        <v>0.83675030309465848</v>
      </c>
      <c r="Q269" s="140">
        <v>5</v>
      </c>
      <c r="R269" s="139">
        <v>211723434270</v>
      </c>
      <c r="S269" s="140">
        <v>0</v>
      </c>
      <c r="T269" s="139">
        <v>0</v>
      </c>
      <c r="U269" s="140">
        <v>40782</v>
      </c>
      <c r="V269" s="139">
        <v>1085206595516</v>
      </c>
    </row>
    <row r="270" spans="1:22" ht="15.95" customHeight="1" x14ac:dyDescent="0.3">
      <c r="A270" s="137">
        <v>112</v>
      </c>
      <c r="B270" s="207" t="s">
        <v>3422</v>
      </c>
      <c r="C270" s="137">
        <v>1001113322</v>
      </c>
      <c r="D270" s="137" t="s">
        <v>3394</v>
      </c>
      <c r="E270" s="137">
        <v>1661712</v>
      </c>
      <c r="F270" s="137" t="s">
        <v>3285</v>
      </c>
      <c r="G270" s="207" t="s">
        <v>4047</v>
      </c>
      <c r="H270" s="207" t="s">
        <v>3334</v>
      </c>
      <c r="I270" s="137" t="s">
        <v>2258</v>
      </c>
      <c r="J270" s="137" t="s">
        <v>2243</v>
      </c>
      <c r="K270" s="137" t="s">
        <v>2245</v>
      </c>
      <c r="L270" s="139">
        <f t="shared" si="393"/>
        <v>9009793636</v>
      </c>
      <c r="M270" s="140">
        <f t="shared" si="394"/>
        <v>1519</v>
      </c>
      <c r="N270" s="141">
        <f t="shared" si="395"/>
        <v>0.15598742343936189</v>
      </c>
      <c r="O270" s="141">
        <f t="shared" si="396"/>
        <v>2.7329366126227668E-2</v>
      </c>
      <c r="P270" s="141">
        <f t="shared" si="397"/>
        <v>0.81668321043441039</v>
      </c>
      <c r="Q270" s="140">
        <v>2</v>
      </c>
      <c r="R270" s="139">
        <v>1405414495</v>
      </c>
      <c r="S270" s="140">
        <v>69</v>
      </c>
      <c r="T270" s="139">
        <v>-246231949</v>
      </c>
      <c r="U270" s="140">
        <v>1448</v>
      </c>
      <c r="V270" s="139">
        <v>7358147192</v>
      </c>
    </row>
    <row r="271" spans="1:22" ht="15.95" customHeight="1" x14ac:dyDescent="0.3">
      <c r="A271" s="137">
        <v>112</v>
      </c>
      <c r="B271" s="207" t="s">
        <v>3422</v>
      </c>
      <c r="C271" s="137">
        <v>1001113322</v>
      </c>
      <c r="D271" s="137" t="s">
        <v>3394</v>
      </c>
      <c r="E271" s="137">
        <v>1661712</v>
      </c>
      <c r="F271" s="137" t="s">
        <v>3285</v>
      </c>
      <c r="G271" s="207" t="s">
        <v>4047</v>
      </c>
      <c r="H271" s="207" t="s">
        <v>3334</v>
      </c>
      <c r="I271" s="137" t="s">
        <v>2258</v>
      </c>
      <c r="J271" s="137" t="s">
        <v>2244</v>
      </c>
      <c r="K271" s="137" t="s">
        <v>2245</v>
      </c>
      <c r="L271" s="139">
        <f t="shared" si="393"/>
        <v>62541403519</v>
      </c>
      <c r="M271" s="140">
        <f t="shared" si="394"/>
        <v>2638</v>
      </c>
      <c r="N271" s="141">
        <f t="shared" si="395"/>
        <v>1.1592767514079491E-2</v>
      </c>
      <c r="O271" s="141">
        <f t="shared" si="396"/>
        <v>2.9292381988892283E-2</v>
      </c>
      <c r="P271" s="141">
        <f t="shared" si="397"/>
        <v>0.95911485049702827</v>
      </c>
      <c r="Q271" s="140">
        <v>1</v>
      </c>
      <c r="R271" s="139">
        <v>725027951</v>
      </c>
      <c r="S271" s="140">
        <v>176</v>
      </c>
      <c r="T271" s="139">
        <v>1831986682</v>
      </c>
      <c r="U271" s="140">
        <v>2461</v>
      </c>
      <c r="V271" s="139">
        <v>59984388886</v>
      </c>
    </row>
    <row r="272" spans="1:22" ht="15.95" customHeight="1" x14ac:dyDescent="0.3">
      <c r="A272" s="137">
        <v>113</v>
      </c>
      <c r="B272" s="137" t="s">
        <v>2054</v>
      </c>
      <c r="C272" s="137">
        <v>1000325687</v>
      </c>
      <c r="D272" s="137" t="s">
        <v>3395</v>
      </c>
      <c r="E272" s="137">
        <v>1667022</v>
      </c>
      <c r="F272" s="167" t="s">
        <v>3286</v>
      </c>
      <c r="G272" s="167" t="s">
        <v>3396</v>
      </c>
      <c r="H272" s="137" t="s">
        <v>2056</v>
      </c>
      <c r="I272" s="137" t="s">
        <v>2258</v>
      </c>
      <c r="J272" s="137" t="s">
        <v>2242</v>
      </c>
      <c r="K272" s="137" t="s">
        <v>2077</v>
      </c>
      <c r="L272" s="139">
        <f t="shared" ref="L272:L274" si="413">ABS(R272)+ABS(T272)+ABS(V272)</f>
        <v>31134089955392</v>
      </c>
      <c r="M272" s="140">
        <f t="shared" ref="M272:M274" si="414">Q272+S272+U272</f>
        <v>1248641</v>
      </c>
      <c r="N272" s="141">
        <f t="shared" ref="N272:N274" si="415">ABS(R272)/$L272</f>
        <v>1.1005532398118423E-3</v>
      </c>
      <c r="O272" s="141">
        <f t="shared" ref="O272:O274" si="416">ABS(T272)/$L272</f>
        <v>0</v>
      </c>
      <c r="P272" s="141">
        <f t="shared" ref="P272:P274" si="417">ABS(V272)/$L272</f>
        <v>0.99889944676018816</v>
      </c>
      <c r="Q272" s="140">
        <v>14</v>
      </c>
      <c r="R272" s="139">
        <v>34264723569</v>
      </c>
      <c r="S272" s="140">
        <v>0</v>
      </c>
      <c r="T272" s="139">
        <v>0</v>
      </c>
      <c r="U272" s="140">
        <v>1248627</v>
      </c>
      <c r="V272" s="139">
        <v>31099825231823</v>
      </c>
    </row>
    <row r="273" spans="1:22" ht="15.95" customHeight="1" x14ac:dyDescent="0.3">
      <c r="A273" s="137">
        <v>113</v>
      </c>
      <c r="B273" s="137" t="s">
        <v>2054</v>
      </c>
      <c r="C273" s="137">
        <v>1000325687</v>
      </c>
      <c r="D273" s="137" t="s">
        <v>3395</v>
      </c>
      <c r="E273" s="137">
        <v>1667022</v>
      </c>
      <c r="F273" s="167" t="s">
        <v>3286</v>
      </c>
      <c r="G273" s="167" t="s">
        <v>3396</v>
      </c>
      <c r="H273" s="137" t="s">
        <v>2056</v>
      </c>
      <c r="I273" s="137" t="s">
        <v>2258</v>
      </c>
      <c r="J273" s="137" t="s">
        <v>2243</v>
      </c>
      <c r="K273" s="137" t="s">
        <v>2077</v>
      </c>
      <c r="L273" s="139">
        <f t="shared" si="413"/>
        <v>105911901410</v>
      </c>
      <c r="M273" s="140">
        <f t="shared" si="414"/>
        <v>10675</v>
      </c>
      <c r="N273" s="141">
        <f t="shared" si="415"/>
        <v>3.8862488022629108E-3</v>
      </c>
      <c r="O273" s="141">
        <f t="shared" si="416"/>
        <v>0.25387057135262886</v>
      </c>
      <c r="P273" s="141">
        <f t="shared" si="417"/>
        <v>0.74224317984510824</v>
      </c>
      <c r="Q273" s="140">
        <v>2</v>
      </c>
      <c r="R273" s="139">
        <v>411600000</v>
      </c>
      <c r="S273" s="140">
        <v>305</v>
      </c>
      <c r="T273" s="139">
        <v>26887914924</v>
      </c>
      <c r="U273" s="140">
        <v>10368</v>
      </c>
      <c r="V273" s="139">
        <v>78612386486</v>
      </c>
    </row>
    <row r="274" spans="1:22" ht="15.95" customHeight="1" x14ac:dyDescent="0.3">
      <c r="A274" s="137">
        <v>113</v>
      </c>
      <c r="B274" s="137" t="s">
        <v>2054</v>
      </c>
      <c r="C274" s="137">
        <v>1000325687</v>
      </c>
      <c r="D274" s="137" t="s">
        <v>3395</v>
      </c>
      <c r="E274" s="137">
        <v>1667022</v>
      </c>
      <c r="F274" s="167" t="s">
        <v>3286</v>
      </c>
      <c r="G274" s="167" t="s">
        <v>3396</v>
      </c>
      <c r="H274" s="137" t="s">
        <v>2056</v>
      </c>
      <c r="I274" s="137" t="s">
        <v>2258</v>
      </c>
      <c r="J274" s="137" t="s">
        <v>2244</v>
      </c>
      <c r="K274" s="137" t="s">
        <v>2077</v>
      </c>
      <c r="L274" s="139">
        <f t="shared" si="413"/>
        <v>638541569382</v>
      </c>
      <c r="M274" s="140">
        <f t="shared" si="414"/>
        <v>34953</v>
      </c>
      <c r="N274" s="141">
        <f t="shared" si="415"/>
        <v>4.3511532232568866E-2</v>
      </c>
      <c r="O274" s="141">
        <f t="shared" si="416"/>
        <v>3.8770286401181422E-2</v>
      </c>
      <c r="P274" s="141">
        <f t="shared" si="417"/>
        <v>0.91771818136624972</v>
      </c>
      <c r="Q274" s="140">
        <v>17</v>
      </c>
      <c r="R274" s="139">
        <v>27783922078</v>
      </c>
      <c r="S274" s="140">
        <v>36</v>
      </c>
      <c r="T274" s="139">
        <v>24756439524</v>
      </c>
      <c r="U274" s="168">
        <v>34900</v>
      </c>
      <c r="V274" s="139">
        <v>586001207780</v>
      </c>
    </row>
    <row r="275" spans="1:22" ht="15.95" customHeight="1" x14ac:dyDescent="0.3">
      <c r="A275" s="137">
        <v>113</v>
      </c>
      <c r="B275" s="207" t="s">
        <v>3983</v>
      </c>
      <c r="C275" s="137">
        <v>1000325687</v>
      </c>
      <c r="D275" s="137" t="s">
        <v>3395</v>
      </c>
      <c r="E275" s="137">
        <v>1667022</v>
      </c>
      <c r="F275" s="167" t="s">
        <v>3286</v>
      </c>
      <c r="G275" s="207" t="s">
        <v>4048</v>
      </c>
      <c r="H275" s="207" t="s">
        <v>3969</v>
      </c>
      <c r="I275" s="137" t="s">
        <v>2258</v>
      </c>
      <c r="J275" s="137" t="s">
        <v>2242</v>
      </c>
      <c r="K275" s="137" t="s">
        <v>2077</v>
      </c>
      <c r="L275" s="139">
        <f t="shared" ref="L275:L277" si="418">ABS(R275)+ABS(T275)+ABS(V275)</f>
        <v>178585114888074</v>
      </c>
      <c r="M275" s="140">
        <f t="shared" ref="M275:M277" si="419">Q275+S275+U275</f>
        <v>1940497</v>
      </c>
      <c r="N275" s="141">
        <f t="shared" ref="N275:N277" si="420">ABS(R275)/$L275</f>
        <v>1.8792830108844212E-3</v>
      </c>
      <c r="O275" s="141">
        <f t="shared" ref="O275:O277" si="421">ABS(T275)/$L275</f>
        <v>0</v>
      </c>
      <c r="P275" s="141">
        <f t="shared" ref="P275:P277" si="422">ABS(V275)/$L275</f>
        <v>0.99812071698911553</v>
      </c>
      <c r="Q275" s="140">
        <v>42</v>
      </c>
      <c r="R275" s="139">
        <v>335611972406</v>
      </c>
      <c r="S275" s="140">
        <v>0</v>
      </c>
      <c r="T275" s="139">
        <v>0</v>
      </c>
      <c r="U275" s="140">
        <v>1940455</v>
      </c>
      <c r="V275" s="139">
        <v>178249502915668</v>
      </c>
    </row>
    <row r="276" spans="1:22" ht="15.95" customHeight="1" x14ac:dyDescent="0.3">
      <c r="A276" s="137">
        <v>113</v>
      </c>
      <c r="B276" s="207" t="s">
        <v>3983</v>
      </c>
      <c r="C276" s="137">
        <v>1000325687</v>
      </c>
      <c r="D276" s="137" t="s">
        <v>3395</v>
      </c>
      <c r="E276" s="137">
        <v>1667022</v>
      </c>
      <c r="F276" s="167" t="s">
        <v>3286</v>
      </c>
      <c r="G276" s="207" t="s">
        <v>4048</v>
      </c>
      <c r="H276" s="207" t="s">
        <v>3969</v>
      </c>
      <c r="I276" s="137" t="s">
        <v>2258</v>
      </c>
      <c r="J276" s="137" t="s">
        <v>2243</v>
      </c>
      <c r="K276" s="137" t="s">
        <v>2245</v>
      </c>
      <c r="L276" s="139">
        <f t="shared" si="418"/>
        <v>156600990114</v>
      </c>
      <c r="M276" s="140">
        <f t="shared" si="419"/>
        <v>14562</v>
      </c>
      <c r="N276" s="141">
        <f t="shared" si="420"/>
        <v>2.628335872591672E-3</v>
      </c>
      <c r="O276" s="141">
        <f t="shared" si="421"/>
        <v>0.25945163620244366</v>
      </c>
      <c r="P276" s="141">
        <f t="shared" si="422"/>
        <v>0.73792002792496469</v>
      </c>
      <c r="Q276" s="140">
        <v>2</v>
      </c>
      <c r="R276" s="139">
        <v>411600000</v>
      </c>
      <c r="S276" s="140">
        <v>400</v>
      </c>
      <c r="T276" s="139">
        <v>40630383116</v>
      </c>
      <c r="U276" s="140">
        <v>14160</v>
      </c>
      <c r="V276" s="139">
        <v>115559006998</v>
      </c>
    </row>
    <row r="277" spans="1:22" ht="15.95" customHeight="1" x14ac:dyDescent="0.3">
      <c r="A277" s="137">
        <v>113</v>
      </c>
      <c r="B277" s="207" t="s">
        <v>3983</v>
      </c>
      <c r="C277" s="137">
        <v>1000325687</v>
      </c>
      <c r="D277" s="137" t="s">
        <v>3395</v>
      </c>
      <c r="E277" s="137">
        <v>1667022</v>
      </c>
      <c r="F277" s="167" t="s">
        <v>3286</v>
      </c>
      <c r="G277" s="207" t="s">
        <v>4048</v>
      </c>
      <c r="H277" s="207" t="s">
        <v>3969</v>
      </c>
      <c r="I277" s="137" t="s">
        <v>2258</v>
      </c>
      <c r="J277" s="137" t="s">
        <v>2244</v>
      </c>
      <c r="K277" s="137" t="s">
        <v>2245</v>
      </c>
      <c r="L277" s="139">
        <f t="shared" si="418"/>
        <v>790347805508</v>
      </c>
      <c r="M277" s="140">
        <f t="shared" si="419"/>
        <v>48179</v>
      </c>
      <c r="N277" s="141">
        <f t="shared" si="420"/>
        <v>1.8575184326049727E-2</v>
      </c>
      <c r="O277" s="141">
        <f t="shared" si="421"/>
        <v>3.5331070363448173E-2</v>
      </c>
      <c r="P277" s="141">
        <f t="shared" si="422"/>
        <v>0.94609374531050205</v>
      </c>
      <c r="Q277" s="140">
        <v>20</v>
      </c>
      <c r="R277" s="139">
        <v>14680856169</v>
      </c>
      <c r="S277" s="140">
        <v>32</v>
      </c>
      <c r="T277" s="139">
        <v>27923833928</v>
      </c>
      <c r="U277" s="168">
        <v>48127</v>
      </c>
      <c r="V277" s="139">
        <v>747743115411</v>
      </c>
    </row>
    <row r="278" spans="1:22" ht="15.95" customHeight="1" x14ac:dyDescent="0.3">
      <c r="A278" s="137">
        <v>115</v>
      </c>
      <c r="B278" s="137" t="s">
        <v>2054</v>
      </c>
      <c r="C278" s="137">
        <v>1000316632</v>
      </c>
      <c r="D278" s="137" t="s">
        <v>3397</v>
      </c>
      <c r="E278" s="137">
        <v>1682750</v>
      </c>
      <c r="F278" s="167" t="s">
        <v>3287</v>
      </c>
      <c r="G278" s="167" t="s">
        <v>3398</v>
      </c>
      <c r="H278" s="137" t="s">
        <v>2056</v>
      </c>
      <c r="I278" s="137" t="s">
        <v>2258</v>
      </c>
      <c r="J278" s="137" t="s">
        <v>2242</v>
      </c>
      <c r="K278" s="137" t="s">
        <v>2077</v>
      </c>
      <c r="L278" s="139">
        <f t="shared" ref="L278:L279" si="423">ABS(R278)+ABS(T278)+ABS(V278)</f>
        <v>16066860136648</v>
      </c>
      <c r="M278" s="140">
        <f t="shared" ref="M278:M279" si="424">Q278+S278+U278</f>
        <v>188846</v>
      </c>
      <c r="N278" s="141">
        <f t="shared" ref="N278:N279" si="425">ABS(R278)/$L278</f>
        <v>3.0076408578285922E-3</v>
      </c>
      <c r="O278" s="141">
        <f t="shared" ref="O278:O279" si="426">ABS(T278)/$L278</f>
        <v>0</v>
      </c>
      <c r="P278" s="141">
        <f t="shared" ref="P278:P279" si="427">ABS(V278)/$L278</f>
        <v>0.99699235914217144</v>
      </c>
      <c r="Q278" s="140">
        <v>5</v>
      </c>
      <c r="R278" s="139">
        <v>48323345004</v>
      </c>
      <c r="S278" s="140">
        <v>0</v>
      </c>
      <c r="T278" s="139">
        <v>0</v>
      </c>
      <c r="U278" s="168">
        <v>188841</v>
      </c>
      <c r="V278" s="139">
        <v>16018536791644</v>
      </c>
    </row>
    <row r="279" spans="1:22" ht="15.95" customHeight="1" x14ac:dyDescent="0.3">
      <c r="A279" s="137">
        <v>115</v>
      </c>
      <c r="B279" s="137" t="s">
        <v>2054</v>
      </c>
      <c r="C279" s="137">
        <v>1000316632</v>
      </c>
      <c r="D279" s="137" t="s">
        <v>3397</v>
      </c>
      <c r="E279" s="137">
        <v>1682750</v>
      </c>
      <c r="F279" s="167" t="s">
        <v>3287</v>
      </c>
      <c r="G279" s="167" t="s">
        <v>3398</v>
      </c>
      <c r="H279" s="137" t="s">
        <v>2056</v>
      </c>
      <c r="I279" s="137" t="s">
        <v>2258</v>
      </c>
      <c r="J279" s="137" t="s">
        <v>2244</v>
      </c>
      <c r="K279" s="137" t="s">
        <v>2077</v>
      </c>
      <c r="L279" s="139">
        <f t="shared" si="423"/>
        <v>1382213788443</v>
      </c>
      <c r="M279" s="140">
        <f t="shared" si="424"/>
        <v>5395</v>
      </c>
      <c r="N279" s="141">
        <f t="shared" si="425"/>
        <v>5.6470486948277773E-4</v>
      </c>
      <c r="O279" s="141">
        <f t="shared" si="426"/>
        <v>1.3043263193249114E-2</v>
      </c>
      <c r="P279" s="141">
        <f t="shared" si="427"/>
        <v>0.9863920319372681</v>
      </c>
      <c r="Q279" s="140">
        <v>1</v>
      </c>
      <c r="R279" s="139">
        <v>-780542857</v>
      </c>
      <c r="S279" s="140">
        <v>19</v>
      </c>
      <c r="T279" s="139">
        <v>18028578232</v>
      </c>
      <c r="U279" s="168">
        <v>5375</v>
      </c>
      <c r="V279" s="139">
        <v>1363404667354</v>
      </c>
    </row>
    <row r="280" spans="1:22" ht="15.95" customHeight="1" x14ac:dyDescent="0.3">
      <c r="A280" s="137">
        <v>115</v>
      </c>
      <c r="B280" s="214" t="s">
        <v>3983</v>
      </c>
      <c r="C280" s="137">
        <v>1000316632</v>
      </c>
      <c r="D280" s="137" t="s">
        <v>3397</v>
      </c>
      <c r="E280" s="137">
        <v>1682750</v>
      </c>
      <c r="F280" s="167" t="s">
        <v>3287</v>
      </c>
      <c r="G280" s="214" t="s">
        <v>4051</v>
      </c>
      <c r="H280" s="207" t="s">
        <v>3969</v>
      </c>
      <c r="I280" s="137" t="s">
        <v>2258</v>
      </c>
      <c r="J280" s="137" t="s">
        <v>2242</v>
      </c>
      <c r="K280" s="137" t="s">
        <v>2077</v>
      </c>
      <c r="L280" s="139">
        <f t="shared" ref="L280:L281" si="428">ABS(R280)+ABS(T280)+ABS(V280)</f>
        <v>42254169384716</v>
      </c>
      <c r="M280" s="140">
        <f t="shared" ref="M280:M281" si="429">Q280+S280+U280</f>
        <v>381066</v>
      </c>
      <c r="N280" s="141">
        <f t="shared" ref="N280:N281" si="430">ABS(R280)/$L280</f>
        <v>3.7025161795415452E-4</v>
      </c>
      <c r="O280" s="141">
        <f t="shared" ref="O280:O281" si="431">ABS(T280)/$L280</f>
        <v>0</v>
      </c>
      <c r="P280" s="141">
        <f t="shared" ref="P280:P281" si="432">ABS(V280)/$L280</f>
        <v>0.99962974838204588</v>
      </c>
      <c r="Q280" s="140">
        <v>9</v>
      </c>
      <c r="R280" s="139">
        <v>15644674580</v>
      </c>
      <c r="S280" s="140">
        <v>0</v>
      </c>
      <c r="T280" s="139">
        <v>0</v>
      </c>
      <c r="U280" s="168">
        <v>381057</v>
      </c>
      <c r="V280" s="139">
        <v>42238524710136</v>
      </c>
    </row>
    <row r="281" spans="1:22" ht="15.95" customHeight="1" x14ac:dyDescent="0.3">
      <c r="A281" s="137">
        <v>115</v>
      </c>
      <c r="B281" s="214" t="s">
        <v>3983</v>
      </c>
      <c r="C281" s="137">
        <v>1000316632</v>
      </c>
      <c r="D281" s="137" t="s">
        <v>3397</v>
      </c>
      <c r="E281" s="137">
        <v>1682750</v>
      </c>
      <c r="F281" s="167" t="s">
        <v>3287</v>
      </c>
      <c r="G281" s="214" t="s">
        <v>4051</v>
      </c>
      <c r="H281" s="207" t="s">
        <v>3969</v>
      </c>
      <c r="I281" s="137" t="s">
        <v>2258</v>
      </c>
      <c r="J281" s="137" t="s">
        <v>2244</v>
      </c>
      <c r="K281" s="137" t="s">
        <v>2245</v>
      </c>
      <c r="L281" s="139">
        <f t="shared" si="428"/>
        <v>3000861364075</v>
      </c>
      <c r="M281" s="140">
        <f t="shared" si="429"/>
        <v>10898</v>
      </c>
      <c r="N281" s="141">
        <f t="shared" si="430"/>
        <v>2.6010627026770304E-4</v>
      </c>
      <c r="O281" s="141">
        <f t="shared" si="431"/>
        <v>1.2603602305919365E-2</v>
      </c>
      <c r="P281" s="141">
        <f t="shared" si="432"/>
        <v>0.98713629142381298</v>
      </c>
      <c r="Q281" s="140">
        <v>1</v>
      </c>
      <c r="R281" s="139">
        <v>780542857</v>
      </c>
      <c r="S281" s="140">
        <v>35</v>
      </c>
      <c r="T281" s="139">
        <v>37821663208</v>
      </c>
      <c r="U281" s="168">
        <v>10862</v>
      </c>
      <c r="V281" s="139">
        <v>2962259158010</v>
      </c>
    </row>
    <row r="282" spans="1:22" ht="15.95" customHeight="1" x14ac:dyDescent="0.3">
      <c r="A282" s="137">
        <v>116</v>
      </c>
      <c r="B282" s="214" t="s">
        <v>3422</v>
      </c>
      <c r="C282" s="137">
        <v>1000317666</v>
      </c>
      <c r="D282" s="137" t="s">
        <v>3399</v>
      </c>
      <c r="E282" s="137">
        <v>1683556</v>
      </c>
      <c r="F282" s="167" t="s">
        <v>3288</v>
      </c>
      <c r="G282" s="214" t="s">
        <v>4052</v>
      </c>
      <c r="H282" s="214" t="s">
        <v>3334</v>
      </c>
      <c r="I282" s="137" t="s">
        <v>2258</v>
      </c>
      <c r="J282" s="137" t="s">
        <v>2242</v>
      </c>
      <c r="K282" s="137" t="s">
        <v>2077</v>
      </c>
      <c r="L282" s="139">
        <f t="shared" ref="L282:L286" si="433">ABS(R282)+ABS(T282)+ABS(V282)</f>
        <v>11369651876268</v>
      </c>
      <c r="M282" s="140">
        <f t="shared" ref="M282:M286" si="434">Q282+S282+U282</f>
        <v>461083</v>
      </c>
      <c r="N282" s="141">
        <f t="shared" ref="N282:N286" si="435">ABS(R282)/$L282</f>
        <v>4.4915312851040775E-3</v>
      </c>
      <c r="O282" s="141">
        <f t="shared" ref="O282:O286" si="436">ABS(T282)/$L282</f>
        <v>0</v>
      </c>
      <c r="P282" s="141">
        <f t="shared" ref="P282:P286" si="437">ABS(V282)/$L282</f>
        <v>0.99550846871489596</v>
      </c>
      <c r="Q282" s="140">
        <v>10</v>
      </c>
      <c r="R282" s="139">
        <v>51067147103</v>
      </c>
      <c r="S282" s="140">
        <v>0</v>
      </c>
      <c r="T282" s="139">
        <v>0</v>
      </c>
      <c r="U282" s="168">
        <v>461073</v>
      </c>
      <c r="V282" s="139">
        <v>11318584729165</v>
      </c>
    </row>
    <row r="283" spans="1:22" ht="15.95" customHeight="1" x14ac:dyDescent="0.3">
      <c r="A283" s="137">
        <v>116</v>
      </c>
      <c r="B283" s="214" t="s">
        <v>3422</v>
      </c>
      <c r="C283" s="137">
        <v>1000317666</v>
      </c>
      <c r="D283" s="137" t="s">
        <v>3399</v>
      </c>
      <c r="E283" s="137">
        <v>1683556</v>
      </c>
      <c r="F283" s="167" t="s">
        <v>3288</v>
      </c>
      <c r="G283" s="214" t="s">
        <v>4052</v>
      </c>
      <c r="H283" s="214" t="s">
        <v>3334</v>
      </c>
      <c r="I283" s="137" t="s">
        <v>2258</v>
      </c>
      <c r="J283" s="137" t="s">
        <v>2244</v>
      </c>
      <c r="K283" s="137" t="s">
        <v>2245</v>
      </c>
      <c r="L283" s="139">
        <f t="shared" si="433"/>
        <v>590550265144</v>
      </c>
      <c r="M283" s="140">
        <f t="shared" si="434"/>
        <v>1656</v>
      </c>
      <c r="N283" s="141">
        <f t="shared" si="435"/>
        <v>6.8093366616632633E-3</v>
      </c>
      <c r="O283" s="141">
        <f t="shared" si="436"/>
        <v>0.77143885571859461</v>
      </c>
      <c r="P283" s="141">
        <f t="shared" si="437"/>
        <v>0.22175180761974214</v>
      </c>
      <c r="Q283" s="140">
        <v>32</v>
      </c>
      <c r="R283" s="139">
        <v>4021255571</v>
      </c>
      <c r="S283" s="140">
        <v>966</v>
      </c>
      <c r="T283" s="139">
        <v>455573420787</v>
      </c>
      <c r="U283" s="168">
        <v>658</v>
      </c>
      <c r="V283" s="139">
        <v>130955588786</v>
      </c>
    </row>
    <row r="284" spans="1:22" ht="15.95" customHeight="1" x14ac:dyDescent="0.3">
      <c r="A284" s="137">
        <v>119</v>
      </c>
      <c r="B284" s="137" t="s">
        <v>2054</v>
      </c>
      <c r="C284" s="137">
        <v>1000955485</v>
      </c>
      <c r="D284" s="137" t="s">
        <v>3400</v>
      </c>
      <c r="E284" s="137">
        <v>1660422</v>
      </c>
      <c r="F284" s="167" t="s">
        <v>3289</v>
      </c>
      <c r="G284" s="167" t="s">
        <v>3401</v>
      </c>
      <c r="H284" s="137" t="s">
        <v>2056</v>
      </c>
      <c r="I284" s="137" t="s">
        <v>2258</v>
      </c>
      <c r="J284" s="137" t="s">
        <v>2242</v>
      </c>
      <c r="K284" s="137" t="s">
        <v>2077</v>
      </c>
      <c r="L284" s="139">
        <f t="shared" si="433"/>
        <v>404608245904</v>
      </c>
      <c r="M284" s="140">
        <f t="shared" si="434"/>
        <v>80290</v>
      </c>
      <c r="N284" s="141">
        <f t="shared" si="435"/>
        <v>0.1170095421219688</v>
      </c>
      <c r="O284" s="141">
        <f t="shared" si="436"/>
        <v>0</v>
      </c>
      <c r="P284" s="141">
        <f t="shared" si="437"/>
        <v>0.88299045787803121</v>
      </c>
      <c r="Q284" s="140">
        <v>4</v>
      </c>
      <c r="R284" s="139">
        <v>47343025592</v>
      </c>
      <c r="S284" s="140">
        <v>0</v>
      </c>
      <c r="T284" s="139">
        <v>0</v>
      </c>
      <c r="U284" s="168">
        <v>80286</v>
      </c>
      <c r="V284" s="139">
        <v>357265220312</v>
      </c>
    </row>
    <row r="285" spans="1:22" ht="15.95" customHeight="1" x14ac:dyDescent="0.3">
      <c r="A285" s="137">
        <v>119</v>
      </c>
      <c r="B285" s="137" t="s">
        <v>2054</v>
      </c>
      <c r="C285" s="137">
        <v>1000955485</v>
      </c>
      <c r="D285" s="137" t="s">
        <v>3400</v>
      </c>
      <c r="E285" s="137">
        <v>1660422</v>
      </c>
      <c r="F285" s="167" t="s">
        <v>3289</v>
      </c>
      <c r="G285" s="167" t="s">
        <v>3401</v>
      </c>
      <c r="H285" s="137" t="s">
        <v>2056</v>
      </c>
      <c r="I285" s="137" t="s">
        <v>2258</v>
      </c>
      <c r="J285" s="137" t="s">
        <v>2243</v>
      </c>
      <c r="K285" s="137" t="s">
        <v>2245</v>
      </c>
      <c r="L285" s="139">
        <f t="shared" si="433"/>
        <v>1780656349</v>
      </c>
      <c r="M285" s="140">
        <f t="shared" si="434"/>
        <v>1274</v>
      </c>
      <c r="N285" s="141">
        <f t="shared" si="435"/>
        <v>0</v>
      </c>
      <c r="O285" s="141">
        <f t="shared" si="436"/>
        <v>0.23917468928756225</v>
      </c>
      <c r="P285" s="141">
        <f t="shared" si="437"/>
        <v>0.76082531071243775</v>
      </c>
      <c r="Q285" s="168">
        <v>0</v>
      </c>
      <c r="R285" s="139">
        <v>0</v>
      </c>
      <c r="S285" s="140">
        <v>58</v>
      </c>
      <c r="T285" s="139">
        <v>425887929</v>
      </c>
      <c r="U285" s="168">
        <v>1216</v>
      </c>
      <c r="V285" s="139">
        <v>1354768420</v>
      </c>
    </row>
    <row r="286" spans="1:22" ht="15.95" customHeight="1" x14ac:dyDescent="0.3">
      <c r="A286" s="137">
        <v>119</v>
      </c>
      <c r="B286" s="137" t="s">
        <v>2054</v>
      </c>
      <c r="C286" s="137">
        <v>1000955485</v>
      </c>
      <c r="D286" s="137" t="s">
        <v>3400</v>
      </c>
      <c r="E286" s="137">
        <v>1660422</v>
      </c>
      <c r="F286" s="167" t="s">
        <v>3289</v>
      </c>
      <c r="G286" s="167" t="s">
        <v>3401</v>
      </c>
      <c r="H286" s="137" t="s">
        <v>2056</v>
      </c>
      <c r="I286" s="137" t="s">
        <v>2258</v>
      </c>
      <c r="J286" s="137" t="s">
        <v>2244</v>
      </c>
      <c r="K286" s="137" t="s">
        <v>2245</v>
      </c>
      <c r="L286" s="139">
        <f t="shared" si="433"/>
        <v>16309487950</v>
      </c>
      <c r="M286" s="140">
        <f t="shared" si="434"/>
        <v>279</v>
      </c>
      <c r="N286" s="141">
        <f t="shared" si="435"/>
        <v>3.0583586531298796E-2</v>
      </c>
      <c r="O286" s="141">
        <f t="shared" si="436"/>
        <v>2.0150288531897164E-2</v>
      </c>
      <c r="P286" s="141">
        <f t="shared" si="437"/>
        <v>0.94926612493680407</v>
      </c>
      <c r="Q286" s="140">
        <v>2</v>
      </c>
      <c r="R286" s="139">
        <v>-498802636</v>
      </c>
      <c r="S286" s="140">
        <v>6</v>
      </c>
      <c r="T286" s="139">
        <v>328640888</v>
      </c>
      <c r="U286" s="140">
        <v>271</v>
      </c>
      <c r="V286" s="139">
        <v>15482044426</v>
      </c>
    </row>
    <row r="287" spans="1:22" ht="15.95" customHeight="1" x14ac:dyDescent="0.3">
      <c r="A287" s="137">
        <v>123</v>
      </c>
      <c r="B287" s="137" t="s">
        <v>2054</v>
      </c>
      <c r="C287" s="137">
        <v>1001390784</v>
      </c>
      <c r="D287" s="137" t="s">
        <v>3402</v>
      </c>
      <c r="E287" s="137">
        <v>1662849</v>
      </c>
      <c r="F287" s="137" t="s">
        <v>3290</v>
      </c>
      <c r="G287" s="167" t="s">
        <v>3403</v>
      </c>
      <c r="H287" s="137" t="s">
        <v>2056</v>
      </c>
      <c r="I287" s="137" t="s">
        <v>2258</v>
      </c>
      <c r="J287" s="137" t="s">
        <v>2242</v>
      </c>
      <c r="K287" s="137" t="s">
        <v>2077</v>
      </c>
      <c r="L287" s="139">
        <f t="shared" ref="L287:L289" si="438">ABS(R287)+ABS(T287)+ABS(V287)</f>
        <v>4910187278966</v>
      </c>
      <c r="M287" s="140">
        <f t="shared" ref="M287:M289" si="439">Q287+S287+U287</f>
        <v>561344</v>
      </c>
      <c r="N287" s="141">
        <f t="shared" ref="N287:N289" si="440">ABS(R287)/$L287</f>
        <v>7.6820075929859841E-4</v>
      </c>
      <c r="O287" s="141">
        <f t="shared" ref="O287:O289" si="441">ABS(T287)/$L287</f>
        <v>0</v>
      </c>
      <c r="P287" s="141">
        <f t="shared" ref="P287:P289" si="442">ABS(V287)/$L287</f>
        <v>0.99923179924070138</v>
      </c>
      <c r="Q287" s="140">
        <v>5</v>
      </c>
      <c r="R287" s="139">
        <v>3772009596</v>
      </c>
      <c r="S287" s="140">
        <v>0</v>
      </c>
      <c r="T287" s="139">
        <v>0</v>
      </c>
      <c r="U287" s="140">
        <v>561339</v>
      </c>
      <c r="V287" s="139">
        <v>4906415269370</v>
      </c>
    </row>
    <row r="288" spans="1:22" ht="15.95" customHeight="1" x14ac:dyDescent="0.3">
      <c r="A288" s="137">
        <v>123</v>
      </c>
      <c r="B288" s="137" t="s">
        <v>2054</v>
      </c>
      <c r="C288" s="137">
        <v>1001390784</v>
      </c>
      <c r="D288" s="137" t="s">
        <v>3402</v>
      </c>
      <c r="E288" s="137">
        <v>1662849</v>
      </c>
      <c r="F288" s="137" t="s">
        <v>3290</v>
      </c>
      <c r="G288" s="167" t="s">
        <v>3403</v>
      </c>
      <c r="H288" s="137" t="s">
        <v>2056</v>
      </c>
      <c r="I288" s="137" t="s">
        <v>2258</v>
      </c>
      <c r="J288" s="137" t="s">
        <v>2243</v>
      </c>
      <c r="K288" s="137" t="s">
        <v>2245</v>
      </c>
      <c r="L288" s="139">
        <f t="shared" si="438"/>
        <v>8394244390</v>
      </c>
      <c r="M288" s="140">
        <f t="shared" si="439"/>
        <v>598</v>
      </c>
      <c r="N288" s="141">
        <f t="shared" si="440"/>
        <v>0</v>
      </c>
      <c r="O288" s="141">
        <f t="shared" si="441"/>
        <v>9.9648677729288745E-2</v>
      </c>
      <c r="P288" s="141">
        <f t="shared" si="442"/>
        <v>0.90035132227071124</v>
      </c>
      <c r="Q288" s="140">
        <v>0</v>
      </c>
      <c r="R288" s="139">
        <v>0</v>
      </c>
      <c r="S288" s="140">
        <v>43</v>
      </c>
      <c r="T288" s="139">
        <v>836475354</v>
      </c>
      <c r="U288" s="140">
        <v>555</v>
      </c>
      <c r="V288" s="139">
        <v>7557769036</v>
      </c>
    </row>
    <row r="289" spans="1:22" ht="15.95" customHeight="1" x14ac:dyDescent="0.3">
      <c r="A289" s="137">
        <v>123</v>
      </c>
      <c r="B289" s="137" t="s">
        <v>2054</v>
      </c>
      <c r="C289" s="137">
        <v>1001390784</v>
      </c>
      <c r="D289" s="137" t="s">
        <v>3402</v>
      </c>
      <c r="E289" s="137">
        <v>1662849</v>
      </c>
      <c r="F289" s="137" t="s">
        <v>3290</v>
      </c>
      <c r="G289" s="167" t="s">
        <v>3403</v>
      </c>
      <c r="H289" s="137" t="s">
        <v>2056</v>
      </c>
      <c r="I289" s="137" t="s">
        <v>2258</v>
      </c>
      <c r="J289" s="137" t="s">
        <v>2244</v>
      </c>
      <c r="K289" s="137" t="s">
        <v>2245</v>
      </c>
      <c r="L289" s="139">
        <f t="shared" si="438"/>
        <v>296759768056</v>
      </c>
      <c r="M289" s="140">
        <f t="shared" si="439"/>
        <v>33098</v>
      </c>
      <c r="N289" s="141">
        <f t="shared" si="440"/>
        <v>7.100358646332342E-3</v>
      </c>
      <c r="O289" s="141">
        <f t="shared" si="441"/>
        <v>0.15632263338420568</v>
      </c>
      <c r="P289" s="141">
        <f t="shared" si="442"/>
        <v>0.83657700796946199</v>
      </c>
      <c r="Q289" s="140">
        <v>23</v>
      </c>
      <c r="R289" s="139">
        <v>2107100785</v>
      </c>
      <c r="S289" s="140">
        <v>804</v>
      </c>
      <c r="T289" s="139">
        <v>46390268425</v>
      </c>
      <c r="U289" s="140">
        <v>32271</v>
      </c>
      <c r="V289" s="139">
        <v>248262398846</v>
      </c>
    </row>
    <row r="290" spans="1:22" ht="15.95" customHeight="1" x14ac:dyDescent="0.3">
      <c r="A290" s="137">
        <v>133</v>
      </c>
      <c r="B290" s="137" t="s">
        <v>2054</v>
      </c>
      <c r="C290" s="137">
        <v>1001068951</v>
      </c>
      <c r="D290" s="137" t="s">
        <v>3404</v>
      </c>
      <c r="E290" s="137">
        <v>1683199</v>
      </c>
      <c r="F290" s="137" t="s">
        <v>3291</v>
      </c>
      <c r="G290" s="167" t="s">
        <v>3405</v>
      </c>
      <c r="H290" s="137" t="s">
        <v>2056</v>
      </c>
      <c r="I290" s="137" t="s">
        <v>2258</v>
      </c>
      <c r="J290" s="137" t="s">
        <v>2242</v>
      </c>
      <c r="K290" s="137" t="s">
        <v>2077</v>
      </c>
      <c r="L290" s="139">
        <f t="shared" ref="L290:L292" si="443">ABS(R290)+ABS(T290)+ABS(V290)</f>
        <v>756767735544968</v>
      </c>
      <c r="M290" s="140">
        <f t="shared" ref="M290:M292" si="444">Q290+S290+U290</f>
        <v>5998986</v>
      </c>
      <c r="N290" s="141">
        <f t="shared" ref="N290:N292" si="445">ABS(R290)/$L290</f>
        <v>5.46787402129424E-3</v>
      </c>
      <c r="O290" s="141">
        <f t="shared" ref="O290:O292" si="446">ABS(T290)/$L290</f>
        <v>0</v>
      </c>
      <c r="P290" s="141">
        <f t="shared" ref="P290:P292" si="447">ABS(V290)/$L290</f>
        <v>0.99453212597870577</v>
      </c>
      <c r="Q290" s="140">
        <v>32</v>
      </c>
      <c r="R290" s="139">
        <v>4137910641340</v>
      </c>
      <c r="S290" s="140">
        <v>0</v>
      </c>
      <c r="T290" s="139">
        <v>0</v>
      </c>
      <c r="U290" s="140">
        <v>5998954</v>
      </c>
      <c r="V290" s="139">
        <v>752629824903628</v>
      </c>
    </row>
    <row r="291" spans="1:22" ht="15.95" customHeight="1" x14ac:dyDescent="0.3">
      <c r="A291" s="137">
        <v>133</v>
      </c>
      <c r="B291" s="137" t="s">
        <v>2054</v>
      </c>
      <c r="C291" s="137">
        <v>1001068951</v>
      </c>
      <c r="D291" s="137" t="s">
        <v>3404</v>
      </c>
      <c r="E291" s="137">
        <v>1683199</v>
      </c>
      <c r="F291" s="137" t="s">
        <v>3291</v>
      </c>
      <c r="G291" s="167" t="s">
        <v>3405</v>
      </c>
      <c r="H291" s="137" t="s">
        <v>2056</v>
      </c>
      <c r="I291" s="137" t="s">
        <v>2258</v>
      </c>
      <c r="J291" s="137" t="s">
        <v>2243</v>
      </c>
      <c r="K291" s="137" t="s">
        <v>2245</v>
      </c>
      <c r="L291" s="139">
        <f t="shared" si="443"/>
        <v>4742711542005</v>
      </c>
      <c r="M291" s="140">
        <f t="shared" si="444"/>
        <v>575352</v>
      </c>
      <c r="N291" s="141">
        <f t="shared" si="445"/>
        <v>0.22355939137672359</v>
      </c>
      <c r="O291" s="141">
        <f t="shared" si="446"/>
        <v>0.54928200154055529</v>
      </c>
      <c r="P291" s="141">
        <f t="shared" si="447"/>
        <v>0.22715860708272106</v>
      </c>
      <c r="Q291" s="140">
        <v>74</v>
      </c>
      <c r="R291" s="139">
        <v>1060277705806</v>
      </c>
      <c r="S291" s="140">
        <v>1374</v>
      </c>
      <c r="T291" s="139">
        <v>2605086088522</v>
      </c>
      <c r="U291" s="140">
        <v>573904</v>
      </c>
      <c r="V291" s="139">
        <v>1077347747677</v>
      </c>
    </row>
    <row r="292" spans="1:22" ht="15.95" customHeight="1" x14ac:dyDescent="0.3">
      <c r="A292" s="137">
        <v>133</v>
      </c>
      <c r="B292" s="137" t="s">
        <v>2054</v>
      </c>
      <c r="C292" s="137">
        <v>1001068951</v>
      </c>
      <c r="D292" s="137" t="s">
        <v>3404</v>
      </c>
      <c r="E292" s="137">
        <v>1683199</v>
      </c>
      <c r="F292" s="137" t="s">
        <v>3291</v>
      </c>
      <c r="G292" s="167" t="s">
        <v>3405</v>
      </c>
      <c r="H292" s="137" t="s">
        <v>2056</v>
      </c>
      <c r="I292" s="137" t="s">
        <v>2258</v>
      </c>
      <c r="J292" s="137" t="s">
        <v>2244</v>
      </c>
      <c r="K292" s="137" t="s">
        <v>2245</v>
      </c>
      <c r="L292" s="139">
        <f t="shared" si="443"/>
        <v>2359470520865</v>
      </c>
      <c r="M292" s="140">
        <f t="shared" si="444"/>
        <v>5590</v>
      </c>
      <c r="N292" s="141">
        <f t="shared" si="445"/>
        <v>0.18867317231486228</v>
      </c>
      <c r="O292" s="141">
        <f t="shared" si="446"/>
        <v>0.33069061241712511</v>
      </c>
      <c r="P292" s="141">
        <f t="shared" si="447"/>
        <v>0.48063621526801265</v>
      </c>
      <c r="Q292" s="140">
        <v>64</v>
      </c>
      <c r="R292" s="139">
        <v>445168788155</v>
      </c>
      <c r="S292" s="140">
        <v>625</v>
      </c>
      <c r="T292" s="139">
        <v>780254751525</v>
      </c>
      <c r="U292" s="140">
        <v>4901</v>
      </c>
      <c r="V292" s="139">
        <v>1134046981185</v>
      </c>
    </row>
    <row r="293" spans="1:22" ht="15.95" customHeight="1" x14ac:dyDescent="0.3">
      <c r="A293" s="137">
        <v>133</v>
      </c>
      <c r="B293" s="214" t="s">
        <v>3983</v>
      </c>
      <c r="C293" s="137">
        <v>1001068951</v>
      </c>
      <c r="D293" s="137" t="s">
        <v>3404</v>
      </c>
      <c r="E293" s="137">
        <v>1683199</v>
      </c>
      <c r="F293" s="137" t="s">
        <v>3291</v>
      </c>
      <c r="G293" s="214" t="s">
        <v>4053</v>
      </c>
      <c r="H293" s="213" t="s">
        <v>3974</v>
      </c>
      <c r="I293" s="137" t="s">
        <v>2258</v>
      </c>
      <c r="J293" s="137" t="s">
        <v>2242</v>
      </c>
      <c r="K293" s="137" t="s">
        <v>2077</v>
      </c>
      <c r="L293" s="139">
        <f t="shared" ref="L293:L295" si="448">ABS(R293)+ABS(T293)+ABS(V293)</f>
        <v>768219874997336</v>
      </c>
      <c r="M293" s="140">
        <f t="shared" ref="M293:M295" si="449">Q293+S293+U293</f>
        <v>6120791</v>
      </c>
      <c r="N293" s="141">
        <f t="shared" ref="N293:N295" si="450">ABS(R293)/$L293</f>
        <v>3.7049937460025624E-4</v>
      </c>
      <c r="O293" s="141">
        <f t="shared" ref="O293:O295" si="451">ABS(T293)/$L293</f>
        <v>0</v>
      </c>
      <c r="P293" s="141">
        <f t="shared" ref="P293:P295" si="452">ABS(V293)/$L293</f>
        <v>0.99962950062539979</v>
      </c>
      <c r="Q293" s="140">
        <v>68</v>
      </c>
      <c r="R293" s="139">
        <v>284624983242</v>
      </c>
      <c r="S293" s="140">
        <v>0</v>
      </c>
      <c r="T293" s="139">
        <v>0</v>
      </c>
      <c r="U293" s="140">
        <v>6120723</v>
      </c>
      <c r="V293" s="139">
        <v>767935250014094</v>
      </c>
    </row>
    <row r="294" spans="1:22" ht="15.95" customHeight="1" x14ac:dyDescent="0.3">
      <c r="A294" s="137">
        <v>133</v>
      </c>
      <c r="B294" s="214" t="s">
        <v>3983</v>
      </c>
      <c r="C294" s="137">
        <v>1001068951</v>
      </c>
      <c r="D294" s="137" t="s">
        <v>3404</v>
      </c>
      <c r="E294" s="137">
        <v>1683199</v>
      </c>
      <c r="F294" s="137" t="s">
        <v>3291</v>
      </c>
      <c r="G294" s="214" t="s">
        <v>4053</v>
      </c>
      <c r="H294" s="213" t="s">
        <v>3974</v>
      </c>
      <c r="I294" s="137" t="s">
        <v>2258</v>
      </c>
      <c r="J294" s="137" t="s">
        <v>2243</v>
      </c>
      <c r="K294" s="137" t="s">
        <v>2245</v>
      </c>
      <c r="L294" s="139">
        <f t="shared" si="448"/>
        <v>5206207530491</v>
      </c>
      <c r="M294" s="140">
        <f t="shared" si="449"/>
        <v>667068</v>
      </c>
      <c r="N294" s="141">
        <f t="shared" si="450"/>
        <v>0.17029753831199732</v>
      </c>
      <c r="O294" s="141">
        <f t="shared" si="451"/>
        <v>0.56341629136369875</v>
      </c>
      <c r="P294" s="141">
        <f t="shared" si="452"/>
        <v>0.26628617032430391</v>
      </c>
      <c r="Q294" s="140">
        <v>54</v>
      </c>
      <c r="R294" s="139">
        <v>886604326384</v>
      </c>
      <c r="S294" s="140">
        <v>846</v>
      </c>
      <c r="T294" s="139">
        <v>2933262138899</v>
      </c>
      <c r="U294" s="140">
        <v>666168</v>
      </c>
      <c r="V294" s="139">
        <v>1386341065208</v>
      </c>
    </row>
    <row r="295" spans="1:22" ht="15.95" customHeight="1" x14ac:dyDescent="0.3">
      <c r="A295" s="137">
        <v>133</v>
      </c>
      <c r="B295" s="214" t="s">
        <v>3983</v>
      </c>
      <c r="C295" s="137">
        <v>1001068951</v>
      </c>
      <c r="D295" s="137" t="s">
        <v>3404</v>
      </c>
      <c r="E295" s="137">
        <v>1683199</v>
      </c>
      <c r="F295" s="137" t="s">
        <v>3291</v>
      </c>
      <c r="G295" s="214" t="s">
        <v>4053</v>
      </c>
      <c r="H295" s="213" t="s">
        <v>3974</v>
      </c>
      <c r="I295" s="137" t="s">
        <v>2258</v>
      </c>
      <c r="J295" s="137" t="s">
        <v>2244</v>
      </c>
      <c r="K295" s="137" t="s">
        <v>2245</v>
      </c>
      <c r="L295" s="139">
        <f t="shared" si="448"/>
        <v>2895076064199</v>
      </c>
      <c r="M295" s="140">
        <f t="shared" si="449"/>
        <v>5759</v>
      </c>
      <c r="N295" s="141">
        <f t="shared" si="450"/>
        <v>0.22259391346019702</v>
      </c>
      <c r="O295" s="141">
        <f t="shared" si="451"/>
        <v>0.22691240496672643</v>
      </c>
      <c r="P295" s="141">
        <f t="shared" si="452"/>
        <v>0.55049368157307654</v>
      </c>
      <c r="Q295" s="140">
        <v>39</v>
      </c>
      <c r="R295" s="139">
        <v>644426310895</v>
      </c>
      <c r="S295" s="140">
        <v>524</v>
      </c>
      <c r="T295" s="139">
        <v>656928672289</v>
      </c>
      <c r="U295" s="140">
        <v>5196</v>
      </c>
      <c r="V295" s="139">
        <v>1593721081015</v>
      </c>
    </row>
    <row r="296" spans="1:22" ht="15.95" customHeight="1" x14ac:dyDescent="0.3">
      <c r="A296" s="137">
        <v>134</v>
      </c>
      <c r="B296" s="137" t="s">
        <v>2054</v>
      </c>
      <c r="C296" s="137">
        <v>1001042011</v>
      </c>
      <c r="D296" s="137" t="s">
        <v>3406</v>
      </c>
      <c r="E296" s="137">
        <v>1683385</v>
      </c>
      <c r="F296" s="137" t="s">
        <v>3292</v>
      </c>
      <c r="G296" s="167" t="s">
        <v>3407</v>
      </c>
      <c r="H296" s="137" t="s">
        <v>2056</v>
      </c>
      <c r="I296" s="137" t="s">
        <v>2258</v>
      </c>
      <c r="J296" s="137" t="s">
        <v>2242</v>
      </c>
      <c r="K296" s="137" t="s">
        <v>2077</v>
      </c>
      <c r="L296" s="139">
        <f t="shared" ref="L296:L297" si="453">ABS(R296)+ABS(T296)+ABS(V296)</f>
        <v>9122527989374</v>
      </c>
      <c r="M296" s="140">
        <f t="shared" ref="M296:M297" si="454">Q296+S296+U296</f>
        <v>271919</v>
      </c>
      <c r="N296" s="141">
        <f t="shared" ref="N296:N297" si="455">ABS(R296)/$L296</f>
        <v>4.0461276829727631E-2</v>
      </c>
      <c r="O296" s="141">
        <f t="shared" ref="O296:O297" si="456">ABS(T296)/$L296</f>
        <v>0</v>
      </c>
      <c r="P296" s="141">
        <f t="shared" ref="P296:P297" si="457">ABS(V296)/$L296</f>
        <v>0.95953872317027233</v>
      </c>
      <c r="Q296" s="140">
        <v>11</v>
      </c>
      <c r="R296" s="139">
        <v>369109130365</v>
      </c>
      <c r="S296" s="140">
        <v>0</v>
      </c>
      <c r="T296" s="139">
        <v>0</v>
      </c>
      <c r="U296" s="140">
        <v>271908</v>
      </c>
      <c r="V296" s="139">
        <v>8753418859009</v>
      </c>
    </row>
    <row r="297" spans="1:22" ht="15.95" customHeight="1" x14ac:dyDescent="0.3">
      <c r="A297" s="137">
        <v>134</v>
      </c>
      <c r="B297" s="137" t="s">
        <v>2054</v>
      </c>
      <c r="C297" s="137">
        <v>1001042011</v>
      </c>
      <c r="D297" s="137" t="s">
        <v>3406</v>
      </c>
      <c r="E297" s="137">
        <v>1683385</v>
      </c>
      <c r="F297" s="137" t="s">
        <v>3292</v>
      </c>
      <c r="G297" s="167" t="s">
        <v>3407</v>
      </c>
      <c r="H297" s="137" t="s">
        <v>2056</v>
      </c>
      <c r="I297" s="137" t="s">
        <v>2258</v>
      </c>
      <c r="J297" s="137" t="s">
        <v>2244</v>
      </c>
      <c r="K297" s="137" t="s">
        <v>2245</v>
      </c>
      <c r="L297" s="139">
        <f t="shared" si="453"/>
        <v>1085221521209</v>
      </c>
      <c r="M297" s="140">
        <f t="shared" si="454"/>
        <v>36716</v>
      </c>
      <c r="N297" s="141">
        <f t="shared" si="455"/>
        <v>2.0468946090612949E-2</v>
      </c>
      <c r="O297" s="141">
        <f t="shared" si="456"/>
        <v>0.2356583168274152</v>
      </c>
      <c r="P297" s="141">
        <f t="shared" si="457"/>
        <v>0.74387273708197188</v>
      </c>
      <c r="Q297" s="140">
        <v>65</v>
      </c>
      <c r="R297" s="139">
        <v>22213340814</v>
      </c>
      <c r="S297" s="140">
        <v>297</v>
      </c>
      <c r="T297" s="139">
        <v>255741477073</v>
      </c>
      <c r="U297" s="140">
        <v>36354</v>
      </c>
      <c r="V297" s="139">
        <v>807266703322</v>
      </c>
    </row>
    <row r="298" spans="1:22" ht="15.95" customHeight="1" x14ac:dyDescent="0.3">
      <c r="A298" s="137">
        <v>135</v>
      </c>
      <c r="B298" s="214" t="s">
        <v>3983</v>
      </c>
      <c r="C298" s="137">
        <v>1000711607</v>
      </c>
      <c r="D298" s="137" t="s">
        <v>4054</v>
      </c>
      <c r="E298" s="137">
        <v>1683698</v>
      </c>
      <c r="F298" s="137" t="s">
        <v>3613</v>
      </c>
      <c r="G298" s="214" t="s">
        <v>4055</v>
      </c>
      <c r="H298" s="207" t="s">
        <v>3969</v>
      </c>
      <c r="I298" s="137" t="s">
        <v>2258</v>
      </c>
      <c r="J298" s="137" t="s">
        <v>2242</v>
      </c>
      <c r="K298" s="137" t="s">
        <v>2077</v>
      </c>
      <c r="L298" s="139">
        <f t="shared" ref="L298:L299" si="458">ABS(R298)+ABS(T298)+ABS(V298)</f>
        <v>3068318238896</v>
      </c>
      <c r="M298" s="140">
        <f t="shared" ref="M298:M299" si="459">Q298+S298+U298</f>
        <v>75330</v>
      </c>
      <c r="N298" s="141">
        <f t="shared" ref="N298:N299" si="460">ABS(R298)/$L298</f>
        <v>3.788453005540407E-2</v>
      </c>
      <c r="O298" s="141">
        <f t="shared" ref="O298:O299" si="461">ABS(T298)/$L298</f>
        <v>0</v>
      </c>
      <c r="P298" s="141">
        <f t="shared" ref="P298:P299" si="462">ABS(V298)/$L298</f>
        <v>0.96211546994459596</v>
      </c>
      <c r="Q298" s="140">
        <v>7</v>
      </c>
      <c r="R298" s="139">
        <v>116241794541</v>
      </c>
      <c r="S298" s="140">
        <v>0</v>
      </c>
      <c r="T298" s="139">
        <v>0</v>
      </c>
      <c r="U298" s="140">
        <v>75323</v>
      </c>
      <c r="V298" s="139">
        <v>2952076444355</v>
      </c>
    </row>
    <row r="299" spans="1:22" ht="15.95" customHeight="1" x14ac:dyDescent="0.3">
      <c r="A299" s="137">
        <v>135</v>
      </c>
      <c r="B299" s="214" t="s">
        <v>3983</v>
      </c>
      <c r="C299" s="137">
        <v>1000711607</v>
      </c>
      <c r="D299" s="137" t="s">
        <v>4054</v>
      </c>
      <c r="E299" s="137">
        <v>1683698</v>
      </c>
      <c r="F299" s="137" t="s">
        <v>3613</v>
      </c>
      <c r="G299" s="214" t="s">
        <v>4055</v>
      </c>
      <c r="H299" s="207" t="s">
        <v>3969</v>
      </c>
      <c r="I299" s="137" t="s">
        <v>2258</v>
      </c>
      <c r="J299" s="137" t="s">
        <v>2244</v>
      </c>
      <c r="K299" s="137" t="s">
        <v>2245</v>
      </c>
      <c r="L299" s="139">
        <f t="shared" si="458"/>
        <v>19319779208</v>
      </c>
      <c r="M299" s="140">
        <f t="shared" si="459"/>
        <v>619</v>
      </c>
      <c r="N299" s="141">
        <f t="shared" si="460"/>
        <v>0</v>
      </c>
      <c r="O299" s="141">
        <f t="shared" si="461"/>
        <v>2.0730983293750695E-3</v>
      </c>
      <c r="P299" s="141">
        <f t="shared" si="462"/>
        <v>0.99792690167062492</v>
      </c>
      <c r="Q299" s="140">
        <v>0</v>
      </c>
      <c r="R299" s="139">
        <v>0</v>
      </c>
      <c r="S299" s="140">
        <v>1</v>
      </c>
      <c r="T299" s="139">
        <v>40051802</v>
      </c>
      <c r="U299" s="140">
        <v>618</v>
      </c>
      <c r="V299" s="139">
        <v>19279727406</v>
      </c>
    </row>
    <row r="300" spans="1:22" ht="15.95" customHeight="1" x14ac:dyDescent="0.3">
      <c r="A300" s="137">
        <v>137</v>
      </c>
      <c r="B300" s="214" t="s">
        <v>3422</v>
      </c>
      <c r="C300" s="137">
        <v>1000317156</v>
      </c>
      <c r="D300" s="137" t="s">
        <v>2465</v>
      </c>
      <c r="E300" s="137">
        <v>1666297</v>
      </c>
      <c r="F300" s="137" t="s">
        <v>3614</v>
      </c>
      <c r="G300" s="214" t="s">
        <v>4056</v>
      </c>
      <c r="H300" s="137" t="s">
        <v>3334</v>
      </c>
      <c r="I300" s="137" t="s">
        <v>2258</v>
      </c>
      <c r="J300" s="137" t="s">
        <v>2242</v>
      </c>
      <c r="K300" s="137" t="s">
        <v>2077</v>
      </c>
      <c r="L300" s="139">
        <f t="shared" ref="L300:L301" si="463">ABS(R300)+ABS(T300)+ABS(V300)</f>
        <v>14314817658234</v>
      </c>
      <c r="M300" s="140">
        <f t="shared" ref="M300:M301" si="464">Q300+S300+U300</f>
        <v>281340</v>
      </c>
      <c r="N300" s="141">
        <f t="shared" ref="N300:N301" si="465">ABS(R300)/$L300</f>
        <v>6.9175782692586837E-3</v>
      </c>
      <c r="O300" s="141">
        <f t="shared" ref="O300:O301" si="466">ABS(T300)/$L300</f>
        <v>0</v>
      </c>
      <c r="P300" s="141">
        <f t="shared" ref="P300:P301" si="467">ABS(V300)/$L300</f>
        <v>0.99308242173074135</v>
      </c>
      <c r="Q300" s="140">
        <v>13</v>
      </c>
      <c r="R300" s="139">
        <v>99023871561</v>
      </c>
      <c r="S300" s="140">
        <v>0</v>
      </c>
      <c r="T300" s="139">
        <v>0</v>
      </c>
      <c r="U300" s="140">
        <v>281327</v>
      </c>
      <c r="V300" s="139">
        <v>14215793786673</v>
      </c>
    </row>
    <row r="301" spans="1:22" ht="15.95" customHeight="1" x14ac:dyDescent="0.3">
      <c r="A301" s="137">
        <v>137</v>
      </c>
      <c r="B301" s="214" t="s">
        <v>3422</v>
      </c>
      <c r="C301" s="137">
        <v>1000317156</v>
      </c>
      <c r="D301" s="137" t="s">
        <v>2465</v>
      </c>
      <c r="E301" s="137">
        <v>1666297</v>
      </c>
      <c r="F301" s="137" t="s">
        <v>3614</v>
      </c>
      <c r="G301" s="214" t="s">
        <v>4056</v>
      </c>
      <c r="H301" s="137" t="s">
        <v>3334</v>
      </c>
      <c r="I301" s="137" t="s">
        <v>2258</v>
      </c>
      <c r="J301" s="137" t="s">
        <v>2243</v>
      </c>
      <c r="K301" s="137" t="s">
        <v>2245</v>
      </c>
      <c r="L301" s="139">
        <f t="shared" si="463"/>
        <v>493431248</v>
      </c>
      <c r="M301" s="140">
        <f t="shared" si="464"/>
        <v>4738</v>
      </c>
      <c r="N301" s="141">
        <f t="shared" si="465"/>
        <v>0</v>
      </c>
      <c r="O301" s="141">
        <f t="shared" si="466"/>
        <v>0.27840494811954025</v>
      </c>
      <c r="P301" s="141">
        <f t="shared" si="467"/>
        <v>0.72159505188045969</v>
      </c>
      <c r="Q301" s="140">
        <v>0</v>
      </c>
      <c r="R301" s="139">
        <v>0</v>
      </c>
      <c r="S301" s="140">
        <v>363</v>
      </c>
      <c r="T301" s="139">
        <v>137373701</v>
      </c>
      <c r="U301" s="140">
        <v>4375</v>
      </c>
      <c r="V301" s="139">
        <v>356057547</v>
      </c>
    </row>
    <row r="302" spans="1:22" ht="15.95" customHeight="1" x14ac:dyDescent="0.3">
      <c r="A302" s="137">
        <v>143</v>
      </c>
      <c r="B302" s="137" t="s">
        <v>2063</v>
      </c>
      <c r="C302" s="137">
        <v>1000800419</v>
      </c>
      <c r="D302" s="137" t="s">
        <v>2250</v>
      </c>
      <c r="E302" s="137">
        <v>1657096</v>
      </c>
      <c r="F302" s="137" t="s">
        <v>2251</v>
      </c>
      <c r="G302" s="137" t="s">
        <v>2252</v>
      </c>
      <c r="H302" s="137" t="s">
        <v>2056</v>
      </c>
      <c r="I302" s="137" t="s">
        <v>2258</v>
      </c>
      <c r="J302" s="137" t="s">
        <v>2242</v>
      </c>
      <c r="K302" s="137" t="s">
        <v>2077</v>
      </c>
      <c r="L302" s="139">
        <f t="shared" ref="L302:L328" si="468">ABS(R302)+ABS(T302)+ABS(V302)</f>
        <v>2554428708354</v>
      </c>
      <c r="M302" s="140">
        <f t="shared" ref="M302:M328" si="469">Q302+S302+U302</f>
        <v>85646</v>
      </c>
      <c r="N302" s="141">
        <f t="shared" ref="N302:N328" si="470">ABS(R302)/$L302</f>
        <v>3.3772211253289999E-3</v>
      </c>
      <c r="O302" s="141">
        <f t="shared" ref="O302:O328" si="471">ABS(T302)/$L302</f>
        <v>0</v>
      </c>
      <c r="P302" s="141">
        <f t="shared" ref="P302:P328" si="472">ABS(V302)/$L302</f>
        <v>0.99662277887467099</v>
      </c>
      <c r="Q302" s="140">
        <v>4</v>
      </c>
      <c r="R302" s="139">
        <v>8626870597</v>
      </c>
      <c r="S302" s="140">
        <v>0</v>
      </c>
      <c r="T302" s="139">
        <v>0</v>
      </c>
      <c r="U302" s="140">
        <v>85642</v>
      </c>
      <c r="V302" s="139">
        <v>2545801837757</v>
      </c>
    </row>
    <row r="303" spans="1:22" ht="15.95" customHeight="1" x14ac:dyDescent="0.3">
      <c r="A303" s="137">
        <v>143</v>
      </c>
      <c r="B303" s="137" t="s">
        <v>2063</v>
      </c>
      <c r="C303" s="137">
        <v>1000800419</v>
      </c>
      <c r="D303" s="137" t="s">
        <v>2250</v>
      </c>
      <c r="E303" s="137">
        <v>1657096</v>
      </c>
      <c r="F303" s="137" t="s">
        <v>2251</v>
      </c>
      <c r="G303" s="137" t="s">
        <v>2252</v>
      </c>
      <c r="H303" s="137" t="s">
        <v>2056</v>
      </c>
      <c r="I303" s="137" t="s">
        <v>2258</v>
      </c>
      <c r="J303" s="137" t="s">
        <v>2243</v>
      </c>
      <c r="K303" s="137" t="s">
        <v>2245</v>
      </c>
      <c r="L303" s="139">
        <f t="shared" si="468"/>
        <v>10995734306</v>
      </c>
      <c r="M303" s="140">
        <f t="shared" si="469"/>
        <v>3441</v>
      </c>
      <c r="N303" s="141">
        <f t="shared" si="470"/>
        <v>0</v>
      </c>
      <c r="O303" s="141">
        <f t="shared" si="471"/>
        <v>0.12037448806649985</v>
      </c>
      <c r="P303" s="141">
        <f t="shared" si="472"/>
        <v>0.87962551193350014</v>
      </c>
      <c r="Q303" s="140">
        <v>0</v>
      </c>
      <c r="R303" s="139">
        <v>0</v>
      </c>
      <c r="S303" s="140">
        <v>59</v>
      </c>
      <c r="T303" s="139">
        <v>1323605888</v>
      </c>
      <c r="U303" s="140">
        <v>3382</v>
      </c>
      <c r="V303" s="139">
        <v>9672128418</v>
      </c>
    </row>
    <row r="304" spans="1:22" ht="15.95" customHeight="1" x14ac:dyDescent="0.3">
      <c r="A304" s="137">
        <v>143</v>
      </c>
      <c r="B304" s="137" t="s">
        <v>2063</v>
      </c>
      <c r="C304" s="137">
        <v>1000800419</v>
      </c>
      <c r="D304" s="137" t="s">
        <v>2250</v>
      </c>
      <c r="E304" s="137">
        <v>1657096</v>
      </c>
      <c r="F304" s="137" t="s">
        <v>2251</v>
      </c>
      <c r="G304" s="137" t="s">
        <v>2252</v>
      </c>
      <c r="H304" s="137" t="s">
        <v>2056</v>
      </c>
      <c r="I304" s="137" t="s">
        <v>2258</v>
      </c>
      <c r="J304" s="137" t="s">
        <v>2244</v>
      </c>
      <c r="K304" s="137" t="s">
        <v>2245</v>
      </c>
      <c r="L304" s="139">
        <f t="shared" si="468"/>
        <v>113092714148</v>
      </c>
      <c r="M304" s="140">
        <f t="shared" si="469"/>
        <v>9668</v>
      </c>
      <c r="N304" s="141">
        <f t="shared" si="470"/>
        <v>0</v>
      </c>
      <c r="O304" s="141">
        <f t="shared" si="471"/>
        <v>0.1142738602602416</v>
      </c>
      <c r="P304" s="141">
        <f t="shared" si="472"/>
        <v>0.88572613973975844</v>
      </c>
      <c r="Q304" s="140">
        <v>0</v>
      </c>
      <c r="R304" s="139">
        <v>0</v>
      </c>
      <c r="S304" s="140">
        <v>189</v>
      </c>
      <c r="T304" s="139">
        <v>-12923541013</v>
      </c>
      <c r="U304" s="140">
        <v>9479</v>
      </c>
      <c r="V304" s="139">
        <v>100169173135</v>
      </c>
    </row>
    <row r="305" spans="1:22" ht="15.95" customHeight="1" x14ac:dyDescent="0.3">
      <c r="A305" s="137">
        <v>143</v>
      </c>
      <c r="B305" s="214" t="s">
        <v>3983</v>
      </c>
      <c r="C305" s="137">
        <v>1000800419</v>
      </c>
      <c r="D305" s="137" t="s">
        <v>2250</v>
      </c>
      <c r="E305" s="137">
        <v>1657096</v>
      </c>
      <c r="F305" s="137" t="s">
        <v>2251</v>
      </c>
      <c r="G305" s="214" t="s">
        <v>4057</v>
      </c>
      <c r="H305" s="213" t="s">
        <v>3974</v>
      </c>
      <c r="I305" s="137" t="s">
        <v>2258</v>
      </c>
      <c r="J305" s="137" t="s">
        <v>2242</v>
      </c>
      <c r="K305" s="137" t="s">
        <v>2077</v>
      </c>
      <c r="L305" s="139">
        <f t="shared" ref="L305:L307" si="473">ABS(R305)+ABS(T305)+ABS(V305)</f>
        <v>2759773415638</v>
      </c>
      <c r="M305" s="140">
        <f t="shared" ref="M305:M307" si="474">Q305+S305+U305</f>
        <v>90391</v>
      </c>
      <c r="N305" s="141">
        <f t="shared" ref="N305:N307" si="475">ABS(R305)/$L305</f>
        <v>1.0188747682207663E-2</v>
      </c>
      <c r="O305" s="141">
        <f t="shared" ref="O305:O307" si="476">ABS(T305)/$L305</f>
        <v>0</v>
      </c>
      <c r="P305" s="141">
        <f t="shared" ref="P305:P307" si="477">ABS(V305)/$L305</f>
        <v>0.98981125231779232</v>
      </c>
      <c r="Q305" s="140">
        <v>8</v>
      </c>
      <c r="R305" s="139">
        <v>28118634992</v>
      </c>
      <c r="S305" s="140">
        <v>0</v>
      </c>
      <c r="T305" s="139">
        <v>0</v>
      </c>
      <c r="U305" s="140">
        <v>90383</v>
      </c>
      <c r="V305" s="139">
        <v>2731654780646</v>
      </c>
    </row>
    <row r="306" spans="1:22" ht="15.95" customHeight="1" x14ac:dyDescent="0.3">
      <c r="A306" s="137">
        <v>143</v>
      </c>
      <c r="B306" s="214" t="s">
        <v>3983</v>
      </c>
      <c r="C306" s="137">
        <v>1000800419</v>
      </c>
      <c r="D306" s="137" t="s">
        <v>2250</v>
      </c>
      <c r="E306" s="137">
        <v>1657096</v>
      </c>
      <c r="F306" s="137" t="s">
        <v>2251</v>
      </c>
      <c r="G306" s="214" t="s">
        <v>4057</v>
      </c>
      <c r="H306" s="213" t="s">
        <v>3974</v>
      </c>
      <c r="I306" s="137" t="s">
        <v>2258</v>
      </c>
      <c r="J306" s="137" t="s">
        <v>2243</v>
      </c>
      <c r="K306" s="137" t="s">
        <v>2245</v>
      </c>
      <c r="L306" s="139">
        <f t="shared" si="473"/>
        <v>18739858887</v>
      </c>
      <c r="M306" s="140">
        <f t="shared" si="474"/>
        <v>4004</v>
      </c>
      <c r="N306" s="141">
        <f t="shared" si="475"/>
        <v>0</v>
      </c>
      <c r="O306" s="141">
        <f t="shared" si="476"/>
        <v>9.5739678234429818E-2</v>
      </c>
      <c r="P306" s="141">
        <f t="shared" si="477"/>
        <v>0.90426032176557014</v>
      </c>
      <c r="Q306" s="140">
        <v>0</v>
      </c>
      <c r="R306" s="139">
        <v>0</v>
      </c>
      <c r="S306" s="140">
        <v>91</v>
      </c>
      <c r="T306" s="139">
        <v>1794148060</v>
      </c>
      <c r="U306" s="140">
        <v>3913</v>
      </c>
      <c r="V306" s="139">
        <v>16945710827</v>
      </c>
    </row>
    <row r="307" spans="1:22" ht="15.95" customHeight="1" x14ac:dyDescent="0.3">
      <c r="A307" s="137">
        <v>143</v>
      </c>
      <c r="B307" s="214" t="s">
        <v>3983</v>
      </c>
      <c r="C307" s="137">
        <v>1000800419</v>
      </c>
      <c r="D307" s="137" t="s">
        <v>2250</v>
      </c>
      <c r="E307" s="137">
        <v>1657096</v>
      </c>
      <c r="F307" s="137" t="s">
        <v>2251</v>
      </c>
      <c r="G307" s="214" t="s">
        <v>4057</v>
      </c>
      <c r="H307" s="213" t="s">
        <v>3974</v>
      </c>
      <c r="I307" s="137" t="s">
        <v>2258</v>
      </c>
      <c r="J307" s="137" t="s">
        <v>2244</v>
      </c>
      <c r="K307" s="137" t="s">
        <v>2245</v>
      </c>
      <c r="L307" s="139">
        <f t="shared" si="473"/>
        <v>135625149628</v>
      </c>
      <c r="M307" s="140">
        <f t="shared" si="474"/>
        <v>11336</v>
      </c>
      <c r="N307" s="141">
        <f t="shared" si="475"/>
        <v>1.992144686594469E-2</v>
      </c>
      <c r="O307" s="141">
        <f t="shared" si="476"/>
        <v>9.4826183921458085E-2</v>
      </c>
      <c r="P307" s="141">
        <f t="shared" si="477"/>
        <v>0.8852523692125972</v>
      </c>
      <c r="Q307" s="140">
        <v>2</v>
      </c>
      <c r="R307" s="139">
        <v>2701849212</v>
      </c>
      <c r="S307" s="140">
        <v>350</v>
      </c>
      <c r="T307" s="139">
        <v>12860815383</v>
      </c>
      <c r="U307" s="140">
        <v>10984</v>
      </c>
      <c r="V307" s="139">
        <v>120062485033</v>
      </c>
    </row>
    <row r="308" spans="1:22" ht="15.95" customHeight="1" x14ac:dyDescent="0.3">
      <c r="A308" s="137">
        <v>146</v>
      </c>
      <c r="B308" s="137" t="s">
        <v>2054</v>
      </c>
      <c r="C308" s="137">
        <v>1000314466</v>
      </c>
      <c r="D308" s="137" t="s">
        <v>3408</v>
      </c>
      <c r="E308" s="137">
        <v>1683810</v>
      </c>
      <c r="F308" s="137" t="s">
        <v>3293</v>
      </c>
      <c r="G308" s="167" t="s">
        <v>3409</v>
      </c>
      <c r="H308" s="137" t="s">
        <v>2056</v>
      </c>
      <c r="I308" s="137" t="s">
        <v>2258</v>
      </c>
      <c r="J308" s="137" t="s">
        <v>2242</v>
      </c>
      <c r="K308" s="137" t="s">
        <v>2077</v>
      </c>
      <c r="L308" s="139">
        <f t="shared" si="468"/>
        <v>1716575468116</v>
      </c>
      <c r="M308" s="140">
        <f t="shared" si="469"/>
        <v>37363</v>
      </c>
      <c r="N308" s="141">
        <f t="shared" si="470"/>
        <v>8.3202274536029047E-3</v>
      </c>
      <c r="O308" s="141">
        <f t="shared" si="471"/>
        <v>0</v>
      </c>
      <c r="P308" s="141">
        <f t="shared" si="472"/>
        <v>0.99167977254639705</v>
      </c>
      <c r="Q308" s="140">
        <v>5</v>
      </c>
      <c r="R308" s="139">
        <v>14282298336</v>
      </c>
      <c r="S308" s="140">
        <v>0</v>
      </c>
      <c r="T308" s="139">
        <v>0</v>
      </c>
      <c r="U308" s="140">
        <v>37358</v>
      </c>
      <c r="V308" s="139">
        <v>1702293169780</v>
      </c>
    </row>
    <row r="309" spans="1:22" ht="15.95" customHeight="1" x14ac:dyDescent="0.3">
      <c r="A309" s="137">
        <v>146</v>
      </c>
      <c r="B309" s="137" t="s">
        <v>2054</v>
      </c>
      <c r="C309" s="137">
        <v>1000314466</v>
      </c>
      <c r="D309" s="137" t="s">
        <v>3408</v>
      </c>
      <c r="E309" s="137">
        <v>1683810</v>
      </c>
      <c r="F309" s="137" t="s">
        <v>3293</v>
      </c>
      <c r="G309" s="167" t="s">
        <v>3409</v>
      </c>
      <c r="H309" s="137" t="s">
        <v>2056</v>
      </c>
      <c r="I309" s="137" t="s">
        <v>2258</v>
      </c>
      <c r="J309" s="137" t="s">
        <v>2243</v>
      </c>
      <c r="K309" s="137" t="s">
        <v>2077</v>
      </c>
      <c r="L309" s="139">
        <f t="shared" si="468"/>
        <v>27479055888</v>
      </c>
      <c r="M309" s="140">
        <f t="shared" si="469"/>
        <v>3027</v>
      </c>
      <c r="N309" s="141">
        <f t="shared" si="470"/>
        <v>0</v>
      </c>
      <c r="O309" s="141">
        <f t="shared" si="471"/>
        <v>1.8494638537488315E-2</v>
      </c>
      <c r="P309" s="141">
        <f t="shared" si="472"/>
        <v>0.98150536146251166</v>
      </c>
      <c r="Q309" s="140">
        <v>0</v>
      </c>
      <c r="R309" s="139">
        <v>0</v>
      </c>
      <c r="S309" s="140">
        <v>59</v>
      </c>
      <c r="T309" s="139">
        <v>508215206</v>
      </c>
      <c r="U309" s="140">
        <v>2968</v>
      </c>
      <c r="V309" s="139">
        <v>26970840682</v>
      </c>
    </row>
    <row r="310" spans="1:22" ht="15.95" customHeight="1" x14ac:dyDescent="0.3">
      <c r="A310" s="137">
        <v>146</v>
      </c>
      <c r="B310" s="137" t="s">
        <v>2054</v>
      </c>
      <c r="C310" s="137">
        <v>1000314466</v>
      </c>
      <c r="D310" s="137" t="s">
        <v>3408</v>
      </c>
      <c r="E310" s="137">
        <v>1683810</v>
      </c>
      <c r="F310" s="137" t="s">
        <v>3293</v>
      </c>
      <c r="G310" s="167" t="s">
        <v>3409</v>
      </c>
      <c r="H310" s="137" t="s">
        <v>2056</v>
      </c>
      <c r="I310" s="137" t="s">
        <v>2258</v>
      </c>
      <c r="J310" s="137" t="s">
        <v>2244</v>
      </c>
      <c r="K310" s="137" t="s">
        <v>2077</v>
      </c>
      <c r="L310" s="139">
        <f t="shared" si="468"/>
        <v>56414178418</v>
      </c>
      <c r="M310" s="140">
        <f t="shared" si="469"/>
        <v>469</v>
      </c>
      <c r="N310" s="141">
        <f t="shared" si="470"/>
        <v>5.9534835943447384E-2</v>
      </c>
      <c r="O310" s="141">
        <f t="shared" si="471"/>
        <v>2.295284600984012E-3</v>
      </c>
      <c r="P310" s="141">
        <f t="shared" si="472"/>
        <v>0.93816987945556862</v>
      </c>
      <c r="Q310" s="140">
        <v>5</v>
      </c>
      <c r="R310" s="139">
        <v>-3358608857</v>
      </c>
      <c r="S310" s="140">
        <v>23</v>
      </c>
      <c r="T310" s="139">
        <v>-129486595</v>
      </c>
      <c r="U310" s="140">
        <v>441</v>
      </c>
      <c r="V310" s="139">
        <v>52926082966</v>
      </c>
    </row>
    <row r="311" spans="1:22" ht="15.95" customHeight="1" x14ac:dyDescent="0.3">
      <c r="A311" s="137">
        <v>146</v>
      </c>
      <c r="B311" s="214" t="s">
        <v>3983</v>
      </c>
      <c r="C311" s="137">
        <v>1000314466</v>
      </c>
      <c r="D311" s="137" t="s">
        <v>3408</v>
      </c>
      <c r="E311" s="137">
        <v>1683810</v>
      </c>
      <c r="F311" s="137" t="s">
        <v>3293</v>
      </c>
      <c r="G311" s="214" t="s">
        <v>4058</v>
      </c>
      <c r="H311" s="213" t="s">
        <v>3981</v>
      </c>
      <c r="I311" s="137" t="s">
        <v>2258</v>
      </c>
      <c r="J311" s="137" t="s">
        <v>2242</v>
      </c>
      <c r="K311" s="137" t="s">
        <v>2077</v>
      </c>
      <c r="L311" s="139">
        <f t="shared" ref="L311:L313" si="478">ABS(R311)+ABS(T311)+ABS(V311)</f>
        <v>4196447678590</v>
      </c>
      <c r="M311" s="140">
        <f t="shared" ref="M311:M313" si="479">Q311+S311+U311</f>
        <v>79019</v>
      </c>
      <c r="N311" s="141">
        <f t="shared" ref="N311:N313" si="480">ABS(R311)/$L311</f>
        <v>2.0774239975581365E-3</v>
      </c>
      <c r="O311" s="141">
        <f t="shared" ref="O311:O313" si="481">ABS(T311)/$L311</f>
        <v>0</v>
      </c>
      <c r="P311" s="141">
        <f t="shared" ref="P311:P313" si="482">ABS(V311)/$L311</f>
        <v>0.99792257600244183</v>
      </c>
      <c r="Q311" s="140">
        <v>9</v>
      </c>
      <c r="R311" s="139">
        <v>8717801112</v>
      </c>
      <c r="S311" s="140">
        <v>0</v>
      </c>
      <c r="T311" s="139">
        <v>0</v>
      </c>
      <c r="U311" s="140">
        <v>79010</v>
      </c>
      <c r="V311" s="139">
        <v>4187729877478</v>
      </c>
    </row>
    <row r="312" spans="1:22" ht="15.95" customHeight="1" x14ac:dyDescent="0.3">
      <c r="A312" s="137">
        <v>146</v>
      </c>
      <c r="B312" s="214" t="s">
        <v>3983</v>
      </c>
      <c r="C312" s="137">
        <v>1000314466</v>
      </c>
      <c r="D312" s="137" t="s">
        <v>3408</v>
      </c>
      <c r="E312" s="137">
        <v>1683810</v>
      </c>
      <c r="F312" s="137" t="s">
        <v>3293</v>
      </c>
      <c r="G312" s="214" t="s">
        <v>4058</v>
      </c>
      <c r="H312" s="213" t="s">
        <v>3981</v>
      </c>
      <c r="I312" s="137" t="s">
        <v>2258</v>
      </c>
      <c r="J312" s="137" t="s">
        <v>2243</v>
      </c>
      <c r="K312" s="137" t="s">
        <v>2245</v>
      </c>
      <c r="L312" s="139">
        <f t="shared" si="478"/>
        <v>62485574336</v>
      </c>
      <c r="M312" s="140">
        <f t="shared" si="479"/>
        <v>6063</v>
      </c>
      <c r="N312" s="141">
        <f t="shared" si="480"/>
        <v>0</v>
      </c>
      <c r="O312" s="141">
        <f t="shared" si="481"/>
        <v>4.2412759491483792E-2</v>
      </c>
      <c r="P312" s="141">
        <f t="shared" si="482"/>
        <v>0.95758724050851618</v>
      </c>
      <c r="Q312" s="140">
        <v>0</v>
      </c>
      <c r="R312" s="139">
        <v>0</v>
      </c>
      <c r="S312" s="140">
        <v>119</v>
      </c>
      <c r="T312" s="139">
        <v>2650185636</v>
      </c>
      <c r="U312" s="140">
        <v>5944</v>
      </c>
      <c r="V312" s="139">
        <v>59835388700</v>
      </c>
    </row>
    <row r="313" spans="1:22" ht="15.95" customHeight="1" x14ac:dyDescent="0.3">
      <c r="A313" s="137">
        <v>146</v>
      </c>
      <c r="B313" s="214" t="s">
        <v>3983</v>
      </c>
      <c r="C313" s="137">
        <v>1000314466</v>
      </c>
      <c r="D313" s="137" t="s">
        <v>3408</v>
      </c>
      <c r="E313" s="137">
        <v>1683810</v>
      </c>
      <c r="F313" s="137" t="s">
        <v>3293</v>
      </c>
      <c r="G313" s="214" t="s">
        <v>4058</v>
      </c>
      <c r="H313" s="213" t="s">
        <v>3981</v>
      </c>
      <c r="I313" s="137" t="s">
        <v>2258</v>
      </c>
      <c r="J313" s="137" t="s">
        <v>2244</v>
      </c>
      <c r="K313" s="137" t="s">
        <v>2245</v>
      </c>
      <c r="L313" s="139">
        <f t="shared" si="478"/>
        <v>117047999353</v>
      </c>
      <c r="M313" s="140">
        <f t="shared" si="479"/>
        <v>903</v>
      </c>
      <c r="N313" s="141">
        <f t="shared" si="480"/>
        <v>5.6905915477565849E-2</v>
      </c>
      <c r="O313" s="141">
        <f t="shared" si="481"/>
        <v>5.1853672865399887E-2</v>
      </c>
      <c r="P313" s="141">
        <f t="shared" si="482"/>
        <v>0.89124041165703427</v>
      </c>
      <c r="Q313" s="140">
        <v>9</v>
      </c>
      <c r="R313" s="139">
        <v>6660723558</v>
      </c>
      <c r="S313" s="140">
        <v>50</v>
      </c>
      <c r="T313" s="139">
        <v>6069368668</v>
      </c>
      <c r="U313" s="140">
        <v>844</v>
      </c>
      <c r="V313" s="139">
        <v>104317907127</v>
      </c>
    </row>
    <row r="314" spans="1:22" ht="15.95" customHeight="1" x14ac:dyDescent="0.3">
      <c r="A314" s="137">
        <v>147</v>
      </c>
      <c r="B314" s="214" t="s">
        <v>3983</v>
      </c>
      <c r="C314" s="137">
        <v>1000317541</v>
      </c>
      <c r="D314" s="137" t="s">
        <v>4059</v>
      </c>
      <c r="E314" s="137">
        <v>1684057</v>
      </c>
      <c r="F314" s="137" t="s">
        <v>3615</v>
      </c>
      <c r="G314" s="214" t="s">
        <v>4060</v>
      </c>
      <c r="H314" s="213" t="s">
        <v>3981</v>
      </c>
      <c r="I314" s="137" t="s">
        <v>2258</v>
      </c>
      <c r="J314" s="137" t="s">
        <v>2242</v>
      </c>
      <c r="K314" s="137" t="s">
        <v>2077</v>
      </c>
      <c r="L314" s="139">
        <f t="shared" ref="L314:L315" si="483">ABS(R314)+ABS(T314)+ABS(V314)</f>
        <v>6888668750520</v>
      </c>
      <c r="M314" s="140">
        <f t="shared" ref="M314:M315" si="484">Q314+S314+U314</f>
        <v>1439213</v>
      </c>
      <c r="N314" s="141">
        <f t="shared" ref="N314:N315" si="485">ABS(R314)/$L314</f>
        <v>2.193802966960666E-2</v>
      </c>
      <c r="O314" s="141">
        <f t="shared" ref="O314:O315" si="486">ABS(T314)/$L314</f>
        <v>0</v>
      </c>
      <c r="P314" s="141">
        <f t="shared" ref="P314:P315" si="487">ABS(V314)/$L314</f>
        <v>0.97806197033039333</v>
      </c>
      <c r="Q314" s="140">
        <v>10</v>
      </c>
      <c r="R314" s="139">
        <v>151123819433</v>
      </c>
      <c r="S314" s="140">
        <v>0</v>
      </c>
      <c r="T314" s="139">
        <v>0</v>
      </c>
      <c r="U314" s="140">
        <v>1439203</v>
      </c>
      <c r="V314" s="139">
        <v>6737544931087</v>
      </c>
    </row>
    <row r="315" spans="1:22" ht="15.95" customHeight="1" x14ac:dyDescent="0.3">
      <c r="A315" s="137">
        <v>147</v>
      </c>
      <c r="B315" s="214" t="s">
        <v>3983</v>
      </c>
      <c r="C315" s="137">
        <v>1000317541</v>
      </c>
      <c r="D315" s="137" t="s">
        <v>4059</v>
      </c>
      <c r="E315" s="137">
        <v>1684057</v>
      </c>
      <c r="F315" s="137" t="s">
        <v>3615</v>
      </c>
      <c r="G315" s="214" t="s">
        <v>4060</v>
      </c>
      <c r="H315" s="213" t="s">
        <v>3981</v>
      </c>
      <c r="I315" s="137" t="s">
        <v>2258</v>
      </c>
      <c r="J315" s="137" t="s">
        <v>2244</v>
      </c>
      <c r="K315" s="137" t="s">
        <v>2245</v>
      </c>
      <c r="L315" s="139">
        <f t="shared" si="483"/>
        <v>157847857263</v>
      </c>
      <c r="M315" s="140">
        <f t="shared" si="484"/>
        <v>4704</v>
      </c>
      <c r="N315" s="141">
        <f t="shared" si="485"/>
        <v>0</v>
      </c>
      <c r="O315" s="141">
        <f t="shared" si="486"/>
        <v>2.3364478194057094E-2</v>
      </c>
      <c r="P315" s="141">
        <f t="shared" si="487"/>
        <v>0.97663552180594293</v>
      </c>
      <c r="Q315" s="140">
        <v>0</v>
      </c>
      <c r="R315" s="139">
        <v>0</v>
      </c>
      <c r="S315" s="140">
        <v>259</v>
      </c>
      <c r="T315" s="139">
        <v>3688032819</v>
      </c>
      <c r="U315" s="140">
        <v>4445</v>
      </c>
      <c r="V315" s="139">
        <v>154159824444</v>
      </c>
    </row>
    <row r="316" spans="1:22" ht="15.95" customHeight="1" x14ac:dyDescent="0.3">
      <c r="A316" s="137">
        <v>147</v>
      </c>
      <c r="B316" s="214" t="s">
        <v>3983</v>
      </c>
      <c r="C316" s="137">
        <v>1000317541</v>
      </c>
      <c r="D316" s="137" t="s">
        <v>4059</v>
      </c>
      <c r="E316" s="137">
        <v>1684057</v>
      </c>
      <c r="F316" s="137" t="s">
        <v>3615</v>
      </c>
      <c r="G316" s="214" t="s">
        <v>4060</v>
      </c>
      <c r="H316" s="213" t="s">
        <v>3981</v>
      </c>
      <c r="I316" s="137" t="s">
        <v>2258</v>
      </c>
      <c r="J316" s="137" t="s">
        <v>2244</v>
      </c>
      <c r="K316" s="137" t="s">
        <v>2245</v>
      </c>
      <c r="L316" s="139">
        <f t="shared" ref="L316" si="488">ABS(R316)+ABS(T316)+ABS(V316)</f>
        <v>27337950936</v>
      </c>
      <c r="M316" s="140">
        <f t="shared" ref="M316" si="489">Q316+S316+U316</f>
        <v>1672</v>
      </c>
      <c r="N316" s="141">
        <f t="shared" ref="N316" si="490">ABS(R316)/$L316</f>
        <v>0</v>
      </c>
      <c r="O316" s="141">
        <f t="shared" ref="O316" si="491">ABS(T316)/$L316</f>
        <v>4.7095091106648258E-2</v>
      </c>
      <c r="P316" s="141">
        <f t="shared" ref="P316" si="492">ABS(V316)/$L316</f>
        <v>0.95290490889335178</v>
      </c>
      <c r="Q316" s="140">
        <v>0</v>
      </c>
      <c r="R316" s="139">
        <v>0</v>
      </c>
      <c r="S316" s="140">
        <v>36</v>
      </c>
      <c r="T316" s="139">
        <v>1287483290</v>
      </c>
      <c r="U316" s="140">
        <v>1636</v>
      </c>
      <c r="V316" s="139">
        <v>26050467646</v>
      </c>
    </row>
    <row r="317" spans="1:22" ht="15.95" customHeight="1" x14ac:dyDescent="0.3">
      <c r="A317" s="137">
        <v>149</v>
      </c>
      <c r="B317" s="137" t="s">
        <v>2054</v>
      </c>
      <c r="C317" s="137">
        <v>1000317230</v>
      </c>
      <c r="D317" s="137" t="s">
        <v>3410</v>
      </c>
      <c r="E317" s="137">
        <v>1684270</v>
      </c>
      <c r="F317" s="137" t="s">
        <v>3228</v>
      </c>
      <c r="G317" s="167" t="s">
        <v>3411</v>
      </c>
      <c r="H317" s="137" t="s">
        <v>2056</v>
      </c>
      <c r="I317" s="137" t="s">
        <v>2258</v>
      </c>
      <c r="J317" s="137" t="s">
        <v>2242</v>
      </c>
      <c r="K317" s="137" t="s">
        <v>2077</v>
      </c>
      <c r="L317" s="139">
        <f t="shared" si="468"/>
        <v>73651696462426</v>
      </c>
      <c r="M317" s="140">
        <f t="shared" si="469"/>
        <v>1707517</v>
      </c>
      <c r="N317" s="141">
        <f t="shared" si="470"/>
        <v>2.6492573777664875E-2</v>
      </c>
      <c r="O317" s="141">
        <f t="shared" si="471"/>
        <v>0</v>
      </c>
      <c r="P317" s="141">
        <f t="shared" si="472"/>
        <v>0.9735074262223351</v>
      </c>
      <c r="Q317" s="140">
        <v>17</v>
      </c>
      <c r="R317" s="139">
        <v>1951223002381</v>
      </c>
      <c r="S317" s="140">
        <v>0</v>
      </c>
      <c r="T317" s="139">
        <v>0</v>
      </c>
      <c r="U317" s="140">
        <v>1707500</v>
      </c>
      <c r="V317" s="139">
        <v>71700473460045</v>
      </c>
    </row>
    <row r="318" spans="1:22" ht="15.95" customHeight="1" x14ac:dyDescent="0.3">
      <c r="A318" s="137">
        <v>149</v>
      </c>
      <c r="B318" s="137" t="s">
        <v>2054</v>
      </c>
      <c r="C318" s="137">
        <v>1000317230</v>
      </c>
      <c r="D318" s="137" t="s">
        <v>3410</v>
      </c>
      <c r="E318" s="137">
        <v>1684270</v>
      </c>
      <c r="F318" s="137" t="s">
        <v>3228</v>
      </c>
      <c r="G318" s="167" t="s">
        <v>3411</v>
      </c>
      <c r="H318" s="137" t="s">
        <v>2056</v>
      </c>
      <c r="I318" s="137" t="s">
        <v>2258</v>
      </c>
      <c r="J318" s="137" t="s">
        <v>2243</v>
      </c>
      <c r="K318" s="137" t="s">
        <v>2077</v>
      </c>
      <c r="L318" s="139">
        <f t="shared" si="468"/>
        <v>304960999638</v>
      </c>
      <c r="M318" s="140">
        <f t="shared" si="469"/>
        <v>9689</v>
      </c>
      <c r="N318" s="141">
        <f t="shared" si="470"/>
        <v>2.5642263795313171E-3</v>
      </c>
      <c r="O318" s="141">
        <f t="shared" si="471"/>
        <v>0.24485944476388496</v>
      </c>
      <c r="P318" s="141">
        <f t="shared" si="472"/>
        <v>0.75257632885658376</v>
      </c>
      <c r="Q318" s="140">
        <v>48</v>
      </c>
      <c r="R318" s="139">
        <v>781989040</v>
      </c>
      <c r="S318" s="140">
        <v>693</v>
      </c>
      <c r="T318" s="139">
        <v>74672581046</v>
      </c>
      <c r="U318" s="140">
        <v>8948</v>
      </c>
      <c r="V318" s="139">
        <v>229506429552</v>
      </c>
    </row>
    <row r="319" spans="1:22" ht="15.95" customHeight="1" x14ac:dyDescent="0.3">
      <c r="A319" s="137">
        <v>149</v>
      </c>
      <c r="B319" s="214" t="s">
        <v>3983</v>
      </c>
      <c r="C319" s="137">
        <v>1000317230</v>
      </c>
      <c r="D319" s="137" t="s">
        <v>3410</v>
      </c>
      <c r="E319" s="137">
        <v>1684270</v>
      </c>
      <c r="F319" s="137" t="s">
        <v>3228</v>
      </c>
      <c r="G319" s="214" t="s">
        <v>4061</v>
      </c>
      <c r="H319" s="213" t="s">
        <v>3981</v>
      </c>
      <c r="I319" s="137" t="s">
        <v>2258</v>
      </c>
      <c r="J319" s="137" t="s">
        <v>2242</v>
      </c>
      <c r="K319" s="137" t="s">
        <v>2077</v>
      </c>
      <c r="L319" s="139">
        <f t="shared" ref="L319:L320" si="493">ABS(R319)+ABS(T319)+ABS(V319)</f>
        <v>191865651016886</v>
      </c>
      <c r="M319" s="140">
        <f t="shared" ref="M319:M320" si="494">Q319+S319+U319</f>
        <v>3516054</v>
      </c>
      <c r="N319" s="141">
        <f t="shared" ref="N319:N320" si="495">ABS(R319)/$L319</f>
        <v>1.4370037089454576E-2</v>
      </c>
      <c r="O319" s="141">
        <f t="shared" ref="O319:O320" si="496">ABS(T319)/$L319</f>
        <v>0</v>
      </c>
      <c r="P319" s="141">
        <f t="shared" ref="P319:P320" si="497">ABS(V319)/$L319</f>
        <v>0.98562996291054539</v>
      </c>
      <c r="Q319" s="140">
        <v>38</v>
      </c>
      <c r="R319" s="139">
        <v>2757116521305</v>
      </c>
      <c r="S319" s="140">
        <v>0</v>
      </c>
      <c r="T319" s="139">
        <v>0</v>
      </c>
      <c r="U319" s="140">
        <v>3516016</v>
      </c>
      <c r="V319" s="139">
        <v>189108534495581</v>
      </c>
    </row>
    <row r="320" spans="1:22" ht="15.95" customHeight="1" x14ac:dyDescent="0.3">
      <c r="A320" s="137">
        <v>149</v>
      </c>
      <c r="B320" s="214" t="s">
        <v>3983</v>
      </c>
      <c r="C320" s="137">
        <v>1000317230</v>
      </c>
      <c r="D320" s="137" t="s">
        <v>3410</v>
      </c>
      <c r="E320" s="137">
        <v>1684270</v>
      </c>
      <c r="F320" s="137" t="s">
        <v>3228</v>
      </c>
      <c r="G320" s="214" t="s">
        <v>4061</v>
      </c>
      <c r="H320" s="213" t="s">
        <v>3981</v>
      </c>
      <c r="I320" s="137" t="s">
        <v>2258</v>
      </c>
      <c r="J320" s="137" t="s">
        <v>2243</v>
      </c>
      <c r="K320" s="137" t="s">
        <v>2245</v>
      </c>
      <c r="L320" s="139">
        <f t="shared" si="493"/>
        <v>798557556673</v>
      </c>
      <c r="M320" s="140">
        <f t="shared" si="494"/>
        <v>20497</v>
      </c>
      <c r="N320" s="141">
        <f t="shared" si="495"/>
        <v>5.055285512817554E-2</v>
      </c>
      <c r="O320" s="141">
        <f t="shared" si="496"/>
        <v>0.26531319348814003</v>
      </c>
      <c r="P320" s="141">
        <f t="shared" si="497"/>
        <v>0.68413395138368438</v>
      </c>
      <c r="Q320" s="140">
        <v>109</v>
      </c>
      <c r="R320" s="139">
        <v>40369364474</v>
      </c>
      <c r="S320" s="140">
        <v>1474</v>
      </c>
      <c r="T320" s="139">
        <v>211867855545</v>
      </c>
      <c r="U320" s="140">
        <v>18914</v>
      </c>
      <c r="V320" s="139">
        <v>546320336654</v>
      </c>
    </row>
    <row r="321" spans="1:22" ht="15.95" customHeight="1" x14ac:dyDescent="0.3">
      <c r="A321" s="137">
        <v>150</v>
      </c>
      <c r="B321" s="214" t="s">
        <v>3333</v>
      </c>
      <c r="C321" s="137">
        <v>1000891310</v>
      </c>
      <c r="D321" s="137" t="s">
        <v>1107</v>
      </c>
      <c r="E321" s="137">
        <v>1684314</v>
      </c>
      <c r="F321" s="137" t="s">
        <v>1108</v>
      </c>
      <c r="G321" s="214" t="s">
        <v>4062</v>
      </c>
      <c r="H321" s="137" t="s">
        <v>3334</v>
      </c>
      <c r="I321" s="137" t="s">
        <v>2258</v>
      </c>
      <c r="J321" s="137" t="s">
        <v>2242</v>
      </c>
      <c r="K321" s="137" t="s">
        <v>2077</v>
      </c>
      <c r="L321" s="139">
        <f t="shared" ref="L321:L322" si="498">ABS(R321)+ABS(T321)+ABS(V321)</f>
        <v>119707377947918</v>
      </c>
      <c r="M321" s="140">
        <f t="shared" ref="M321:M322" si="499">Q321+S321+U321</f>
        <v>5758357</v>
      </c>
      <c r="N321" s="141">
        <f t="shared" ref="N321:N322" si="500">ABS(R321)/$L321</f>
        <v>7.0214759686632894E-3</v>
      </c>
      <c r="O321" s="141">
        <f t="shared" ref="O321:O322" si="501">ABS(T321)/$L321</f>
        <v>0</v>
      </c>
      <c r="P321" s="141">
        <f t="shared" ref="P321:P322" si="502">ABS(V321)/$L321</f>
        <v>0.99297852403133668</v>
      </c>
      <c r="Q321" s="140">
        <v>56</v>
      </c>
      <c r="R321" s="139">
        <v>840522477533</v>
      </c>
      <c r="S321" s="140">
        <v>0</v>
      </c>
      <c r="T321" s="139">
        <v>0</v>
      </c>
      <c r="U321" s="140">
        <v>5758301</v>
      </c>
      <c r="V321" s="139">
        <v>118866855470385</v>
      </c>
    </row>
    <row r="322" spans="1:22" ht="15.95" customHeight="1" x14ac:dyDescent="0.3">
      <c r="A322" s="137">
        <v>150</v>
      </c>
      <c r="B322" s="214" t="s">
        <v>3333</v>
      </c>
      <c r="C322" s="137">
        <v>1000891310</v>
      </c>
      <c r="D322" s="137" t="s">
        <v>1107</v>
      </c>
      <c r="E322" s="137">
        <v>1684314</v>
      </c>
      <c r="F322" s="137" t="s">
        <v>1108</v>
      </c>
      <c r="G322" s="214" t="s">
        <v>4062</v>
      </c>
      <c r="H322" s="137" t="s">
        <v>3334</v>
      </c>
      <c r="I322" s="137" t="s">
        <v>2258</v>
      </c>
      <c r="J322" s="137" t="s">
        <v>2244</v>
      </c>
      <c r="K322" s="137" t="s">
        <v>2245</v>
      </c>
      <c r="L322" s="139">
        <f t="shared" si="498"/>
        <v>459346841564</v>
      </c>
      <c r="M322" s="140">
        <f t="shared" si="499"/>
        <v>19806</v>
      </c>
      <c r="N322" s="141">
        <f t="shared" si="500"/>
        <v>6.0028921803652262E-2</v>
      </c>
      <c r="O322" s="141">
        <f t="shared" si="501"/>
        <v>0.41307275467260035</v>
      </c>
      <c r="P322" s="141">
        <f t="shared" si="502"/>
        <v>0.52689832352374733</v>
      </c>
      <c r="Q322" s="140">
        <v>191</v>
      </c>
      <c r="R322" s="139">
        <v>27574095633</v>
      </c>
      <c r="S322" s="140">
        <v>593</v>
      </c>
      <c r="T322" s="139">
        <v>189743665195</v>
      </c>
      <c r="U322" s="140">
        <v>19022</v>
      </c>
      <c r="V322" s="139">
        <v>242029080736</v>
      </c>
    </row>
    <row r="323" spans="1:22" ht="15.95" customHeight="1" x14ac:dyDescent="0.3">
      <c r="A323" s="137">
        <v>151</v>
      </c>
      <c r="B323" s="214" t="s">
        <v>3967</v>
      </c>
      <c r="C323" s="137">
        <v>1000316074</v>
      </c>
      <c r="D323" s="137" t="s">
        <v>2468</v>
      </c>
      <c r="E323" s="137">
        <v>1684738</v>
      </c>
      <c r="F323" s="137" t="s">
        <v>3617</v>
      </c>
      <c r="G323" s="214" t="s">
        <v>4063</v>
      </c>
      <c r="H323" s="213" t="s">
        <v>3981</v>
      </c>
      <c r="I323" s="137" t="s">
        <v>2258</v>
      </c>
      <c r="J323" s="137" t="s">
        <v>2242</v>
      </c>
      <c r="K323" s="137" t="s">
        <v>2077</v>
      </c>
      <c r="L323" s="139">
        <f t="shared" ref="L323:L324" si="503">ABS(R323)+ABS(T323)+ABS(V323)</f>
        <v>43126818254782</v>
      </c>
      <c r="M323" s="140">
        <f t="shared" ref="M323:M324" si="504">Q323+S323+U323</f>
        <v>150620</v>
      </c>
      <c r="N323" s="141">
        <f t="shared" ref="N323:N324" si="505">ABS(R323)/$L323</f>
        <v>2.3646049989716656E-3</v>
      </c>
      <c r="O323" s="141">
        <f t="shared" ref="O323:O324" si="506">ABS(T323)/$L323</f>
        <v>0</v>
      </c>
      <c r="P323" s="141">
        <f t="shared" ref="P323:P324" si="507">ABS(V323)/$L323</f>
        <v>0.99763539500102838</v>
      </c>
      <c r="Q323" s="140">
        <v>10</v>
      </c>
      <c r="R323" s="139">
        <v>101977890035</v>
      </c>
      <c r="S323" s="140">
        <v>0</v>
      </c>
      <c r="T323" s="139">
        <v>0</v>
      </c>
      <c r="U323" s="140">
        <v>150610</v>
      </c>
      <c r="V323" s="139">
        <v>43024840364747</v>
      </c>
    </row>
    <row r="324" spans="1:22" ht="15.95" customHeight="1" x14ac:dyDescent="0.3">
      <c r="A324" s="137">
        <v>151</v>
      </c>
      <c r="B324" s="214" t="s">
        <v>3967</v>
      </c>
      <c r="C324" s="137">
        <v>1000316074</v>
      </c>
      <c r="D324" s="137" t="s">
        <v>2468</v>
      </c>
      <c r="E324" s="137">
        <v>1684738</v>
      </c>
      <c r="F324" s="137" t="s">
        <v>3617</v>
      </c>
      <c r="G324" s="214" t="s">
        <v>4063</v>
      </c>
      <c r="H324" s="213" t="s">
        <v>3981</v>
      </c>
      <c r="I324" s="137" t="s">
        <v>2258</v>
      </c>
      <c r="J324" s="137" t="s">
        <v>2244</v>
      </c>
      <c r="K324" s="137" t="s">
        <v>2245</v>
      </c>
      <c r="L324" s="139">
        <f t="shared" si="503"/>
        <v>143056083784</v>
      </c>
      <c r="M324" s="140">
        <f t="shared" si="504"/>
        <v>25338</v>
      </c>
      <c r="N324" s="141">
        <f t="shared" si="505"/>
        <v>0.1279759921545372</v>
      </c>
      <c r="O324" s="141">
        <f t="shared" si="506"/>
        <v>0.228035432930316</v>
      </c>
      <c r="P324" s="141">
        <f t="shared" si="507"/>
        <v>0.64398857491514683</v>
      </c>
      <c r="Q324" s="140">
        <v>6</v>
      </c>
      <c r="R324" s="139">
        <v>18307744256</v>
      </c>
      <c r="S324" s="140">
        <v>216</v>
      </c>
      <c r="T324" s="139">
        <v>32621855999</v>
      </c>
      <c r="U324" s="140">
        <v>25116</v>
      </c>
      <c r="V324" s="139">
        <v>92126483529</v>
      </c>
    </row>
    <row r="325" spans="1:22" ht="15.95" customHeight="1" x14ac:dyDescent="0.3">
      <c r="A325" s="137">
        <v>152</v>
      </c>
      <c r="B325" s="137" t="s">
        <v>2054</v>
      </c>
      <c r="C325" s="137">
        <v>1000869413</v>
      </c>
      <c r="D325" s="137" t="s">
        <v>3412</v>
      </c>
      <c r="E325" s="137">
        <v>1684287</v>
      </c>
      <c r="F325" s="137" t="s">
        <v>3294</v>
      </c>
      <c r="G325" s="167" t="s">
        <v>3413</v>
      </c>
      <c r="H325" s="137" t="s">
        <v>2056</v>
      </c>
      <c r="I325" s="137" t="s">
        <v>2258</v>
      </c>
      <c r="J325" s="167" t="s">
        <v>2111</v>
      </c>
      <c r="K325" s="137" t="s">
        <v>2245</v>
      </c>
      <c r="L325" s="139">
        <f t="shared" si="468"/>
        <v>20770239247</v>
      </c>
      <c r="M325" s="140">
        <f t="shared" si="469"/>
        <v>6233</v>
      </c>
      <c r="N325" s="141">
        <f t="shared" si="470"/>
        <v>0.18369161922634447</v>
      </c>
      <c r="O325" s="141">
        <f t="shared" si="471"/>
        <v>0.22778381484861093</v>
      </c>
      <c r="P325" s="141">
        <f t="shared" si="472"/>
        <v>0.58852456592504454</v>
      </c>
      <c r="Q325" s="140">
        <v>8</v>
      </c>
      <c r="R325" s="139">
        <v>3815318879</v>
      </c>
      <c r="S325" s="140">
        <v>697</v>
      </c>
      <c r="T325" s="139">
        <v>4731124331</v>
      </c>
      <c r="U325" s="140">
        <v>5528</v>
      </c>
      <c r="V325" s="139">
        <v>12223796037</v>
      </c>
    </row>
    <row r="326" spans="1:22" ht="15.95" customHeight="1" x14ac:dyDescent="0.3">
      <c r="A326" s="137">
        <v>152</v>
      </c>
      <c r="B326" s="137" t="s">
        <v>2054</v>
      </c>
      <c r="C326" s="137">
        <v>1000869413</v>
      </c>
      <c r="D326" s="137" t="s">
        <v>3412</v>
      </c>
      <c r="E326" s="137">
        <v>1684287</v>
      </c>
      <c r="F326" s="137" t="s">
        <v>3294</v>
      </c>
      <c r="G326" s="167" t="s">
        <v>3413</v>
      </c>
      <c r="H326" s="137" t="s">
        <v>2056</v>
      </c>
      <c r="I326" s="137" t="s">
        <v>2258</v>
      </c>
      <c r="J326" s="137" t="s">
        <v>2242</v>
      </c>
      <c r="K326" s="137" t="s">
        <v>2077</v>
      </c>
      <c r="L326" s="139">
        <f t="shared" si="468"/>
        <v>18132115323310</v>
      </c>
      <c r="M326" s="140">
        <f t="shared" si="469"/>
        <v>386703</v>
      </c>
      <c r="N326" s="141">
        <f t="shared" si="470"/>
        <v>3.2726744823155826E-3</v>
      </c>
      <c r="O326" s="141">
        <f t="shared" si="471"/>
        <v>0</v>
      </c>
      <c r="P326" s="141">
        <f t="shared" si="472"/>
        <v>0.99672732551768439</v>
      </c>
      <c r="Q326" s="140">
        <v>18</v>
      </c>
      <c r="R326" s="139">
        <v>59340511129</v>
      </c>
      <c r="S326" s="140">
        <v>0</v>
      </c>
      <c r="T326" s="139">
        <v>0</v>
      </c>
      <c r="U326" s="140">
        <v>386685</v>
      </c>
      <c r="V326" s="139">
        <v>18072774812181</v>
      </c>
    </row>
    <row r="327" spans="1:22" ht="15.95" customHeight="1" x14ac:dyDescent="0.3">
      <c r="A327" s="137">
        <v>152</v>
      </c>
      <c r="B327" s="137" t="s">
        <v>2054</v>
      </c>
      <c r="C327" s="137">
        <v>1000869413</v>
      </c>
      <c r="D327" s="137" t="s">
        <v>3412</v>
      </c>
      <c r="E327" s="137">
        <v>1684287</v>
      </c>
      <c r="F327" s="137" t="s">
        <v>3294</v>
      </c>
      <c r="G327" s="167" t="s">
        <v>3413</v>
      </c>
      <c r="H327" s="137" t="s">
        <v>2056</v>
      </c>
      <c r="I327" s="137" t="s">
        <v>2258</v>
      </c>
      <c r="J327" s="137" t="s">
        <v>2243</v>
      </c>
      <c r="K327" s="137" t="s">
        <v>2245</v>
      </c>
      <c r="L327" s="139">
        <f t="shared" si="468"/>
        <v>4923530000</v>
      </c>
      <c r="M327" s="140">
        <f t="shared" si="469"/>
        <v>19926</v>
      </c>
      <c r="N327" s="141">
        <f t="shared" si="470"/>
        <v>0</v>
      </c>
      <c r="O327" s="141">
        <f t="shared" si="471"/>
        <v>7.6072309907728808E-3</v>
      </c>
      <c r="P327" s="141">
        <f t="shared" si="472"/>
        <v>0.99239276900922713</v>
      </c>
      <c r="Q327" s="140">
        <v>0</v>
      </c>
      <c r="R327" s="139">
        <v>0</v>
      </c>
      <c r="S327" s="140">
        <v>961</v>
      </c>
      <c r="T327" s="139">
        <v>-37454430</v>
      </c>
      <c r="U327" s="140">
        <v>18965</v>
      </c>
      <c r="V327" s="139">
        <v>4886075570</v>
      </c>
    </row>
    <row r="328" spans="1:22" ht="15.95" customHeight="1" x14ac:dyDescent="0.3">
      <c r="A328" s="137">
        <v>152</v>
      </c>
      <c r="B328" s="137" t="s">
        <v>2054</v>
      </c>
      <c r="C328" s="137">
        <v>1000869413</v>
      </c>
      <c r="D328" s="137" t="s">
        <v>3412</v>
      </c>
      <c r="E328" s="137">
        <v>1684287</v>
      </c>
      <c r="F328" s="137" t="s">
        <v>3294</v>
      </c>
      <c r="G328" s="167" t="s">
        <v>3413</v>
      </c>
      <c r="H328" s="137" t="s">
        <v>2056</v>
      </c>
      <c r="I328" s="137" t="s">
        <v>2258</v>
      </c>
      <c r="J328" s="137" t="s">
        <v>2244</v>
      </c>
      <c r="K328" s="137" t="s">
        <v>2245</v>
      </c>
      <c r="L328" s="139">
        <f t="shared" si="468"/>
        <v>3682333160</v>
      </c>
      <c r="M328" s="140">
        <f t="shared" si="469"/>
        <v>2946</v>
      </c>
      <c r="N328" s="141">
        <f t="shared" si="470"/>
        <v>0</v>
      </c>
      <c r="O328" s="141">
        <f t="shared" si="471"/>
        <v>6.243693930182026E-2</v>
      </c>
      <c r="P328" s="141">
        <f t="shared" si="472"/>
        <v>0.93756306069817974</v>
      </c>
      <c r="Q328" s="140">
        <v>0</v>
      </c>
      <c r="R328" s="139">
        <v>0</v>
      </c>
      <c r="S328" s="140">
        <v>27</v>
      </c>
      <c r="T328" s="139">
        <v>-229913612</v>
      </c>
      <c r="U328" s="140">
        <v>2919</v>
      </c>
      <c r="V328" s="139">
        <v>3452419548</v>
      </c>
    </row>
    <row r="329" spans="1:22" ht="15.95" customHeight="1" x14ac:dyDescent="0.3">
      <c r="A329" s="137">
        <v>153</v>
      </c>
      <c r="B329" s="137" t="s">
        <v>2054</v>
      </c>
      <c r="C329" s="137">
        <v>1001324680</v>
      </c>
      <c r="D329" s="137" t="s">
        <v>3414</v>
      </c>
      <c r="E329" s="137">
        <v>1688022</v>
      </c>
      <c r="F329" s="137" t="s">
        <v>3295</v>
      </c>
      <c r="G329" s="167" t="s">
        <v>3415</v>
      </c>
      <c r="H329" s="137" t="s">
        <v>2056</v>
      </c>
      <c r="I329" s="137" t="s">
        <v>2258</v>
      </c>
      <c r="J329" s="137" t="s">
        <v>2242</v>
      </c>
      <c r="K329" s="137" t="s">
        <v>2077</v>
      </c>
      <c r="L329" s="139">
        <f t="shared" ref="L329:L331" si="508">ABS(R329)+ABS(T329)+ABS(V329)</f>
        <v>6741616999308</v>
      </c>
      <c r="M329" s="140">
        <f t="shared" ref="M329:M331" si="509">Q329+S329+U329</f>
        <v>179835</v>
      </c>
      <c r="N329" s="141">
        <f t="shared" ref="N329:N331" si="510">ABS(R329)/$L329</f>
        <v>4.4262972684539926E-3</v>
      </c>
      <c r="O329" s="141">
        <f t="shared" ref="O329:O331" si="511">ABS(T329)/$L329</f>
        <v>0</v>
      </c>
      <c r="P329" s="141">
        <f t="shared" ref="P329:P331" si="512">ABS(V329)/$L329</f>
        <v>0.995573702731546</v>
      </c>
      <c r="Q329" s="140">
        <v>11</v>
      </c>
      <c r="R329" s="139">
        <v>29840400909</v>
      </c>
      <c r="S329" s="140">
        <v>0</v>
      </c>
      <c r="T329" s="139">
        <v>0</v>
      </c>
      <c r="U329" s="140">
        <v>179824</v>
      </c>
      <c r="V329" s="139">
        <v>6711776598399</v>
      </c>
    </row>
    <row r="330" spans="1:22" ht="15.95" customHeight="1" x14ac:dyDescent="0.3">
      <c r="A330" s="137">
        <v>153</v>
      </c>
      <c r="B330" s="137" t="s">
        <v>2054</v>
      </c>
      <c r="C330" s="137">
        <v>1001324680</v>
      </c>
      <c r="D330" s="137" t="s">
        <v>3414</v>
      </c>
      <c r="E330" s="137">
        <v>1688022</v>
      </c>
      <c r="F330" s="137" t="s">
        <v>3295</v>
      </c>
      <c r="G330" s="167" t="s">
        <v>3415</v>
      </c>
      <c r="H330" s="137" t="s">
        <v>2056</v>
      </c>
      <c r="I330" s="137" t="s">
        <v>2258</v>
      </c>
      <c r="J330" s="137" t="s">
        <v>2243</v>
      </c>
      <c r="K330" s="137" t="s">
        <v>2077</v>
      </c>
      <c r="L330" s="139">
        <f t="shared" si="508"/>
        <v>15195983290</v>
      </c>
      <c r="M330" s="140">
        <f t="shared" si="509"/>
        <v>7374</v>
      </c>
      <c r="N330" s="141">
        <f t="shared" si="510"/>
        <v>0</v>
      </c>
      <c r="O330" s="141">
        <f t="shared" si="511"/>
        <v>0.21146701820307148</v>
      </c>
      <c r="P330" s="141">
        <f t="shared" si="512"/>
        <v>0.78853298179692854</v>
      </c>
      <c r="Q330" s="140">
        <v>0</v>
      </c>
      <c r="R330" s="139">
        <v>0</v>
      </c>
      <c r="S330" s="140">
        <v>190</v>
      </c>
      <c r="T330" s="139">
        <v>3213449275</v>
      </c>
      <c r="U330" s="140">
        <v>7184</v>
      </c>
      <c r="V330" s="169">
        <v>11982534015</v>
      </c>
    </row>
    <row r="331" spans="1:22" ht="15.95" customHeight="1" x14ac:dyDescent="0.3">
      <c r="A331" s="137">
        <v>153</v>
      </c>
      <c r="B331" s="137" t="s">
        <v>2054</v>
      </c>
      <c r="C331" s="137">
        <v>1001324680</v>
      </c>
      <c r="D331" s="137" t="s">
        <v>3414</v>
      </c>
      <c r="E331" s="137">
        <v>1688022</v>
      </c>
      <c r="F331" s="137" t="s">
        <v>3295</v>
      </c>
      <c r="G331" s="167" t="s">
        <v>3415</v>
      </c>
      <c r="H331" s="137" t="s">
        <v>2056</v>
      </c>
      <c r="I331" s="137" t="s">
        <v>2258</v>
      </c>
      <c r="J331" s="137" t="s">
        <v>2244</v>
      </c>
      <c r="K331" s="137" t="s">
        <v>2077</v>
      </c>
      <c r="L331" s="139">
        <f t="shared" si="508"/>
        <v>104499033360</v>
      </c>
      <c r="M331" s="140">
        <f t="shared" si="509"/>
        <v>4511</v>
      </c>
      <c r="N331" s="141">
        <f t="shared" si="510"/>
        <v>0</v>
      </c>
      <c r="O331" s="141">
        <f t="shared" si="511"/>
        <v>3.9816033337516418E-2</v>
      </c>
      <c r="P331" s="141">
        <f t="shared" si="512"/>
        <v>0.96018396666248362</v>
      </c>
      <c r="Q331" s="140">
        <v>0</v>
      </c>
      <c r="R331" s="139">
        <v>0</v>
      </c>
      <c r="S331" s="140">
        <v>21</v>
      </c>
      <c r="T331" s="139">
        <v>4160736996</v>
      </c>
      <c r="U331" s="140">
        <v>4490</v>
      </c>
      <c r="V331" s="139">
        <v>100338296364</v>
      </c>
    </row>
    <row r="332" spans="1:22" ht="15.95" customHeight="1" x14ac:dyDescent="0.3">
      <c r="A332" s="137">
        <v>153</v>
      </c>
      <c r="B332" s="214" t="s">
        <v>3983</v>
      </c>
      <c r="C332" s="137">
        <v>1001324680</v>
      </c>
      <c r="D332" s="137" t="s">
        <v>3414</v>
      </c>
      <c r="E332" s="137">
        <v>1688022</v>
      </c>
      <c r="F332" s="137" t="s">
        <v>3295</v>
      </c>
      <c r="G332" s="214" t="s">
        <v>4064</v>
      </c>
      <c r="H332" s="213" t="s">
        <v>3981</v>
      </c>
      <c r="I332" s="137" t="s">
        <v>2258</v>
      </c>
      <c r="J332" s="137" t="s">
        <v>2242</v>
      </c>
      <c r="K332" s="137" t="s">
        <v>2077</v>
      </c>
      <c r="L332" s="139">
        <f t="shared" ref="L332:L334" si="513">ABS(R332)+ABS(T332)+ABS(V332)</f>
        <v>27809154287200</v>
      </c>
      <c r="M332" s="140">
        <f t="shared" ref="M332:M334" si="514">Q332+S332+U332</f>
        <v>429367</v>
      </c>
      <c r="N332" s="141">
        <f t="shared" ref="N332:N334" si="515">ABS(R332)/$L332</f>
        <v>0.30035719119457627</v>
      </c>
      <c r="O332" s="141">
        <f t="shared" ref="O332:O334" si="516">ABS(T332)/$L332</f>
        <v>0</v>
      </c>
      <c r="P332" s="141">
        <f t="shared" ref="P332:P334" si="517">ABS(V332)/$L332</f>
        <v>0.69964280880542373</v>
      </c>
      <c r="Q332" s="140">
        <v>17</v>
      </c>
      <c r="R332" s="139">
        <v>8352679471200</v>
      </c>
      <c r="S332" s="140">
        <v>0</v>
      </c>
      <c r="T332" s="139">
        <v>0</v>
      </c>
      <c r="U332" s="140">
        <v>429350</v>
      </c>
      <c r="V332" s="139">
        <v>19456474816000</v>
      </c>
    </row>
    <row r="333" spans="1:22" ht="15.95" customHeight="1" x14ac:dyDescent="0.3">
      <c r="A333" s="137">
        <v>153</v>
      </c>
      <c r="B333" s="214" t="s">
        <v>3983</v>
      </c>
      <c r="C333" s="137">
        <v>1001324680</v>
      </c>
      <c r="D333" s="137" t="s">
        <v>3414</v>
      </c>
      <c r="E333" s="137">
        <v>1688022</v>
      </c>
      <c r="F333" s="137" t="s">
        <v>3295</v>
      </c>
      <c r="G333" s="214" t="s">
        <v>4064</v>
      </c>
      <c r="H333" s="213" t="s">
        <v>3981</v>
      </c>
      <c r="I333" s="137" t="s">
        <v>2258</v>
      </c>
      <c r="J333" s="137" t="s">
        <v>2243</v>
      </c>
      <c r="K333" s="137" t="s">
        <v>2245</v>
      </c>
      <c r="L333" s="139">
        <f t="shared" si="513"/>
        <v>35806873115</v>
      </c>
      <c r="M333" s="140">
        <f t="shared" si="514"/>
        <v>19416</v>
      </c>
      <c r="N333" s="141">
        <f t="shared" si="515"/>
        <v>5.5855198346324523E-6</v>
      </c>
      <c r="O333" s="141">
        <f t="shared" si="516"/>
        <v>0.13120960056777078</v>
      </c>
      <c r="P333" s="141">
        <f t="shared" si="517"/>
        <v>0.86878481391239459</v>
      </c>
      <c r="Q333" s="140">
        <v>2</v>
      </c>
      <c r="R333" s="139">
        <v>200000</v>
      </c>
      <c r="S333" s="140">
        <v>328</v>
      </c>
      <c r="T333" s="139">
        <v>4698205519</v>
      </c>
      <c r="U333" s="140">
        <v>19086</v>
      </c>
      <c r="V333" s="169">
        <v>31108467596</v>
      </c>
    </row>
    <row r="334" spans="1:22" ht="15.95" customHeight="1" x14ac:dyDescent="0.3">
      <c r="A334" s="137">
        <v>153</v>
      </c>
      <c r="B334" s="214" t="s">
        <v>3983</v>
      </c>
      <c r="C334" s="137">
        <v>1001324680</v>
      </c>
      <c r="D334" s="137" t="s">
        <v>3414</v>
      </c>
      <c r="E334" s="137">
        <v>1688022</v>
      </c>
      <c r="F334" s="137" t="s">
        <v>3295</v>
      </c>
      <c r="G334" s="214" t="s">
        <v>4064</v>
      </c>
      <c r="H334" s="213" t="s">
        <v>3981</v>
      </c>
      <c r="I334" s="137" t="s">
        <v>2258</v>
      </c>
      <c r="J334" s="137" t="s">
        <v>2244</v>
      </c>
      <c r="K334" s="137" t="s">
        <v>2245</v>
      </c>
      <c r="L334" s="139">
        <f t="shared" si="513"/>
        <v>240377359214</v>
      </c>
      <c r="M334" s="140">
        <f t="shared" si="514"/>
        <v>10536</v>
      </c>
      <c r="N334" s="141">
        <f t="shared" si="515"/>
        <v>7.3736925881693781E-3</v>
      </c>
      <c r="O334" s="141">
        <f t="shared" si="516"/>
        <v>7.5334147692663903E-2</v>
      </c>
      <c r="P334" s="141">
        <f t="shared" si="517"/>
        <v>0.91729215971916667</v>
      </c>
      <c r="Q334" s="140">
        <v>4</v>
      </c>
      <c r="R334" s="139">
        <v>1772468752</v>
      </c>
      <c r="S334" s="140">
        <v>71</v>
      </c>
      <c r="T334" s="139">
        <v>18108623481</v>
      </c>
      <c r="U334" s="140">
        <v>10461</v>
      </c>
      <c r="V334" s="139">
        <v>220496266981</v>
      </c>
    </row>
    <row r="335" spans="1:22" ht="15.95" customHeight="1" x14ac:dyDescent="0.3">
      <c r="A335" s="137">
        <v>159</v>
      </c>
      <c r="B335" s="137" t="s">
        <v>2054</v>
      </c>
      <c r="C335" s="137">
        <v>1000683245</v>
      </c>
      <c r="D335" s="137" t="s">
        <v>3416</v>
      </c>
      <c r="E335" s="137">
        <v>1684316</v>
      </c>
      <c r="F335" s="137" t="s">
        <v>3296</v>
      </c>
      <c r="G335" s="167" t="s">
        <v>3417</v>
      </c>
      <c r="H335" s="137" t="s">
        <v>2056</v>
      </c>
      <c r="I335" s="137" t="s">
        <v>2258</v>
      </c>
      <c r="J335" s="137" t="s">
        <v>2242</v>
      </c>
      <c r="K335" s="137" t="s">
        <v>2077</v>
      </c>
      <c r="L335" s="139">
        <f t="shared" ref="L335:L336" si="518">ABS(R335)+ABS(T335)+ABS(V335)</f>
        <v>127461509785004</v>
      </c>
      <c r="M335" s="140">
        <f t="shared" ref="M335:M336" si="519">Q335+S335+U335</f>
        <v>2167069</v>
      </c>
      <c r="N335" s="141">
        <f t="shared" ref="N335:N336" si="520">ABS(R335)/$L335</f>
        <v>5.797922403143742E-3</v>
      </c>
      <c r="O335" s="141">
        <f t="shared" ref="O335:O336" si="521">ABS(T335)/$L335</f>
        <v>0</v>
      </c>
      <c r="P335" s="141">
        <f t="shared" ref="P335:P336" si="522">ABS(V335)/$L335</f>
        <v>0.9942020775968563</v>
      </c>
      <c r="Q335" s="140">
        <v>38</v>
      </c>
      <c r="R335" s="169">
        <v>-739011943121</v>
      </c>
      <c r="S335" s="140">
        <v>0</v>
      </c>
      <c r="T335" s="139">
        <v>0</v>
      </c>
      <c r="U335" s="140">
        <v>2167031</v>
      </c>
      <c r="V335" s="139">
        <v>126722497841883</v>
      </c>
    </row>
    <row r="336" spans="1:22" ht="15.95" customHeight="1" x14ac:dyDescent="0.3">
      <c r="A336" s="137">
        <v>159</v>
      </c>
      <c r="B336" s="137" t="s">
        <v>2054</v>
      </c>
      <c r="C336" s="137">
        <v>1000683245</v>
      </c>
      <c r="D336" s="137" t="s">
        <v>3416</v>
      </c>
      <c r="E336" s="137">
        <v>1684316</v>
      </c>
      <c r="F336" s="137" t="s">
        <v>3296</v>
      </c>
      <c r="G336" s="167" t="s">
        <v>3417</v>
      </c>
      <c r="H336" s="137" t="s">
        <v>2056</v>
      </c>
      <c r="I336" s="137" t="s">
        <v>2258</v>
      </c>
      <c r="J336" s="137" t="s">
        <v>2244</v>
      </c>
      <c r="K336" s="137" t="s">
        <v>2245</v>
      </c>
      <c r="L336" s="139">
        <f t="shared" si="518"/>
        <v>87212856037</v>
      </c>
      <c r="M336" s="140">
        <f t="shared" si="519"/>
        <v>932</v>
      </c>
      <c r="N336" s="141">
        <f t="shared" si="520"/>
        <v>0</v>
      </c>
      <c r="O336" s="141">
        <f t="shared" si="521"/>
        <v>1.6440394056028911E-2</v>
      </c>
      <c r="P336" s="141">
        <f t="shared" si="522"/>
        <v>0.98355960594397107</v>
      </c>
      <c r="Q336" s="140">
        <v>0</v>
      </c>
      <c r="R336" s="139">
        <v>0</v>
      </c>
      <c r="S336" s="140">
        <v>3</v>
      </c>
      <c r="T336" s="139">
        <v>1433813720</v>
      </c>
      <c r="U336" s="140">
        <v>929</v>
      </c>
      <c r="V336" s="139">
        <v>85779042317</v>
      </c>
    </row>
    <row r="337" spans="1:22" ht="15.95" customHeight="1" x14ac:dyDescent="0.3">
      <c r="A337" s="137">
        <v>160</v>
      </c>
      <c r="B337" s="137" t="s">
        <v>2054</v>
      </c>
      <c r="C337" s="137">
        <v>1000325382</v>
      </c>
      <c r="D337" s="137" t="s">
        <v>3418</v>
      </c>
      <c r="E337" s="137">
        <v>1684358</v>
      </c>
      <c r="F337" s="137" t="s">
        <v>3297</v>
      </c>
      <c r="G337" s="167" t="s">
        <v>3419</v>
      </c>
      <c r="H337" s="137" t="s">
        <v>2056</v>
      </c>
      <c r="I337" s="137" t="s">
        <v>2258</v>
      </c>
      <c r="J337" s="137" t="s">
        <v>2242</v>
      </c>
      <c r="K337" s="137" t="s">
        <v>2077</v>
      </c>
      <c r="L337" s="139">
        <f t="shared" ref="L337:L340" si="523">ABS(R337)+ABS(T337)+ABS(V337)</f>
        <v>10301582097066</v>
      </c>
      <c r="M337" s="140">
        <f t="shared" ref="M337:M339" si="524">Q337+S337+U337</f>
        <v>3208971</v>
      </c>
      <c r="N337" s="141">
        <f t="shared" ref="N337:N340" si="525">ABS(R337)/$L337</f>
        <v>1.9754829706978764E-3</v>
      </c>
      <c r="O337" s="141">
        <f t="shared" ref="O337:O340" si="526">ABS(T337)/$L337</f>
        <v>0</v>
      </c>
      <c r="P337" s="141">
        <f t="shared" ref="P337:P340" si="527">ABS(V337)/$L337</f>
        <v>0.99802451702930217</v>
      </c>
      <c r="Q337" s="140">
        <v>2</v>
      </c>
      <c r="R337" s="139">
        <v>20350600004</v>
      </c>
      <c r="S337" s="140">
        <v>0</v>
      </c>
      <c r="T337" s="139">
        <v>0</v>
      </c>
      <c r="U337" s="140">
        <v>3208969</v>
      </c>
      <c r="V337" s="139">
        <v>10281231497062</v>
      </c>
    </row>
    <row r="338" spans="1:22" ht="15.95" customHeight="1" x14ac:dyDescent="0.3">
      <c r="A338" s="137">
        <v>160</v>
      </c>
      <c r="B338" s="137" t="s">
        <v>2054</v>
      </c>
      <c r="C338" s="137">
        <v>1000325382</v>
      </c>
      <c r="D338" s="137" t="s">
        <v>3418</v>
      </c>
      <c r="E338" s="137">
        <v>1684358</v>
      </c>
      <c r="F338" s="137" t="s">
        <v>3297</v>
      </c>
      <c r="G338" s="167" t="s">
        <v>3419</v>
      </c>
      <c r="H338" s="137" t="s">
        <v>2056</v>
      </c>
      <c r="I338" s="137" t="s">
        <v>2258</v>
      </c>
      <c r="J338" s="137" t="s">
        <v>2244</v>
      </c>
      <c r="K338" s="137" t="s">
        <v>2245</v>
      </c>
      <c r="L338" s="139">
        <f t="shared" si="523"/>
        <v>452900590311</v>
      </c>
      <c r="M338" s="140">
        <f t="shared" si="524"/>
        <v>15274</v>
      </c>
      <c r="N338" s="141">
        <f t="shared" si="525"/>
        <v>0.10856340572052861</v>
      </c>
      <c r="O338" s="141">
        <f t="shared" si="526"/>
        <v>0.14532375635192771</v>
      </c>
      <c r="P338" s="141">
        <f t="shared" si="527"/>
        <v>0.74611283792754368</v>
      </c>
      <c r="Q338" s="140">
        <v>310</v>
      </c>
      <c r="R338" s="139">
        <v>49168430537</v>
      </c>
      <c r="S338" s="140">
        <v>838</v>
      </c>
      <c r="T338" s="139">
        <v>65817215038</v>
      </c>
      <c r="U338" s="140">
        <v>14126</v>
      </c>
      <c r="V338" s="139">
        <v>337914944736</v>
      </c>
    </row>
    <row r="339" spans="1:22" ht="15.95" customHeight="1" x14ac:dyDescent="0.3">
      <c r="A339" s="137">
        <v>160</v>
      </c>
      <c r="B339" s="137" t="s">
        <v>2054</v>
      </c>
      <c r="C339" s="137">
        <v>1000325382</v>
      </c>
      <c r="D339" s="137" t="s">
        <v>3418</v>
      </c>
      <c r="E339" s="137">
        <v>1684358</v>
      </c>
      <c r="F339" s="137" t="s">
        <v>3297</v>
      </c>
      <c r="G339" s="167" t="s">
        <v>3419</v>
      </c>
      <c r="H339" s="137" t="s">
        <v>2056</v>
      </c>
      <c r="I339" s="137" t="s">
        <v>2258</v>
      </c>
      <c r="J339" s="137" t="s">
        <v>2244</v>
      </c>
      <c r="K339" s="137" t="s">
        <v>2245</v>
      </c>
      <c r="L339" s="139">
        <f t="shared" si="523"/>
        <v>443927661003</v>
      </c>
      <c r="M339" s="140">
        <f t="shared" si="524"/>
        <v>7966</v>
      </c>
      <c r="N339" s="141">
        <f t="shared" si="525"/>
        <v>0.11075775369777584</v>
      </c>
      <c r="O339" s="141">
        <f t="shared" si="526"/>
        <v>0.14551806447033597</v>
      </c>
      <c r="P339" s="141">
        <f t="shared" si="527"/>
        <v>0.74372418183188815</v>
      </c>
      <c r="Q339" s="140">
        <v>310</v>
      </c>
      <c r="R339" s="139">
        <v>49168430537</v>
      </c>
      <c r="S339" s="140">
        <v>787</v>
      </c>
      <c r="T339" s="139">
        <v>64599493994</v>
      </c>
      <c r="U339" s="140">
        <v>6869</v>
      </c>
      <c r="V339" s="139">
        <v>330159736472</v>
      </c>
    </row>
    <row r="340" spans="1:22" ht="15.95" customHeight="1" x14ac:dyDescent="0.3">
      <c r="A340" s="137">
        <v>160</v>
      </c>
      <c r="B340" s="137" t="s">
        <v>2054</v>
      </c>
      <c r="C340" s="137">
        <v>1000325382</v>
      </c>
      <c r="D340" s="137" t="s">
        <v>3418</v>
      </c>
      <c r="E340" s="137">
        <v>1684358</v>
      </c>
      <c r="F340" s="137" t="s">
        <v>3297</v>
      </c>
      <c r="G340" s="167" t="s">
        <v>3419</v>
      </c>
      <c r="H340" s="137" t="s">
        <v>2056</v>
      </c>
      <c r="I340" s="137" t="s">
        <v>2258</v>
      </c>
      <c r="J340" s="137" t="s">
        <v>2244</v>
      </c>
      <c r="K340" s="137" t="s">
        <v>2245</v>
      </c>
      <c r="L340" s="139">
        <f t="shared" si="523"/>
        <v>8972929308</v>
      </c>
      <c r="M340" s="140">
        <f t="shared" ref="M340:M343" si="528">Q340+S340+U340</f>
        <v>7308</v>
      </c>
      <c r="N340" s="141">
        <f t="shared" si="525"/>
        <v>0</v>
      </c>
      <c r="O340" s="141">
        <f t="shared" si="526"/>
        <v>0.13571053579061587</v>
      </c>
      <c r="P340" s="141">
        <f t="shared" si="527"/>
        <v>0.86428946420938413</v>
      </c>
      <c r="Q340" s="140">
        <v>0</v>
      </c>
      <c r="R340" s="139">
        <v>0</v>
      </c>
      <c r="S340" s="140">
        <v>51</v>
      </c>
      <c r="T340" s="139">
        <v>1217721044</v>
      </c>
      <c r="U340" s="140">
        <v>7257</v>
      </c>
      <c r="V340" s="139">
        <v>7755208264</v>
      </c>
    </row>
    <row r="341" spans="1:22" ht="15.95" customHeight="1" x14ac:dyDescent="0.3">
      <c r="A341" s="137">
        <v>160</v>
      </c>
      <c r="B341" s="214" t="s">
        <v>3983</v>
      </c>
      <c r="C341" s="137">
        <v>1000325382</v>
      </c>
      <c r="D341" s="137" t="s">
        <v>3418</v>
      </c>
      <c r="E341" s="137">
        <v>1684358</v>
      </c>
      <c r="F341" s="137" t="s">
        <v>3297</v>
      </c>
      <c r="G341" s="214" t="s">
        <v>4065</v>
      </c>
      <c r="H341" s="213" t="s">
        <v>3974</v>
      </c>
      <c r="I341" s="137" t="s">
        <v>2258</v>
      </c>
      <c r="J341" s="137" t="s">
        <v>2242</v>
      </c>
      <c r="K341" s="137" t="s">
        <v>2077</v>
      </c>
      <c r="L341" s="139">
        <f t="shared" ref="L341:L344" si="529">ABS(R341)+ABS(T341)+ABS(V341)</f>
        <v>14934144260482</v>
      </c>
      <c r="M341" s="140">
        <f t="shared" si="528"/>
        <v>2984284</v>
      </c>
      <c r="N341" s="141">
        <f t="shared" ref="N341:N344" si="530">ABS(R341)/$L341</f>
        <v>5.5618936747380237E-4</v>
      </c>
      <c r="O341" s="141">
        <f t="shared" ref="O341:O344" si="531">ABS(T341)/$L341</f>
        <v>0</v>
      </c>
      <c r="P341" s="141">
        <f t="shared" ref="P341:P344" si="532">ABS(V341)/$L341</f>
        <v>0.99944381063252619</v>
      </c>
      <c r="Q341" s="140">
        <v>14</v>
      </c>
      <c r="R341" s="139">
        <v>8306212250</v>
      </c>
      <c r="S341" s="140">
        <v>0</v>
      </c>
      <c r="T341" s="139">
        <v>0</v>
      </c>
      <c r="U341" s="140">
        <v>2984270</v>
      </c>
      <c r="V341" s="139">
        <v>14925838048232</v>
      </c>
    </row>
    <row r="342" spans="1:22" ht="15.95" customHeight="1" x14ac:dyDescent="0.3">
      <c r="A342" s="137">
        <v>160</v>
      </c>
      <c r="B342" s="214" t="s">
        <v>3983</v>
      </c>
      <c r="C342" s="137">
        <v>1000325382</v>
      </c>
      <c r="D342" s="137" t="s">
        <v>3418</v>
      </c>
      <c r="E342" s="137">
        <v>1684358</v>
      </c>
      <c r="F342" s="137" t="s">
        <v>3297</v>
      </c>
      <c r="G342" s="214" t="s">
        <v>4065</v>
      </c>
      <c r="H342" s="213" t="s">
        <v>3974</v>
      </c>
      <c r="I342" s="137" t="s">
        <v>2258</v>
      </c>
      <c r="J342" s="137" t="s">
        <v>2244</v>
      </c>
      <c r="K342" s="137" t="s">
        <v>2245</v>
      </c>
      <c r="L342" s="139">
        <f t="shared" si="529"/>
        <v>443275582318</v>
      </c>
      <c r="M342" s="140">
        <f t="shared" si="528"/>
        <v>16845</v>
      </c>
      <c r="N342" s="141">
        <f t="shared" si="530"/>
        <v>0.12748179896464676</v>
      </c>
      <c r="O342" s="141">
        <f t="shared" si="531"/>
        <v>0.18979519498018532</v>
      </c>
      <c r="P342" s="141">
        <f t="shared" si="532"/>
        <v>0.68272300605516789</v>
      </c>
      <c r="Q342" s="140">
        <v>397</v>
      </c>
      <c r="R342" s="139">
        <v>56509568671</v>
      </c>
      <c r="S342" s="140">
        <v>1059</v>
      </c>
      <c r="T342" s="139">
        <v>84131575576</v>
      </c>
      <c r="U342" s="140">
        <v>15389</v>
      </c>
      <c r="V342" s="139">
        <v>302634438071</v>
      </c>
    </row>
    <row r="343" spans="1:22" ht="15.95" customHeight="1" x14ac:dyDescent="0.3">
      <c r="A343" s="137">
        <v>160</v>
      </c>
      <c r="B343" s="214" t="s">
        <v>3983</v>
      </c>
      <c r="C343" s="137">
        <v>1000325382</v>
      </c>
      <c r="D343" s="137" t="s">
        <v>3418</v>
      </c>
      <c r="E343" s="137">
        <v>1684358</v>
      </c>
      <c r="F343" s="137" t="s">
        <v>3297</v>
      </c>
      <c r="G343" s="214" t="s">
        <v>4065</v>
      </c>
      <c r="H343" s="213" t="s">
        <v>3974</v>
      </c>
      <c r="I343" s="137" t="s">
        <v>2258</v>
      </c>
      <c r="J343" s="137" t="s">
        <v>2244</v>
      </c>
      <c r="K343" s="137" t="s">
        <v>2245</v>
      </c>
      <c r="L343" s="139">
        <f t="shared" si="529"/>
        <v>9570381571</v>
      </c>
      <c r="M343" s="140">
        <f t="shared" si="528"/>
        <v>8497</v>
      </c>
      <c r="N343" s="141">
        <f t="shared" si="530"/>
        <v>2.2131101924065593E-3</v>
      </c>
      <c r="O343" s="141">
        <f t="shared" si="531"/>
        <v>0.12907406657046444</v>
      </c>
      <c r="P343" s="141">
        <f t="shared" si="532"/>
        <v>0.86871282323712895</v>
      </c>
      <c r="Q343" s="140">
        <v>1</v>
      </c>
      <c r="R343" s="139">
        <v>21180309</v>
      </c>
      <c r="S343" s="140">
        <v>55</v>
      </c>
      <c r="T343" s="139">
        <v>1235288068</v>
      </c>
      <c r="U343" s="140">
        <v>8441</v>
      </c>
      <c r="V343" s="139">
        <v>8313913194</v>
      </c>
    </row>
    <row r="344" spans="1:22" ht="15.95" customHeight="1" x14ac:dyDescent="0.3">
      <c r="A344" s="137">
        <v>160</v>
      </c>
      <c r="B344" s="214" t="s">
        <v>3983</v>
      </c>
      <c r="C344" s="137">
        <v>1000325382</v>
      </c>
      <c r="D344" s="137" t="s">
        <v>3418</v>
      </c>
      <c r="E344" s="137">
        <v>1684358</v>
      </c>
      <c r="F344" s="137" t="s">
        <v>3297</v>
      </c>
      <c r="G344" s="214" t="s">
        <v>4065</v>
      </c>
      <c r="H344" s="213" t="s">
        <v>3974</v>
      </c>
      <c r="I344" s="137" t="s">
        <v>2258</v>
      </c>
      <c r="J344" s="137" t="s">
        <v>2244</v>
      </c>
      <c r="K344" s="137" t="s">
        <v>2245</v>
      </c>
      <c r="L344" s="139">
        <f t="shared" si="529"/>
        <v>433705200747</v>
      </c>
      <c r="M344" s="140">
        <f t="shared" ref="M344" si="533">Q344+S344+U344</f>
        <v>8348</v>
      </c>
      <c r="N344" s="141">
        <f t="shared" si="530"/>
        <v>0.13024604792542538</v>
      </c>
      <c r="O344" s="141">
        <f t="shared" si="531"/>
        <v>0.19113510136660128</v>
      </c>
      <c r="P344" s="141">
        <f t="shared" si="532"/>
        <v>0.67861885070797334</v>
      </c>
      <c r="Q344" s="140">
        <v>396</v>
      </c>
      <c r="R344" s="139">
        <v>56488388362</v>
      </c>
      <c r="S344" s="140">
        <v>1004</v>
      </c>
      <c r="T344" s="139">
        <v>82896287508</v>
      </c>
      <c r="U344" s="140">
        <v>6948</v>
      </c>
      <c r="V344" s="139">
        <v>294320524877</v>
      </c>
    </row>
    <row r="345" spans="1:22" ht="15.95" customHeight="1" x14ac:dyDescent="0.3">
      <c r="A345" s="137">
        <v>161</v>
      </c>
      <c r="B345" s="137" t="s">
        <v>2063</v>
      </c>
      <c r="C345" s="137">
        <v>1000317122</v>
      </c>
      <c r="D345" s="137" t="s">
        <v>2253</v>
      </c>
      <c r="E345" s="137">
        <v>1684859</v>
      </c>
      <c r="F345" s="137" t="s">
        <v>2254</v>
      </c>
      <c r="G345" s="137" t="s">
        <v>2255</v>
      </c>
      <c r="H345" s="137" t="s">
        <v>2056</v>
      </c>
      <c r="I345" s="137" t="s">
        <v>2258</v>
      </c>
      <c r="J345" s="137" t="s">
        <v>2242</v>
      </c>
      <c r="K345" s="137" t="s">
        <v>2077</v>
      </c>
      <c r="L345" s="139">
        <f>ABS(R345)+ABS(T345)+ABS(V345)</f>
        <v>18728066120949</v>
      </c>
      <c r="M345" s="140">
        <f>Q345+S345+U345</f>
        <v>1269966</v>
      </c>
      <c r="N345" s="141">
        <f>ABS(R345)/$L345</f>
        <v>9.2512101605192638E-3</v>
      </c>
      <c r="O345" s="141">
        <f>ABS(T345)/$L345</f>
        <v>0</v>
      </c>
      <c r="P345" s="141">
        <f>ABS(V345)/$L345</f>
        <v>0.99074878983948078</v>
      </c>
      <c r="Q345" s="140">
        <v>11</v>
      </c>
      <c r="R345" s="139">
        <v>173257275585</v>
      </c>
      <c r="S345" s="140">
        <v>0</v>
      </c>
      <c r="T345" s="139">
        <v>0</v>
      </c>
      <c r="U345" s="140">
        <v>1269955</v>
      </c>
      <c r="V345" s="139">
        <v>18554808845364</v>
      </c>
    </row>
    <row r="346" spans="1:22" ht="15.95" customHeight="1" x14ac:dyDescent="0.3">
      <c r="A346" s="137">
        <v>161</v>
      </c>
      <c r="B346" s="137" t="s">
        <v>2063</v>
      </c>
      <c r="C346" s="137">
        <v>1000317122</v>
      </c>
      <c r="D346" s="137" t="s">
        <v>2253</v>
      </c>
      <c r="E346" s="137">
        <v>1684859</v>
      </c>
      <c r="F346" s="137" t="s">
        <v>2254</v>
      </c>
      <c r="G346" s="137" t="s">
        <v>2255</v>
      </c>
      <c r="H346" s="137" t="s">
        <v>2056</v>
      </c>
      <c r="I346" s="137" t="s">
        <v>2258</v>
      </c>
      <c r="J346" s="137" t="s">
        <v>2243</v>
      </c>
      <c r="K346" s="137" t="s">
        <v>2245</v>
      </c>
      <c r="L346" s="139">
        <f>ABS(R346)+ABS(T346)+ABS(V346)</f>
        <v>77597607521</v>
      </c>
      <c r="M346" s="140">
        <f>Q346+S346+U346</f>
        <v>50392</v>
      </c>
      <c r="N346" s="141">
        <f>ABS(R346)/$L346</f>
        <v>0</v>
      </c>
      <c r="O346" s="141">
        <f>ABS(T346)/$L346</f>
        <v>0.12230615508901574</v>
      </c>
      <c r="P346" s="141">
        <f>ABS(V346)/$L346</f>
        <v>0.87769384491098423</v>
      </c>
      <c r="Q346" s="140">
        <v>0</v>
      </c>
      <c r="R346" s="139">
        <v>0</v>
      </c>
      <c r="S346" s="140">
        <v>1869</v>
      </c>
      <c r="T346" s="139">
        <v>9490665020</v>
      </c>
      <c r="U346" s="140">
        <v>48523</v>
      </c>
      <c r="V346" s="139">
        <v>68106942501</v>
      </c>
    </row>
    <row r="347" spans="1:22" ht="15.95" customHeight="1" x14ac:dyDescent="0.3">
      <c r="A347" s="137">
        <v>161</v>
      </c>
      <c r="B347" s="137" t="s">
        <v>2054</v>
      </c>
      <c r="C347" s="137">
        <v>1000317122</v>
      </c>
      <c r="D347" s="137" t="s">
        <v>2253</v>
      </c>
      <c r="E347" s="137">
        <v>1684859</v>
      </c>
      <c r="F347" s="137" t="s">
        <v>2254</v>
      </c>
      <c r="G347" s="137" t="s">
        <v>2255</v>
      </c>
      <c r="H347" s="137" t="s">
        <v>2056</v>
      </c>
      <c r="I347" s="137" t="s">
        <v>2258</v>
      </c>
      <c r="J347" s="137" t="s">
        <v>2244</v>
      </c>
      <c r="K347" s="137" t="s">
        <v>2245</v>
      </c>
      <c r="L347" s="139">
        <f>ABS(R347)+ABS(T347)+ABS(V347)</f>
        <v>476301236969</v>
      </c>
      <c r="M347" s="140">
        <f>Q347+S347+U347</f>
        <v>34431</v>
      </c>
      <c r="N347" s="141">
        <f>ABS(R347)/$L347</f>
        <v>0</v>
      </c>
      <c r="O347" s="141">
        <f>ABS(T347)/$L347</f>
        <v>0</v>
      </c>
      <c r="P347" s="141">
        <f>ABS(V347)/$L347</f>
        <v>1</v>
      </c>
      <c r="Q347" s="140">
        <v>0</v>
      </c>
      <c r="R347" s="139">
        <v>0</v>
      </c>
      <c r="S347" s="140">
        <v>0</v>
      </c>
      <c r="T347" s="139">
        <v>0</v>
      </c>
      <c r="U347" s="140">
        <v>34431</v>
      </c>
      <c r="V347" s="139">
        <v>476301236969</v>
      </c>
    </row>
    <row r="348" spans="1:22" ht="15.95" customHeight="1" x14ac:dyDescent="0.3">
      <c r="A348" s="137">
        <v>161</v>
      </c>
      <c r="B348" s="137" t="s">
        <v>2054</v>
      </c>
      <c r="C348" s="137">
        <v>1000317122</v>
      </c>
      <c r="D348" s="137" t="s">
        <v>2253</v>
      </c>
      <c r="E348" s="137">
        <v>1684859</v>
      </c>
      <c r="F348" s="137" t="s">
        <v>2254</v>
      </c>
      <c r="G348" s="137" t="s">
        <v>2256</v>
      </c>
      <c r="H348" s="137" t="s">
        <v>2056</v>
      </c>
      <c r="I348" s="137" t="s">
        <v>2259</v>
      </c>
      <c r="J348" s="137" t="s">
        <v>2244</v>
      </c>
      <c r="K348" s="137" t="s">
        <v>2077</v>
      </c>
      <c r="L348" s="139">
        <f>ABS(R348)+ABS(T348)+ABS(V348)</f>
        <v>476301236969</v>
      </c>
      <c r="M348" s="140">
        <f>Q348+S348+U348</f>
        <v>27331</v>
      </c>
      <c r="N348" s="141">
        <f>ABS(R348)/$L348</f>
        <v>4.2777492243477218E-3</v>
      </c>
      <c r="O348" s="141">
        <f>ABS(T348)/$L348</f>
        <v>5.69182910032301E-2</v>
      </c>
      <c r="P348" s="141">
        <f>ABS(V348)/$L348</f>
        <v>0.93880395977242215</v>
      </c>
      <c r="Q348" s="140">
        <v>34</v>
      </c>
      <c r="R348" s="139">
        <v>2037497247</v>
      </c>
      <c r="S348" s="140">
        <v>602</v>
      </c>
      <c r="T348" s="139">
        <v>27110252411</v>
      </c>
      <c r="U348" s="140">
        <v>26695</v>
      </c>
      <c r="V348" s="139">
        <v>447153487311</v>
      </c>
    </row>
    <row r="349" spans="1:22" ht="15.95" customHeight="1" x14ac:dyDescent="0.3">
      <c r="A349" s="137">
        <v>167</v>
      </c>
      <c r="B349" s="167" t="s">
        <v>3422</v>
      </c>
      <c r="C349" s="137">
        <v>1000661455</v>
      </c>
      <c r="D349" s="137" t="s">
        <v>3420</v>
      </c>
      <c r="E349" s="137">
        <v>1684010</v>
      </c>
      <c r="F349" s="137" t="s">
        <v>3298</v>
      </c>
      <c r="G349" s="167" t="s">
        <v>3421</v>
      </c>
      <c r="H349" s="167" t="s">
        <v>3334</v>
      </c>
      <c r="I349" s="137" t="s">
        <v>2258</v>
      </c>
      <c r="J349" s="167" t="s">
        <v>2111</v>
      </c>
      <c r="K349" s="137" t="s">
        <v>2077</v>
      </c>
      <c r="L349" s="139">
        <f t="shared" ref="L349:L350" si="534">ABS(R349)+ABS(T349)+ABS(V349)</f>
        <v>54446302</v>
      </c>
      <c r="M349" s="140">
        <f t="shared" ref="M349:M350" si="535">Q349+S349+U349</f>
        <v>23626</v>
      </c>
      <c r="N349" s="141">
        <f t="shared" ref="N349:N350" si="536">ABS(R349)/$L349</f>
        <v>0</v>
      </c>
      <c r="O349" s="141">
        <f t="shared" ref="O349:O350" si="537">ABS(T349)/$L349</f>
        <v>0.11050807454287713</v>
      </c>
      <c r="P349" s="141">
        <f t="shared" ref="P349:P350" si="538">ABS(V349)/$L349</f>
        <v>0.88949192545712286</v>
      </c>
      <c r="Q349" s="140">
        <v>0</v>
      </c>
      <c r="R349" s="139">
        <v>0</v>
      </c>
      <c r="S349" s="140">
        <v>293</v>
      </c>
      <c r="T349" s="139">
        <v>-6016756</v>
      </c>
      <c r="U349" s="140">
        <v>23333</v>
      </c>
      <c r="V349" s="139">
        <v>48429546</v>
      </c>
    </row>
    <row r="350" spans="1:22" ht="15.95" customHeight="1" x14ac:dyDescent="0.3">
      <c r="A350" s="137">
        <v>167</v>
      </c>
      <c r="B350" s="167" t="s">
        <v>3422</v>
      </c>
      <c r="C350" s="137">
        <v>1000661455</v>
      </c>
      <c r="D350" s="137" t="s">
        <v>3420</v>
      </c>
      <c r="E350" s="137">
        <v>1684010</v>
      </c>
      <c r="F350" s="137" t="s">
        <v>3298</v>
      </c>
      <c r="G350" s="167" t="s">
        <v>3421</v>
      </c>
      <c r="H350" s="167" t="s">
        <v>3334</v>
      </c>
      <c r="I350" s="137" t="s">
        <v>2258</v>
      </c>
      <c r="J350" s="137" t="s">
        <v>2047</v>
      </c>
      <c r="K350" s="137" t="s">
        <v>2077</v>
      </c>
      <c r="L350" s="139">
        <f t="shared" si="534"/>
        <v>1581172078</v>
      </c>
      <c r="M350" s="140">
        <f t="shared" si="535"/>
        <v>96255</v>
      </c>
      <c r="N350" s="141">
        <f t="shared" si="536"/>
        <v>2.1759250924490458E-3</v>
      </c>
      <c r="O350" s="141">
        <f t="shared" si="537"/>
        <v>0</v>
      </c>
      <c r="P350" s="141">
        <f t="shared" si="538"/>
        <v>0.99782407490755098</v>
      </c>
      <c r="Q350" s="140">
        <v>11</v>
      </c>
      <c r="R350" s="139">
        <v>3440512</v>
      </c>
      <c r="S350" s="140">
        <v>0</v>
      </c>
      <c r="T350" s="139">
        <v>0</v>
      </c>
      <c r="U350" s="140">
        <v>96244</v>
      </c>
      <c r="V350" s="139">
        <v>1577731566</v>
      </c>
    </row>
    <row r="351" spans="1:22" ht="15.95" customHeight="1" x14ac:dyDescent="0.3">
      <c r="A351" s="137">
        <v>167</v>
      </c>
      <c r="B351" s="214" t="s">
        <v>3983</v>
      </c>
      <c r="C351" s="137">
        <v>1000661455</v>
      </c>
      <c r="D351" s="137" t="s">
        <v>3420</v>
      </c>
      <c r="E351" s="137">
        <v>1684010</v>
      </c>
      <c r="F351" s="137" t="s">
        <v>3298</v>
      </c>
      <c r="G351" s="214" t="s">
        <v>4066</v>
      </c>
      <c r="H351" s="213" t="s">
        <v>3981</v>
      </c>
      <c r="I351" s="137" t="s">
        <v>2258</v>
      </c>
      <c r="J351" s="167" t="s">
        <v>2111</v>
      </c>
      <c r="K351" s="137" t="s">
        <v>2245</v>
      </c>
      <c r="L351" s="139">
        <f t="shared" ref="L351:L352" si="539">ABS(R351)+ABS(T351)+ABS(V351)</f>
        <v>326738153</v>
      </c>
      <c r="M351" s="140">
        <f t="shared" ref="M351:M352" si="540">Q351+S351+U351</f>
        <v>30989</v>
      </c>
      <c r="N351" s="141">
        <f t="shared" ref="N351:N352" si="541">ABS(R351)/$L351</f>
        <v>0</v>
      </c>
      <c r="O351" s="141">
        <f t="shared" ref="O351:O352" si="542">ABS(T351)/$L351</f>
        <v>0.17706349095999205</v>
      </c>
      <c r="P351" s="141">
        <f t="shared" ref="P351:P352" si="543">ABS(V351)/$L351</f>
        <v>0.82293650904000792</v>
      </c>
      <c r="Q351" s="140">
        <v>0</v>
      </c>
      <c r="R351" s="139">
        <v>0</v>
      </c>
      <c r="S351" s="140">
        <v>264</v>
      </c>
      <c r="T351" s="139">
        <v>57853398</v>
      </c>
      <c r="U351" s="140">
        <v>30725</v>
      </c>
      <c r="V351" s="139">
        <v>268884755</v>
      </c>
    </row>
    <row r="352" spans="1:22" ht="15.95" customHeight="1" x14ac:dyDescent="0.3">
      <c r="A352" s="137">
        <v>167</v>
      </c>
      <c r="B352" s="214" t="s">
        <v>3983</v>
      </c>
      <c r="C352" s="137">
        <v>1000661455</v>
      </c>
      <c r="D352" s="137" t="s">
        <v>3420</v>
      </c>
      <c r="E352" s="137">
        <v>1684010</v>
      </c>
      <c r="F352" s="137" t="s">
        <v>3298</v>
      </c>
      <c r="G352" s="214" t="s">
        <v>4066</v>
      </c>
      <c r="H352" s="213" t="s">
        <v>3981</v>
      </c>
      <c r="I352" s="137" t="s">
        <v>2258</v>
      </c>
      <c r="J352" s="137" t="s">
        <v>2047</v>
      </c>
      <c r="K352" s="137" t="s">
        <v>2077</v>
      </c>
      <c r="L352" s="139">
        <f t="shared" si="539"/>
        <v>4139444306</v>
      </c>
      <c r="M352" s="140">
        <f t="shared" si="540"/>
        <v>128377</v>
      </c>
      <c r="N352" s="141">
        <f t="shared" si="541"/>
        <v>2.2638925679991984E-2</v>
      </c>
      <c r="O352" s="141">
        <f t="shared" si="542"/>
        <v>0</v>
      </c>
      <c r="P352" s="141">
        <f t="shared" si="543"/>
        <v>0.97736107432000796</v>
      </c>
      <c r="Q352" s="140">
        <v>11</v>
      </c>
      <c r="R352" s="139">
        <v>93712572</v>
      </c>
      <c r="S352" s="140">
        <v>0</v>
      </c>
      <c r="T352" s="139">
        <v>0</v>
      </c>
      <c r="U352" s="140">
        <v>128366</v>
      </c>
      <c r="V352" s="139">
        <v>4045731734</v>
      </c>
    </row>
    <row r="353" spans="1:22" ht="15.95" customHeight="1" x14ac:dyDescent="0.3">
      <c r="A353" s="137">
        <v>168</v>
      </c>
      <c r="B353" s="137" t="s">
        <v>2063</v>
      </c>
      <c r="C353" s="137">
        <v>1000325879</v>
      </c>
      <c r="D353" s="137" t="s">
        <v>1541</v>
      </c>
      <c r="E353" s="137">
        <v>1684254</v>
      </c>
      <c r="F353" s="137" t="s">
        <v>2260</v>
      </c>
      <c r="G353" s="137" t="s">
        <v>2261</v>
      </c>
      <c r="H353" s="137" t="s">
        <v>2056</v>
      </c>
      <c r="I353" s="137" t="s">
        <v>2258</v>
      </c>
      <c r="J353" s="137" t="s">
        <v>2242</v>
      </c>
      <c r="K353" s="137" t="s">
        <v>2077</v>
      </c>
      <c r="L353" s="139">
        <f>ABS(R353)+ABS(T353)+ABS(V353)</f>
        <v>21791632355060</v>
      </c>
      <c r="M353" s="140">
        <f>Q353+S353+U353</f>
        <v>241548</v>
      </c>
      <c r="N353" s="141">
        <f>ABS(R353)/$L353</f>
        <v>0</v>
      </c>
      <c r="O353" s="141">
        <f>ABS(T353)/$L353</f>
        <v>0</v>
      </c>
      <c r="P353" s="141">
        <f>ABS(V353)/$L353</f>
        <v>1</v>
      </c>
      <c r="Q353" s="140">
        <v>4</v>
      </c>
      <c r="R353" s="139">
        <v>0</v>
      </c>
      <c r="S353" s="140">
        <v>0</v>
      </c>
      <c r="T353" s="139">
        <v>0</v>
      </c>
      <c r="U353" s="140">
        <v>241544</v>
      </c>
      <c r="V353" s="139">
        <v>21791632355060</v>
      </c>
    </row>
    <row r="354" spans="1:22" ht="15.95" customHeight="1" x14ac:dyDescent="0.3">
      <c r="A354" s="137">
        <v>168</v>
      </c>
      <c r="B354" s="137" t="s">
        <v>2063</v>
      </c>
      <c r="C354" s="137">
        <v>1000325879</v>
      </c>
      <c r="D354" s="137" t="s">
        <v>1541</v>
      </c>
      <c r="E354" s="137">
        <v>1684254</v>
      </c>
      <c r="F354" s="137" t="s">
        <v>2260</v>
      </c>
      <c r="G354" s="137" t="s">
        <v>2261</v>
      </c>
      <c r="H354" s="137" t="s">
        <v>2056</v>
      </c>
      <c r="I354" s="137" t="s">
        <v>2258</v>
      </c>
      <c r="J354" s="137" t="s">
        <v>2244</v>
      </c>
      <c r="K354" s="137" t="s">
        <v>2077</v>
      </c>
      <c r="L354" s="139">
        <f>ABS(R354)+ABS(T354)+ABS(V354)</f>
        <v>179822605991</v>
      </c>
      <c r="M354" s="140">
        <f>Q354+S354+U354</f>
        <v>2347</v>
      </c>
      <c r="N354" s="141">
        <f>ABS(R354)/$L354</f>
        <v>0</v>
      </c>
      <c r="O354" s="141">
        <f>ABS(T354)/$L354</f>
        <v>0.145802698278726</v>
      </c>
      <c r="P354" s="141">
        <f>ABS(V354)/$L354</f>
        <v>0.85419730172127395</v>
      </c>
      <c r="Q354" s="140">
        <v>0</v>
      </c>
      <c r="R354" s="139">
        <v>0</v>
      </c>
      <c r="S354" s="140">
        <v>21</v>
      </c>
      <c r="T354" s="139">
        <v>26218621165</v>
      </c>
      <c r="U354" s="140">
        <v>2326</v>
      </c>
      <c r="V354" s="139">
        <v>153603984826</v>
      </c>
    </row>
    <row r="355" spans="1:22" ht="15.95" customHeight="1" x14ac:dyDescent="0.3">
      <c r="A355" s="137">
        <v>168</v>
      </c>
      <c r="B355" s="214" t="s">
        <v>3983</v>
      </c>
      <c r="C355" s="137">
        <v>1000325879</v>
      </c>
      <c r="D355" s="137" t="s">
        <v>1541</v>
      </c>
      <c r="E355" s="137">
        <v>1684254</v>
      </c>
      <c r="F355" s="137" t="s">
        <v>2260</v>
      </c>
      <c r="G355" s="214" t="s">
        <v>4067</v>
      </c>
      <c r="H355" s="213" t="s">
        <v>3981</v>
      </c>
      <c r="I355" s="137" t="s">
        <v>2258</v>
      </c>
      <c r="J355" s="137" t="s">
        <v>2242</v>
      </c>
      <c r="K355" s="137" t="s">
        <v>2077</v>
      </c>
      <c r="L355" s="139">
        <f>ABS(R355)+ABS(T355)+ABS(V355)</f>
        <v>80842756997546</v>
      </c>
      <c r="M355" s="140">
        <f>Q355+S355+U355</f>
        <v>643628</v>
      </c>
      <c r="N355" s="141">
        <f>ABS(R355)/$L355</f>
        <v>4.7485544498396181E-3</v>
      </c>
      <c r="O355" s="141">
        <f>ABS(T355)/$L355</f>
        <v>0</v>
      </c>
      <c r="P355" s="141">
        <f>ABS(V355)/$L355</f>
        <v>0.99525144555016043</v>
      </c>
      <c r="Q355" s="140">
        <v>29</v>
      </c>
      <c r="R355" s="139">
        <v>383886233478</v>
      </c>
      <c r="S355" s="140">
        <v>0</v>
      </c>
      <c r="T355" s="139">
        <v>0</v>
      </c>
      <c r="U355" s="140">
        <v>643599</v>
      </c>
      <c r="V355" s="139">
        <v>80458870764068</v>
      </c>
    </row>
    <row r="356" spans="1:22" ht="15.95" customHeight="1" x14ac:dyDescent="0.3">
      <c r="A356" s="137">
        <v>168</v>
      </c>
      <c r="B356" s="214" t="s">
        <v>3983</v>
      </c>
      <c r="C356" s="137">
        <v>1000325879</v>
      </c>
      <c r="D356" s="137" t="s">
        <v>1541</v>
      </c>
      <c r="E356" s="137">
        <v>1684254</v>
      </c>
      <c r="F356" s="137" t="s">
        <v>2260</v>
      </c>
      <c r="G356" s="214" t="s">
        <v>4067</v>
      </c>
      <c r="H356" s="213" t="s">
        <v>3981</v>
      </c>
      <c r="I356" s="137" t="s">
        <v>2258</v>
      </c>
      <c r="J356" s="137" t="s">
        <v>2244</v>
      </c>
      <c r="K356" s="137" t="s">
        <v>2245</v>
      </c>
      <c r="L356" s="139">
        <f>ABS(R356)+ABS(T356)+ABS(V356)</f>
        <v>394295259387</v>
      </c>
      <c r="M356" s="140">
        <f>Q356+S356+U356</f>
        <v>4836</v>
      </c>
      <c r="N356" s="141">
        <f>ABS(R356)/$L356</f>
        <v>1.1554339803838398E-3</v>
      </c>
      <c r="O356" s="141">
        <f>ABS(T356)/$L356</f>
        <v>0.12823537632841006</v>
      </c>
      <c r="P356" s="141">
        <f>ABS(V356)/$L356</f>
        <v>0.87060918969120615</v>
      </c>
      <c r="Q356" s="140">
        <v>1</v>
      </c>
      <c r="R356" s="139">
        <v>455582141</v>
      </c>
      <c r="S356" s="140">
        <v>42</v>
      </c>
      <c r="T356" s="139">
        <v>50562600972</v>
      </c>
      <c r="U356" s="140">
        <v>4793</v>
      </c>
      <c r="V356" s="139">
        <v>343277076274</v>
      </c>
    </row>
    <row r="357" spans="1:22" ht="15.95" customHeight="1" x14ac:dyDescent="0.3">
      <c r="A357" s="137">
        <v>169</v>
      </c>
      <c r="B357" s="137" t="s">
        <v>2054</v>
      </c>
      <c r="C357" s="137">
        <v>1001215105</v>
      </c>
      <c r="D357" s="137" t="s">
        <v>3423</v>
      </c>
      <c r="E357" s="137">
        <v>1684617</v>
      </c>
      <c r="F357" s="137" t="s">
        <v>3299</v>
      </c>
      <c r="G357" s="167" t="s">
        <v>3424</v>
      </c>
      <c r="H357" s="137" t="s">
        <v>2056</v>
      </c>
      <c r="I357" s="137" t="s">
        <v>2258</v>
      </c>
      <c r="J357" s="137" t="s">
        <v>2242</v>
      </c>
      <c r="K357" s="137" t="s">
        <v>2077</v>
      </c>
      <c r="L357" s="139">
        <f t="shared" ref="L357:L359" si="544">ABS(R357)+ABS(T357)+ABS(V357)</f>
        <v>5165399091030</v>
      </c>
      <c r="M357" s="140">
        <f t="shared" ref="M357:M359" si="545">Q357+S357+U357</f>
        <v>290046</v>
      </c>
      <c r="N357" s="141">
        <f t="shared" ref="N357:N359" si="546">ABS(R357)/$L357</f>
        <v>4.3076560232566882E-3</v>
      </c>
      <c r="O357" s="141">
        <f t="shared" ref="O357:O359" si="547">ABS(T357)/$L357</f>
        <v>0</v>
      </c>
      <c r="P357" s="141">
        <f t="shared" ref="P357:P359" si="548">ABS(V357)/$L357</f>
        <v>0.99569234397674333</v>
      </c>
      <c r="Q357" s="140">
        <v>5</v>
      </c>
      <c r="R357" s="169">
        <v>-22250762507</v>
      </c>
      <c r="S357" s="140">
        <v>0</v>
      </c>
      <c r="T357" s="139">
        <v>0</v>
      </c>
      <c r="U357" s="140">
        <v>290041</v>
      </c>
      <c r="V357" s="139">
        <v>5143148328523</v>
      </c>
    </row>
    <row r="358" spans="1:22" ht="15.95" customHeight="1" x14ac:dyDescent="0.3">
      <c r="A358" s="137">
        <v>169</v>
      </c>
      <c r="B358" s="137" t="s">
        <v>2054</v>
      </c>
      <c r="C358" s="137">
        <v>1001215105</v>
      </c>
      <c r="D358" s="137" t="s">
        <v>3423</v>
      </c>
      <c r="E358" s="137">
        <v>1684617</v>
      </c>
      <c r="F358" s="137" t="s">
        <v>3299</v>
      </c>
      <c r="G358" s="167" t="s">
        <v>3424</v>
      </c>
      <c r="H358" s="137" t="s">
        <v>2056</v>
      </c>
      <c r="I358" s="137" t="s">
        <v>2258</v>
      </c>
      <c r="J358" s="137" t="s">
        <v>2243</v>
      </c>
      <c r="K358" s="137" t="s">
        <v>2245</v>
      </c>
      <c r="L358" s="139">
        <f t="shared" si="544"/>
        <v>53126172470</v>
      </c>
      <c r="M358" s="140">
        <f t="shared" si="545"/>
        <v>17644</v>
      </c>
      <c r="N358" s="141">
        <f t="shared" si="546"/>
        <v>0.257093704910001</v>
      </c>
      <c r="O358" s="141">
        <f t="shared" si="547"/>
        <v>0.13443945823564052</v>
      </c>
      <c r="P358" s="141">
        <f t="shared" si="548"/>
        <v>0.60846683685435843</v>
      </c>
      <c r="Q358" s="140">
        <v>37</v>
      </c>
      <c r="R358" s="139">
        <v>13658404508</v>
      </c>
      <c r="S358" s="140">
        <v>891</v>
      </c>
      <c r="T358" s="139">
        <v>7142253845</v>
      </c>
      <c r="U358" s="140">
        <v>16716</v>
      </c>
      <c r="V358" s="139">
        <v>32325514117</v>
      </c>
    </row>
    <row r="359" spans="1:22" ht="15.95" customHeight="1" x14ac:dyDescent="0.3">
      <c r="A359" s="137">
        <v>169</v>
      </c>
      <c r="B359" s="137" t="s">
        <v>2054</v>
      </c>
      <c r="C359" s="137">
        <v>1001215105</v>
      </c>
      <c r="D359" s="137" t="s">
        <v>3423</v>
      </c>
      <c r="E359" s="137">
        <v>1684617</v>
      </c>
      <c r="F359" s="137" t="s">
        <v>3299</v>
      </c>
      <c r="G359" s="167" t="s">
        <v>3424</v>
      </c>
      <c r="H359" s="137" t="s">
        <v>2056</v>
      </c>
      <c r="I359" s="137" t="s">
        <v>2258</v>
      </c>
      <c r="J359" s="137" t="s">
        <v>2244</v>
      </c>
      <c r="K359" s="137" t="s">
        <v>2245</v>
      </c>
      <c r="L359" s="139">
        <f t="shared" si="544"/>
        <v>205917670778</v>
      </c>
      <c r="M359" s="140">
        <f t="shared" si="545"/>
        <v>1604</v>
      </c>
      <c r="N359" s="141">
        <f t="shared" si="546"/>
        <v>3.9418834868965573E-2</v>
      </c>
      <c r="O359" s="141">
        <f t="shared" si="547"/>
        <v>1.5602370956612686E-2</v>
      </c>
      <c r="P359" s="141">
        <f t="shared" si="548"/>
        <v>0.94497879417442177</v>
      </c>
      <c r="Q359" s="140">
        <v>14</v>
      </c>
      <c r="R359" s="139">
        <v>-8117034661</v>
      </c>
      <c r="S359" s="140">
        <v>48</v>
      </c>
      <c r="T359" s="139">
        <v>3212803886</v>
      </c>
      <c r="U359" s="140">
        <v>1542</v>
      </c>
      <c r="V359" s="139">
        <v>194587832231</v>
      </c>
    </row>
    <row r="360" spans="1:22" ht="15.95" customHeight="1" x14ac:dyDescent="0.3">
      <c r="A360" s="137">
        <v>169</v>
      </c>
      <c r="B360" s="214" t="s">
        <v>3983</v>
      </c>
      <c r="C360" s="137">
        <v>1001215105</v>
      </c>
      <c r="D360" s="137" t="s">
        <v>3423</v>
      </c>
      <c r="E360" s="137">
        <v>1684617</v>
      </c>
      <c r="F360" s="137" t="s">
        <v>3299</v>
      </c>
      <c r="G360" s="167" t="s">
        <v>3424</v>
      </c>
      <c r="H360" s="213" t="s">
        <v>3974</v>
      </c>
      <c r="I360" s="137" t="s">
        <v>2258</v>
      </c>
      <c r="J360" s="137" t="s">
        <v>2242</v>
      </c>
      <c r="K360" s="137" t="s">
        <v>2077</v>
      </c>
      <c r="L360" s="139">
        <f t="shared" ref="L360:L362" si="549">ABS(R360)+ABS(T360)+ABS(V360)</f>
        <v>5258452624570</v>
      </c>
      <c r="M360" s="140">
        <f t="shared" ref="M360:M362" si="550">Q360+S360+U360</f>
        <v>245379</v>
      </c>
      <c r="N360" s="141">
        <f t="shared" ref="N360:N362" si="551">ABS(R360)/$L360</f>
        <v>1.15845431476111E-2</v>
      </c>
      <c r="O360" s="141">
        <f t="shared" ref="O360:O362" si="552">ABS(T360)/$L360</f>
        <v>0</v>
      </c>
      <c r="P360" s="141">
        <f t="shared" ref="P360:P362" si="553">ABS(V360)/$L360</f>
        <v>0.98841545685238885</v>
      </c>
      <c r="Q360" s="140">
        <v>25</v>
      </c>
      <c r="R360" s="169">
        <v>60916771319</v>
      </c>
      <c r="S360" s="140">
        <v>0</v>
      </c>
      <c r="T360" s="139">
        <v>0</v>
      </c>
      <c r="U360" s="140">
        <v>245354</v>
      </c>
      <c r="V360" s="139">
        <v>5197535853251</v>
      </c>
    </row>
    <row r="361" spans="1:22" ht="15.95" customHeight="1" x14ac:dyDescent="0.3">
      <c r="A361" s="137">
        <v>169</v>
      </c>
      <c r="B361" s="214" t="s">
        <v>3983</v>
      </c>
      <c r="C361" s="137">
        <v>1001215105</v>
      </c>
      <c r="D361" s="137" t="s">
        <v>3423</v>
      </c>
      <c r="E361" s="137">
        <v>1684617</v>
      </c>
      <c r="F361" s="137" t="s">
        <v>3299</v>
      </c>
      <c r="G361" s="167" t="s">
        <v>3424</v>
      </c>
      <c r="H361" s="213" t="s">
        <v>3974</v>
      </c>
      <c r="I361" s="137" t="s">
        <v>2258</v>
      </c>
      <c r="J361" s="137" t="s">
        <v>2243</v>
      </c>
      <c r="K361" s="137" t="s">
        <v>2245</v>
      </c>
      <c r="L361" s="139">
        <f t="shared" si="549"/>
        <v>74191128553</v>
      </c>
      <c r="M361" s="140">
        <f t="shared" si="550"/>
        <v>12242</v>
      </c>
      <c r="N361" s="141">
        <f t="shared" si="551"/>
        <v>8.3424826575841673E-2</v>
      </c>
      <c r="O361" s="141">
        <f t="shared" si="552"/>
        <v>0.45850448693066131</v>
      </c>
      <c r="P361" s="141">
        <f t="shared" si="553"/>
        <v>0.45807068649349703</v>
      </c>
      <c r="Q361" s="140">
        <v>10</v>
      </c>
      <c r="R361" s="139">
        <v>6189382033</v>
      </c>
      <c r="S361" s="140">
        <v>603</v>
      </c>
      <c r="T361" s="139">
        <v>34016965332</v>
      </c>
      <c r="U361" s="140">
        <v>11629</v>
      </c>
      <c r="V361" s="139">
        <v>33984781188</v>
      </c>
    </row>
    <row r="362" spans="1:22" ht="15.95" customHeight="1" x14ac:dyDescent="0.3">
      <c r="A362" s="137">
        <v>169</v>
      </c>
      <c r="B362" s="214" t="s">
        <v>3983</v>
      </c>
      <c r="C362" s="137">
        <v>1001215105</v>
      </c>
      <c r="D362" s="137" t="s">
        <v>3423</v>
      </c>
      <c r="E362" s="137">
        <v>1684617</v>
      </c>
      <c r="F362" s="137" t="s">
        <v>3299</v>
      </c>
      <c r="G362" s="167" t="s">
        <v>3424</v>
      </c>
      <c r="H362" s="213" t="s">
        <v>3974</v>
      </c>
      <c r="I362" s="137" t="s">
        <v>2258</v>
      </c>
      <c r="J362" s="137" t="s">
        <v>2244</v>
      </c>
      <c r="K362" s="137" t="s">
        <v>2245</v>
      </c>
      <c r="L362" s="139">
        <f t="shared" si="549"/>
        <v>211209361610</v>
      </c>
      <c r="M362" s="140">
        <f t="shared" si="550"/>
        <v>1389</v>
      </c>
      <c r="N362" s="141">
        <f t="shared" si="551"/>
        <v>0.10544240129906049</v>
      </c>
      <c r="O362" s="141">
        <f t="shared" si="552"/>
        <v>1.8691842818453371E-2</v>
      </c>
      <c r="P362" s="141">
        <f t="shared" si="553"/>
        <v>0.87586575588248616</v>
      </c>
      <c r="Q362" s="140">
        <v>19</v>
      </c>
      <c r="R362" s="139">
        <v>22270422265</v>
      </c>
      <c r="S362" s="140">
        <v>76</v>
      </c>
      <c r="T362" s="139">
        <v>3947892189</v>
      </c>
      <c r="U362" s="140">
        <v>1294</v>
      </c>
      <c r="V362" s="139">
        <v>184991047156</v>
      </c>
    </row>
    <row r="363" spans="1:22" ht="15.95" customHeight="1" x14ac:dyDescent="0.3">
      <c r="A363" s="137">
        <v>171</v>
      </c>
      <c r="B363" s="214" t="s">
        <v>3983</v>
      </c>
      <c r="C363" s="137">
        <v>1001071556</v>
      </c>
      <c r="D363" s="137" t="s">
        <v>4068</v>
      </c>
      <c r="E363" s="137">
        <v>1688003</v>
      </c>
      <c r="F363" s="137" t="s">
        <v>3619</v>
      </c>
      <c r="G363" s="214" t="s">
        <v>4069</v>
      </c>
      <c r="H363" s="213" t="s">
        <v>3981</v>
      </c>
      <c r="I363" s="137" t="s">
        <v>2258</v>
      </c>
      <c r="J363" s="137" t="s">
        <v>2242</v>
      </c>
      <c r="K363" s="137" t="s">
        <v>2077</v>
      </c>
      <c r="L363" s="139">
        <f t="shared" ref="L363:L364" si="554">ABS(R363)+ABS(T363)+ABS(V363)</f>
        <v>12255118776430</v>
      </c>
      <c r="M363" s="140">
        <f t="shared" ref="M363:M364" si="555">Q363+S363+U363</f>
        <v>2116379</v>
      </c>
      <c r="N363" s="141">
        <f t="shared" ref="N363:N364" si="556">ABS(R363)/$L363</f>
        <v>5.7603220306416602E-3</v>
      </c>
      <c r="O363" s="141">
        <f t="shared" ref="O363:O364" si="557">ABS(T363)/$L363</f>
        <v>0</v>
      </c>
      <c r="P363" s="141">
        <f t="shared" ref="P363:P364" si="558">ABS(V363)/$L363</f>
        <v>0.9942396779693583</v>
      </c>
      <c r="Q363" s="140">
        <v>15</v>
      </c>
      <c r="R363" s="139">
        <v>70593430676</v>
      </c>
      <c r="S363" s="140">
        <v>0</v>
      </c>
      <c r="T363" s="139">
        <v>0</v>
      </c>
      <c r="U363" s="140">
        <v>2116364</v>
      </c>
      <c r="V363" s="139">
        <v>12184525345754</v>
      </c>
    </row>
    <row r="364" spans="1:22" ht="15.95" customHeight="1" x14ac:dyDescent="0.3">
      <c r="A364" s="137">
        <v>171</v>
      </c>
      <c r="B364" s="214" t="s">
        <v>3983</v>
      </c>
      <c r="C364" s="137">
        <v>1001071556</v>
      </c>
      <c r="D364" s="137" t="s">
        <v>4068</v>
      </c>
      <c r="E364" s="137">
        <v>1688003</v>
      </c>
      <c r="F364" s="137" t="s">
        <v>3619</v>
      </c>
      <c r="G364" s="214" t="s">
        <v>4069</v>
      </c>
      <c r="H364" s="213" t="s">
        <v>3981</v>
      </c>
      <c r="I364" s="137" t="s">
        <v>2258</v>
      </c>
      <c r="J364" s="137" t="s">
        <v>2244</v>
      </c>
      <c r="K364" s="137" t="s">
        <v>2245</v>
      </c>
      <c r="L364" s="139">
        <f t="shared" si="554"/>
        <v>467967349058</v>
      </c>
      <c r="M364" s="140">
        <f t="shared" si="555"/>
        <v>17838</v>
      </c>
      <c r="N364" s="141">
        <f t="shared" si="556"/>
        <v>0</v>
      </c>
      <c r="O364" s="141">
        <f t="shared" si="557"/>
        <v>4.9530400182101669E-2</v>
      </c>
      <c r="P364" s="141">
        <f t="shared" si="558"/>
        <v>0.95046959981789836</v>
      </c>
      <c r="Q364" s="140">
        <v>0</v>
      </c>
      <c r="R364" s="139">
        <v>0</v>
      </c>
      <c r="S364" s="140">
        <v>59</v>
      </c>
      <c r="T364" s="139">
        <v>23178610071</v>
      </c>
      <c r="U364" s="140">
        <v>17779</v>
      </c>
      <c r="V364" s="139">
        <v>444788738987</v>
      </c>
    </row>
    <row r="365" spans="1:22" ht="15.95" customHeight="1" x14ac:dyDescent="0.3">
      <c r="A365" s="137">
        <v>176</v>
      </c>
      <c r="B365" s="137" t="s">
        <v>2054</v>
      </c>
      <c r="C365" s="137">
        <v>1000893766</v>
      </c>
      <c r="D365" s="137" t="s">
        <v>3425</v>
      </c>
      <c r="E365" s="137">
        <v>1664317</v>
      </c>
      <c r="F365" s="137" t="s">
        <v>3300</v>
      </c>
      <c r="G365" s="167" t="s">
        <v>3426</v>
      </c>
      <c r="H365" s="137" t="s">
        <v>2056</v>
      </c>
      <c r="I365" s="137" t="s">
        <v>2258</v>
      </c>
      <c r="J365" s="137" t="s">
        <v>2242</v>
      </c>
      <c r="K365" s="137" t="s">
        <v>2077</v>
      </c>
      <c r="L365" s="139">
        <f t="shared" ref="L365:L369" si="559">ABS(R365)+ABS(T365)+ABS(V365)</f>
        <v>924613775028</v>
      </c>
      <c r="M365" s="140">
        <f t="shared" ref="M365:M369" si="560">Q365+S365+U365</f>
        <v>26191</v>
      </c>
      <c r="N365" s="141">
        <f t="shared" ref="N365:N369" si="561">ABS(R365)/$L365</f>
        <v>1.7515638083057503E-3</v>
      </c>
      <c r="O365" s="141">
        <f t="shared" ref="O365:O369" si="562">ABS(T365)/$L365</f>
        <v>0</v>
      </c>
      <c r="P365" s="141">
        <f t="shared" ref="P365:P369" si="563">ABS(V365)/$L365</f>
        <v>0.99824843619169423</v>
      </c>
      <c r="Q365" s="140">
        <v>6</v>
      </c>
      <c r="R365" s="169">
        <v>1619520025</v>
      </c>
      <c r="S365" s="140">
        <v>0</v>
      </c>
      <c r="T365" s="139">
        <v>0</v>
      </c>
      <c r="U365" s="140">
        <v>26185</v>
      </c>
      <c r="V365" s="139">
        <v>922994255003</v>
      </c>
    </row>
    <row r="366" spans="1:22" ht="15.95" customHeight="1" x14ac:dyDescent="0.3">
      <c r="A366" s="137">
        <v>176</v>
      </c>
      <c r="B366" s="137" t="s">
        <v>2054</v>
      </c>
      <c r="C366" s="137">
        <v>1000893766</v>
      </c>
      <c r="D366" s="137" t="s">
        <v>3425</v>
      </c>
      <c r="E366" s="137">
        <v>1664317</v>
      </c>
      <c r="F366" s="137" t="s">
        <v>3300</v>
      </c>
      <c r="G366" s="167" t="s">
        <v>3426</v>
      </c>
      <c r="H366" s="137" t="s">
        <v>2056</v>
      </c>
      <c r="I366" s="137" t="s">
        <v>2258</v>
      </c>
      <c r="J366" s="137" t="s">
        <v>2244</v>
      </c>
      <c r="K366" s="137" t="s">
        <v>2245</v>
      </c>
      <c r="L366" s="139">
        <f t="shared" si="559"/>
        <v>55295052219</v>
      </c>
      <c r="M366" s="140">
        <f t="shared" si="560"/>
        <v>7280</v>
      </c>
      <c r="N366" s="141">
        <f t="shared" si="561"/>
        <v>0</v>
      </c>
      <c r="O366" s="141">
        <f t="shared" si="562"/>
        <v>7.1901062399826789E-5</v>
      </c>
      <c r="P366" s="141">
        <f t="shared" si="563"/>
        <v>0.99992809893760015</v>
      </c>
      <c r="Q366" s="140">
        <v>0</v>
      </c>
      <c r="R366" s="139">
        <v>0</v>
      </c>
      <c r="S366" s="140">
        <v>11</v>
      </c>
      <c r="T366" s="139">
        <v>3975773</v>
      </c>
      <c r="U366" s="140">
        <v>7269</v>
      </c>
      <c r="V366" s="139">
        <v>55291076446</v>
      </c>
    </row>
    <row r="367" spans="1:22" ht="15.95" customHeight="1" x14ac:dyDescent="0.3">
      <c r="A367" s="137">
        <v>179</v>
      </c>
      <c r="B367" s="137" t="s">
        <v>2054</v>
      </c>
      <c r="C367" s="137">
        <v>1001453066</v>
      </c>
      <c r="D367" s="137" t="s">
        <v>3427</v>
      </c>
      <c r="E367" s="137">
        <v>1662133</v>
      </c>
      <c r="F367" s="137" t="s">
        <v>3301</v>
      </c>
      <c r="G367" s="167" t="s">
        <v>3428</v>
      </c>
      <c r="H367" s="137" t="s">
        <v>2056</v>
      </c>
      <c r="I367" s="137" t="s">
        <v>2258</v>
      </c>
      <c r="J367" s="137" t="s">
        <v>2242</v>
      </c>
      <c r="K367" s="137" t="s">
        <v>2077</v>
      </c>
      <c r="L367" s="139">
        <f t="shared" si="559"/>
        <v>1333635321538</v>
      </c>
      <c r="M367" s="140">
        <f t="shared" si="560"/>
        <v>19207</v>
      </c>
      <c r="N367" s="141">
        <f t="shared" si="561"/>
        <v>1.6044258317426634E-4</v>
      </c>
      <c r="O367" s="141">
        <f t="shared" si="562"/>
        <v>0</v>
      </c>
      <c r="P367" s="141">
        <f t="shared" si="563"/>
        <v>0.99983955741682573</v>
      </c>
      <c r="Q367" s="140">
        <v>3</v>
      </c>
      <c r="R367" s="139">
        <v>-213971896</v>
      </c>
      <c r="S367" s="140">
        <v>0</v>
      </c>
      <c r="T367" s="139">
        <v>0</v>
      </c>
      <c r="U367" s="140">
        <v>19204</v>
      </c>
      <c r="V367" s="139">
        <v>1333421349642</v>
      </c>
    </row>
    <row r="368" spans="1:22" ht="15.95" customHeight="1" x14ac:dyDescent="0.3">
      <c r="A368" s="137">
        <v>179</v>
      </c>
      <c r="B368" s="137" t="s">
        <v>2054</v>
      </c>
      <c r="C368" s="137">
        <v>1001453066</v>
      </c>
      <c r="D368" s="137" t="s">
        <v>3427</v>
      </c>
      <c r="E368" s="137">
        <v>1662133</v>
      </c>
      <c r="F368" s="137" t="s">
        <v>3301</v>
      </c>
      <c r="G368" s="167" t="s">
        <v>3428</v>
      </c>
      <c r="H368" s="137" t="s">
        <v>2056</v>
      </c>
      <c r="I368" s="137" t="s">
        <v>2258</v>
      </c>
      <c r="J368" s="137" t="s">
        <v>2243</v>
      </c>
      <c r="K368" s="137" t="s">
        <v>2245</v>
      </c>
      <c r="L368" s="139">
        <f t="shared" si="559"/>
        <v>3829430203</v>
      </c>
      <c r="M368" s="140">
        <f t="shared" si="560"/>
        <v>714</v>
      </c>
      <c r="N368" s="141">
        <f t="shared" si="561"/>
        <v>0</v>
      </c>
      <c r="O368" s="141">
        <f t="shared" si="562"/>
        <v>0.4458351899618106</v>
      </c>
      <c r="P368" s="141">
        <f t="shared" si="563"/>
        <v>0.5541648100381894</v>
      </c>
      <c r="Q368" s="140">
        <v>0</v>
      </c>
      <c r="R368" s="139">
        <v>0</v>
      </c>
      <c r="S368" s="140">
        <v>24</v>
      </c>
      <c r="T368" s="139">
        <v>1707294742</v>
      </c>
      <c r="U368" s="140">
        <v>690</v>
      </c>
      <c r="V368" s="139">
        <v>2122135461</v>
      </c>
    </row>
    <row r="369" spans="1:22" ht="15.95" customHeight="1" x14ac:dyDescent="0.3">
      <c r="A369" s="137">
        <v>179</v>
      </c>
      <c r="B369" s="137" t="s">
        <v>2054</v>
      </c>
      <c r="C369" s="137">
        <v>1001453066</v>
      </c>
      <c r="D369" s="137" t="s">
        <v>3427</v>
      </c>
      <c r="E369" s="137">
        <v>1662133</v>
      </c>
      <c r="F369" s="137" t="s">
        <v>3301</v>
      </c>
      <c r="G369" s="167" t="s">
        <v>3428</v>
      </c>
      <c r="H369" s="137" t="s">
        <v>2056</v>
      </c>
      <c r="I369" s="137" t="s">
        <v>2258</v>
      </c>
      <c r="J369" s="137" t="s">
        <v>2244</v>
      </c>
      <c r="K369" s="137" t="s">
        <v>2245</v>
      </c>
      <c r="L369" s="139">
        <f t="shared" si="559"/>
        <v>52579036778</v>
      </c>
      <c r="M369" s="140">
        <f t="shared" si="560"/>
        <v>995</v>
      </c>
      <c r="N369" s="141">
        <f t="shared" si="561"/>
        <v>0</v>
      </c>
      <c r="O369" s="141">
        <f t="shared" si="562"/>
        <v>7.9195992455729269E-5</v>
      </c>
      <c r="P369" s="141">
        <f t="shared" si="563"/>
        <v>0.99992080400754424</v>
      </c>
      <c r="Q369" s="140">
        <v>0</v>
      </c>
      <c r="R369" s="139">
        <v>0</v>
      </c>
      <c r="S369" s="140">
        <v>1</v>
      </c>
      <c r="T369" s="139">
        <v>4164049</v>
      </c>
      <c r="U369" s="140">
        <v>994</v>
      </c>
      <c r="V369" s="139">
        <v>52574872729</v>
      </c>
    </row>
    <row r="370" spans="1:22" ht="15.95" customHeight="1" x14ac:dyDescent="0.3">
      <c r="A370" s="137">
        <v>180</v>
      </c>
      <c r="B370" s="137" t="s">
        <v>2054</v>
      </c>
      <c r="C370" s="137">
        <v>1001313105</v>
      </c>
      <c r="D370" s="137" t="s">
        <v>3429</v>
      </c>
      <c r="E370" s="137">
        <v>1663370</v>
      </c>
      <c r="F370" s="137" t="s">
        <v>3302</v>
      </c>
      <c r="G370" s="167" t="s">
        <v>3430</v>
      </c>
      <c r="H370" s="137" t="s">
        <v>2056</v>
      </c>
      <c r="I370" s="137" t="s">
        <v>2258</v>
      </c>
      <c r="J370" s="137" t="s">
        <v>2242</v>
      </c>
      <c r="K370" s="137" t="s">
        <v>2077</v>
      </c>
      <c r="L370" s="139">
        <f t="shared" ref="L370:L384" si="564">ABS(R370)+ABS(T370)+ABS(V370)</f>
        <v>8065371038</v>
      </c>
      <c r="M370" s="140">
        <f t="shared" ref="M370:M384" si="565">Q370+S370+U370</f>
        <v>49415</v>
      </c>
      <c r="N370" s="141">
        <f t="shared" ref="N370:N384" si="566">ABS(R370)/$L370</f>
        <v>0.5</v>
      </c>
      <c r="O370" s="141">
        <f t="shared" ref="O370:O384" si="567">ABS(T370)/$L370</f>
        <v>0</v>
      </c>
      <c r="P370" s="141">
        <f t="shared" ref="P370:P384" si="568">ABS(V370)/$L370</f>
        <v>0.5</v>
      </c>
      <c r="Q370" s="140">
        <v>3</v>
      </c>
      <c r="R370" s="139">
        <v>4032685519</v>
      </c>
      <c r="S370" s="140">
        <v>0</v>
      </c>
      <c r="T370" s="139">
        <v>0</v>
      </c>
      <c r="U370" s="140">
        <v>49412</v>
      </c>
      <c r="V370" s="139">
        <v>-4032685519</v>
      </c>
    </row>
    <row r="371" spans="1:22" ht="15.95" customHeight="1" x14ac:dyDescent="0.3">
      <c r="A371" s="137">
        <v>180</v>
      </c>
      <c r="B371" s="137" t="s">
        <v>2054</v>
      </c>
      <c r="C371" s="137">
        <v>1001313105</v>
      </c>
      <c r="D371" s="137" t="s">
        <v>3429</v>
      </c>
      <c r="E371" s="137">
        <v>1663370</v>
      </c>
      <c r="F371" s="137" t="s">
        <v>3302</v>
      </c>
      <c r="G371" s="167" t="s">
        <v>3430</v>
      </c>
      <c r="H371" s="137" t="s">
        <v>2056</v>
      </c>
      <c r="I371" s="137" t="s">
        <v>2258</v>
      </c>
      <c r="J371" s="137" t="s">
        <v>2244</v>
      </c>
      <c r="K371" s="137" t="s">
        <v>2245</v>
      </c>
      <c r="L371" s="139">
        <f t="shared" si="564"/>
        <v>51220219694</v>
      </c>
      <c r="M371" s="140">
        <f t="shared" si="565"/>
        <v>323</v>
      </c>
      <c r="N371" s="141">
        <f t="shared" si="566"/>
        <v>0</v>
      </c>
      <c r="O371" s="141">
        <f t="shared" si="567"/>
        <v>0.17893024133345492</v>
      </c>
      <c r="P371" s="141">
        <f t="shared" si="568"/>
        <v>0.82106975866654508</v>
      </c>
      <c r="Q371" s="140">
        <v>0</v>
      </c>
      <c r="R371" s="139">
        <v>0</v>
      </c>
      <c r="S371" s="140">
        <v>14</v>
      </c>
      <c r="T371" s="139">
        <v>9164846271</v>
      </c>
      <c r="U371" s="140">
        <v>309</v>
      </c>
      <c r="V371" s="139">
        <v>-42055373423</v>
      </c>
    </row>
    <row r="372" spans="1:22" ht="15.95" customHeight="1" x14ac:dyDescent="0.3">
      <c r="A372" s="137">
        <v>182</v>
      </c>
      <c r="B372" s="214" t="s">
        <v>3333</v>
      </c>
      <c r="C372" s="137">
        <v>1000670005</v>
      </c>
      <c r="D372" s="137" t="s">
        <v>4070</v>
      </c>
      <c r="E372" s="137">
        <v>1683461</v>
      </c>
      <c r="F372" s="137" t="s">
        <v>3303</v>
      </c>
      <c r="G372" s="214" t="s">
        <v>4071</v>
      </c>
      <c r="H372" s="137" t="s">
        <v>3334</v>
      </c>
      <c r="I372" s="137" t="s">
        <v>2258</v>
      </c>
      <c r="J372" s="137" t="s">
        <v>2242</v>
      </c>
      <c r="K372" s="137" t="s">
        <v>2077</v>
      </c>
      <c r="L372" s="139">
        <f t="shared" ref="L372:L374" si="569">ABS(R372)+ABS(T372)+ABS(V372)</f>
        <v>900646477488</v>
      </c>
      <c r="M372" s="140">
        <f t="shared" ref="M372:M374" si="570">Q372+S372+U372</f>
        <v>37044</v>
      </c>
      <c r="N372" s="141">
        <f t="shared" ref="N372:N374" si="571">ABS(R372)/$L372</f>
        <v>8.8622688444438477E-2</v>
      </c>
      <c r="O372" s="141">
        <f t="shared" ref="O372:O374" si="572">ABS(T372)/$L372</f>
        <v>0</v>
      </c>
      <c r="P372" s="141">
        <f t="shared" ref="P372:P374" si="573">ABS(V372)/$L372</f>
        <v>0.91137731155556156</v>
      </c>
      <c r="Q372" s="140">
        <v>7</v>
      </c>
      <c r="R372" s="139">
        <v>79817712173</v>
      </c>
      <c r="S372" s="140">
        <v>0</v>
      </c>
      <c r="T372" s="139">
        <v>0</v>
      </c>
      <c r="U372" s="140">
        <v>37037</v>
      </c>
      <c r="V372" s="139">
        <v>820828765315</v>
      </c>
    </row>
    <row r="373" spans="1:22" ht="15.95" customHeight="1" x14ac:dyDescent="0.3">
      <c r="A373" s="137">
        <v>182</v>
      </c>
      <c r="B373" s="214" t="s">
        <v>3333</v>
      </c>
      <c r="C373" s="137">
        <v>1000670005</v>
      </c>
      <c r="D373" s="137" t="s">
        <v>4070</v>
      </c>
      <c r="E373" s="137">
        <v>1683461</v>
      </c>
      <c r="F373" s="137" t="s">
        <v>3303</v>
      </c>
      <c r="G373" s="214" t="s">
        <v>4071</v>
      </c>
      <c r="H373" s="137" t="s">
        <v>3334</v>
      </c>
      <c r="I373" s="137" t="s">
        <v>2258</v>
      </c>
      <c r="J373" s="137" t="s">
        <v>2243</v>
      </c>
      <c r="K373" s="137" t="s">
        <v>2245</v>
      </c>
      <c r="L373" s="139">
        <f t="shared" si="569"/>
        <v>35919063720</v>
      </c>
      <c r="M373" s="140">
        <f t="shared" si="570"/>
        <v>8472</v>
      </c>
      <c r="N373" s="141">
        <f t="shared" si="571"/>
        <v>3.3035253626037442E-3</v>
      </c>
      <c r="O373" s="141">
        <f t="shared" si="572"/>
        <v>9.9933739364184079E-2</v>
      </c>
      <c r="P373" s="141">
        <f t="shared" si="573"/>
        <v>0.89676273527321215</v>
      </c>
      <c r="Q373" s="140">
        <v>4</v>
      </c>
      <c r="R373" s="139">
        <v>118659538</v>
      </c>
      <c r="S373" s="140">
        <v>197</v>
      </c>
      <c r="T373" s="139">
        <v>3589526352</v>
      </c>
      <c r="U373" s="140">
        <v>8271</v>
      </c>
      <c r="V373" s="139">
        <v>32210877830</v>
      </c>
    </row>
    <row r="374" spans="1:22" ht="15.95" customHeight="1" x14ac:dyDescent="0.3">
      <c r="A374" s="137">
        <v>182</v>
      </c>
      <c r="B374" s="214" t="s">
        <v>3333</v>
      </c>
      <c r="C374" s="137">
        <v>1000670005</v>
      </c>
      <c r="D374" s="137" t="s">
        <v>4070</v>
      </c>
      <c r="E374" s="137">
        <v>1683461</v>
      </c>
      <c r="F374" s="137" t="s">
        <v>3303</v>
      </c>
      <c r="G374" s="214" t="s">
        <v>4071</v>
      </c>
      <c r="H374" s="137" t="s">
        <v>3334</v>
      </c>
      <c r="I374" s="137" t="s">
        <v>2258</v>
      </c>
      <c r="J374" s="137" t="s">
        <v>2244</v>
      </c>
      <c r="K374" s="137" t="s">
        <v>2245</v>
      </c>
      <c r="L374" s="139">
        <f t="shared" si="569"/>
        <v>58426930421</v>
      </c>
      <c r="M374" s="140">
        <f t="shared" si="570"/>
        <v>4672</v>
      </c>
      <c r="N374" s="141">
        <f t="shared" si="571"/>
        <v>7.8962931763770679E-3</v>
      </c>
      <c r="O374" s="141">
        <f t="shared" si="572"/>
        <v>6.6834450960587793E-2</v>
      </c>
      <c r="P374" s="141">
        <f t="shared" si="573"/>
        <v>0.9252692558630351</v>
      </c>
      <c r="Q374" s="140">
        <v>7</v>
      </c>
      <c r="R374" s="139">
        <v>461356172</v>
      </c>
      <c r="S374" s="140">
        <v>78</v>
      </c>
      <c r="T374" s="139">
        <v>3904931816</v>
      </c>
      <c r="U374" s="140">
        <v>4587</v>
      </c>
      <c r="V374" s="139">
        <v>54060642433</v>
      </c>
    </row>
    <row r="375" spans="1:22" ht="15.95" customHeight="1" x14ac:dyDescent="0.3">
      <c r="A375" s="137">
        <v>184</v>
      </c>
      <c r="B375" s="214" t="s">
        <v>3333</v>
      </c>
      <c r="C375" s="137">
        <v>1001231251</v>
      </c>
      <c r="D375" s="137" t="s">
        <v>4072</v>
      </c>
      <c r="E375" s="137">
        <v>1684341</v>
      </c>
      <c r="F375" s="137" t="s">
        <v>3620</v>
      </c>
      <c r="G375" s="214" t="s">
        <v>4073</v>
      </c>
      <c r="H375" s="137" t="s">
        <v>3334</v>
      </c>
      <c r="I375" s="137" t="s">
        <v>2258</v>
      </c>
      <c r="J375" s="137" t="s">
        <v>2242</v>
      </c>
      <c r="K375" s="137" t="s">
        <v>2077</v>
      </c>
      <c r="L375" s="139">
        <f t="shared" ref="L375:L377" si="574">ABS(R375)+ABS(T375)+ABS(V375)</f>
        <v>3662074494114</v>
      </c>
      <c r="M375" s="140">
        <f t="shared" ref="M375:M377" si="575">Q375+S375+U375</f>
        <v>98929</v>
      </c>
      <c r="N375" s="141">
        <f t="shared" ref="N375:N377" si="576">ABS(R375)/$L375</f>
        <v>4.0750072456978939E-2</v>
      </c>
      <c r="O375" s="141">
        <f t="shared" ref="O375:O377" si="577">ABS(T375)/$L375</f>
        <v>0</v>
      </c>
      <c r="P375" s="141">
        <f t="shared" ref="P375:P377" si="578">ABS(V375)/$L375</f>
        <v>0.95924992754302107</v>
      </c>
      <c r="Q375" s="140">
        <v>13</v>
      </c>
      <c r="R375" s="139">
        <v>149229800978</v>
      </c>
      <c r="S375" s="140">
        <v>0</v>
      </c>
      <c r="T375" s="139">
        <v>0</v>
      </c>
      <c r="U375" s="140">
        <v>98916</v>
      </c>
      <c r="V375" s="139">
        <v>3512844693136</v>
      </c>
    </row>
    <row r="376" spans="1:22" ht="15.95" customHeight="1" x14ac:dyDescent="0.3">
      <c r="A376" s="137">
        <v>184</v>
      </c>
      <c r="B376" s="214" t="s">
        <v>3333</v>
      </c>
      <c r="C376" s="137">
        <v>1001231251</v>
      </c>
      <c r="D376" s="137" t="s">
        <v>4072</v>
      </c>
      <c r="E376" s="137">
        <v>1684341</v>
      </c>
      <c r="F376" s="137" t="s">
        <v>3620</v>
      </c>
      <c r="G376" s="214" t="s">
        <v>4073</v>
      </c>
      <c r="H376" s="137" t="s">
        <v>3334</v>
      </c>
      <c r="I376" s="137" t="s">
        <v>2258</v>
      </c>
      <c r="J376" s="137" t="s">
        <v>2243</v>
      </c>
      <c r="K376" s="137" t="s">
        <v>2245</v>
      </c>
      <c r="L376" s="139">
        <f t="shared" si="574"/>
        <v>12868535548</v>
      </c>
      <c r="M376" s="140">
        <f t="shared" si="575"/>
        <v>4547</v>
      </c>
      <c r="N376" s="141">
        <f t="shared" si="576"/>
        <v>4.7744360475849852E-2</v>
      </c>
      <c r="O376" s="141">
        <f t="shared" si="577"/>
        <v>0.21996394154111248</v>
      </c>
      <c r="P376" s="141">
        <f t="shared" si="578"/>
        <v>0.73229169798303761</v>
      </c>
      <c r="Q376" s="140">
        <v>2</v>
      </c>
      <c r="R376" s="139">
        <v>614400000</v>
      </c>
      <c r="S376" s="140">
        <v>91</v>
      </c>
      <c r="T376" s="139">
        <v>2830613801</v>
      </c>
      <c r="U376" s="140">
        <v>4454</v>
      </c>
      <c r="V376" s="139">
        <v>9423521747</v>
      </c>
    </row>
    <row r="377" spans="1:22" ht="15.95" customHeight="1" x14ac:dyDescent="0.3">
      <c r="A377" s="137">
        <v>184</v>
      </c>
      <c r="B377" s="214" t="s">
        <v>3333</v>
      </c>
      <c r="C377" s="137">
        <v>1001231251</v>
      </c>
      <c r="D377" s="137" t="s">
        <v>4072</v>
      </c>
      <c r="E377" s="137">
        <v>1684341</v>
      </c>
      <c r="F377" s="137" t="s">
        <v>3620</v>
      </c>
      <c r="G377" s="214" t="s">
        <v>4073</v>
      </c>
      <c r="H377" s="137" t="s">
        <v>3334</v>
      </c>
      <c r="I377" s="137" t="s">
        <v>2258</v>
      </c>
      <c r="J377" s="137" t="s">
        <v>2244</v>
      </c>
      <c r="K377" s="137" t="s">
        <v>2245</v>
      </c>
      <c r="L377" s="139">
        <f t="shared" si="574"/>
        <v>146846615121</v>
      </c>
      <c r="M377" s="140">
        <f t="shared" si="575"/>
        <v>2936</v>
      </c>
      <c r="N377" s="141">
        <f t="shared" si="576"/>
        <v>6.5521237401842264E-2</v>
      </c>
      <c r="O377" s="141">
        <f t="shared" si="577"/>
        <v>8.6871821658868406E-2</v>
      </c>
      <c r="P377" s="141">
        <f t="shared" si="578"/>
        <v>0.84760694093928934</v>
      </c>
      <c r="Q377" s="140">
        <v>17</v>
      </c>
      <c r="R377" s="139">
        <v>9621571931</v>
      </c>
      <c r="S377" s="140">
        <v>168</v>
      </c>
      <c r="T377" s="139">
        <v>12756832960</v>
      </c>
      <c r="U377" s="140">
        <v>2751</v>
      </c>
      <c r="V377" s="139">
        <v>124468210230</v>
      </c>
    </row>
    <row r="378" spans="1:22" ht="15.95" customHeight="1" x14ac:dyDescent="0.3">
      <c r="A378" s="137">
        <v>184</v>
      </c>
      <c r="B378" s="214" t="s">
        <v>4050</v>
      </c>
      <c r="C378" s="137">
        <v>1001231251</v>
      </c>
      <c r="D378" s="137" t="s">
        <v>4072</v>
      </c>
      <c r="E378" s="137">
        <v>1684341</v>
      </c>
      <c r="F378" s="137" t="s">
        <v>3620</v>
      </c>
      <c r="G378" s="214" t="s">
        <v>4074</v>
      </c>
      <c r="H378" s="214" t="s">
        <v>3970</v>
      </c>
      <c r="I378" s="137" t="s">
        <v>2258</v>
      </c>
      <c r="J378" s="137" t="s">
        <v>2242</v>
      </c>
      <c r="K378" s="137" t="s">
        <v>2077</v>
      </c>
      <c r="L378" s="139">
        <f t="shared" ref="L378:L380" si="579">ABS(R378)+ABS(T378)+ABS(V378)</f>
        <v>1245635514606</v>
      </c>
      <c r="M378" s="140">
        <f t="shared" ref="M378:M380" si="580">Q378+S378+U378</f>
        <v>36047</v>
      </c>
      <c r="N378" s="141">
        <f t="shared" ref="N378:N380" si="581">ABS(R378)/$L378</f>
        <v>4.0847979266305762E-2</v>
      </c>
      <c r="O378" s="141">
        <f t="shared" ref="O378:O380" si="582">ABS(T378)/$L378</f>
        <v>0</v>
      </c>
      <c r="P378" s="141">
        <f t="shared" ref="P378:P380" si="583">ABS(V378)/$L378</f>
        <v>0.95915202073369421</v>
      </c>
      <c r="Q378" s="140">
        <v>10</v>
      </c>
      <c r="R378" s="139">
        <v>50881693674</v>
      </c>
      <c r="S378" s="140">
        <v>0</v>
      </c>
      <c r="T378" s="139">
        <v>0</v>
      </c>
      <c r="U378" s="140">
        <v>36037</v>
      </c>
      <c r="V378" s="216">
        <v>1194753820932</v>
      </c>
    </row>
    <row r="379" spans="1:22" ht="15.95" customHeight="1" x14ac:dyDescent="0.3">
      <c r="A379" s="137">
        <v>184</v>
      </c>
      <c r="B379" s="214" t="s">
        <v>4050</v>
      </c>
      <c r="C379" s="137">
        <v>1001231251</v>
      </c>
      <c r="D379" s="137" t="s">
        <v>4072</v>
      </c>
      <c r="E379" s="137">
        <v>1684341</v>
      </c>
      <c r="F379" s="137" t="s">
        <v>3620</v>
      </c>
      <c r="G379" s="214" t="s">
        <v>4074</v>
      </c>
      <c r="H379" s="214" t="s">
        <v>3970</v>
      </c>
      <c r="I379" s="137" t="s">
        <v>2258</v>
      </c>
      <c r="J379" s="137" t="s">
        <v>2243</v>
      </c>
      <c r="K379" s="137" t="s">
        <v>2245</v>
      </c>
      <c r="L379" s="139">
        <f t="shared" si="579"/>
        <v>6372233261</v>
      </c>
      <c r="M379" s="140">
        <f t="shared" si="580"/>
        <v>1457</v>
      </c>
      <c r="N379" s="141">
        <f t="shared" si="581"/>
        <v>8.3455042874018234E-4</v>
      </c>
      <c r="O379" s="141">
        <f t="shared" si="582"/>
        <v>0.42699191453845303</v>
      </c>
      <c r="P379" s="141">
        <f t="shared" si="583"/>
        <v>0.57217353503280677</v>
      </c>
      <c r="Q379" s="140">
        <v>1</v>
      </c>
      <c r="R379" s="139">
        <v>5317950</v>
      </c>
      <c r="S379" s="140">
        <v>29</v>
      </c>
      <c r="T379" s="139">
        <v>2720892080</v>
      </c>
      <c r="U379" s="140">
        <v>1427</v>
      </c>
      <c r="V379" s="139">
        <v>3646023231</v>
      </c>
    </row>
    <row r="380" spans="1:22" ht="15.95" customHeight="1" x14ac:dyDescent="0.3">
      <c r="A380" s="137">
        <v>184</v>
      </c>
      <c r="B380" s="214" t="s">
        <v>4050</v>
      </c>
      <c r="C380" s="137">
        <v>1001231251</v>
      </c>
      <c r="D380" s="137" t="s">
        <v>4072</v>
      </c>
      <c r="E380" s="137">
        <v>1684341</v>
      </c>
      <c r="F380" s="137" t="s">
        <v>3620</v>
      </c>
      <c r="G380" s="214" t="s">
        <v>4074</v>
      </c>
      <c r="H380" s="214" t="s">
        <v>3970</v>
      </c>
      <c r="I380" s="137" t="s">
        <v>2258</v>
      </c>
      <c r="J380" s="137" t="s">
        <v>2244</v>
      </c>
      <c r="K380" s="137" t="s">
        <v>2245</v>
      </c>
      <c r="L380" s="139">
        <f t="shared" si="579"/>
        <v>41244735561</v>
      </c>
      <c r="M380" s="140">
        <f t="shared" si="580"/>
        <v>911</v>
      </c>
      <c r="N380" s="141">
        <f t="shared" si="581"/>
        <v>0.19037625527716254</v>
      </c>
      <c r="O380" s="141">
        <f t="shared" si="582"/>
        <v>6.8967528953919E-2</v>
      </c>
      <c r="P380" s="141">
        <f t="shared" si="583"/>
        <v>0.74065621576891849</v>
      </c>
      <c r="Q380" s="140">
        <v>7</v>
      </c>
      <c r="R380" s="139">
        <v>7852018306</v>
      </c>
      <c r="S380" s="140">
        <v>42</v>
      </c>
      <c r="T380" s="139">
        <v>2844547494</v>
      </c>
      <c r="U380" s="140">
        <v>862</v>
      </c>
      <c r="V380" s="139">
        <v>30548169761</v>
      </c>
    </row>
    <row r="381" spans="1:22" ht="15.95" customHeight="1" x14ac:dyDescent="0.3">
      <c r="A381" s="137">
        <v>185</v>
      </c>
      <c r="B381" s="214" t="s">
        <v>4050</v>
      </c>
      <c r="C381" s="137">
        <v>1000502103</v>
      </c>
      <c r="D381" s="137" t="s">
        <v>4075</v>
      </c>
      <c r="E381" s="137">
        <v>1688359</v>
      </c>
      <c r="F381" s="137" t="s">
        <v>3621</v>
      </c>
      <c r="G381" s="214" t="s">
        <v>4076</v>
      </c>
      <c r="H381" s="213" t="s">
        <v>3981</v>
      </c>
      <c r="I381" s="137" t="s">
        <v>2258</v>
      </c>
      <c r="J381" s="167" t="s">
        <v>2111</v>
      </c>
      <c r="K381" s="137" t="s">
        <v>2245</v>
      </c>
      <c r="L381" s="139">
        <f t="shared" ref="L381:L382" si="584">ABS(R381)+ABS(T381)+ABS(V381)</f>
        <v>27007797420198</v>
      </c>
      <c r="M381" s="140">
        <f t="shared" ref="M381:M382" si="585">Q381+S381+U381</f>
        <v>22150</v>
      </c>
      <c r="N381" s="141">
        <f t="shared" ref="N381:N382" si="586">ABS(R381)/$L381</f>
        <v>5.2555628019798515E-3</v>
      </c>
      <c r="O381" s="141">
        <f t="shared" ref="O381:O382" si="587">ABS(T381)/$L381</f>
        <v>0.5276018984038845</v>
      </c>
      <c r="P381" s="141">
        <f t="shared" ref="P381:P382" si="588">ABS(V381)/$L381</f>
        <v>0.46714253879413564</v>
      </c>
      <c r="Q381" s="140">
        <v>17</v>
      </c>
      <c r="R381" s="139">
        <v>141941175485</v>
      </c>
      <c r="S381" s="140">
        <v>1221</v>
      </c>
      <c r="T381" s="139">
        <v>14249365190604</v>
      </c>
      <c r="U381" s="140">
        <v>20912</v>
      </c>
      <c r="V381" s="139">
        <v>12616491054109</v>
      </c>
    </row>
    <row r="382" spans="1:22" ht="15.95" customHeight="1" x14ac:dyDescent="0.3">
      <c r="A382" s="137">
        <v>185</v>
      </c>
      <c r="B382" s="214" t="s">
        <v>4050</v>
      </c>
      <c r="C382" s="137">
        <v>1000502103</v>
      </c>
      <c r="D382" s="137" t="s">
        <v>4075</v>
      </c>
      <c r="E382" s="137">
        <v>1688359</v>
      </c>
      <c r="F382" s="137" t="s">
        <v>3621</v>
      </c>
      <c r="G382" s="214" t="s">
        <v>4076</v>
      </c>
      <c r="H382" s="213" t="s">
        <v>3981</v>
      </c>
      <c r="I382" s="137" t="s">
        <v>2258</v>
      </c>
      <c r="J382" s="137" t="s">
        <v>2242</v>
      </c>
      <c r="K382" s="137" t="s">
        <v>2077</v>
      </c>
      <c r="L382" s="139">
        <f t="shared" si="584"/>
        <v>127516971918190</v>
      </c>
      <c r="M382" s="140">
        <f t="shared" si="585"/>
        <v>195636</v>
      </c>
      <c r="N382" s="141">
        <f t="shared" si="586"/>
        <v>4.1144021702193434E-4</v>
      </c>
      <c r="O382" s="141">
        <f t="shared" si="587"/>
        <v>0</v>
      </c>
      <c r="P382" s="141">
        <f t="shared" si="588"/>
        <v>0.99958855978297811</v>
      </c>
      <c r="Q382" s="140">
        <v>19</v>
      </c>
      <c r="R382" s="139">
        <v>52465610600</v>
      </c>
      <c r="S382" s="140">
        <v>0</v>
      </c>
      <c r="T382" s="139">
        <v>0</v>
      </c>
      <c r="U382" s="140">
        <v>195617</v>
      </c>
      <c r="V382" s="139">
        <v>127464506307590</v>
      </c>
    </row>
    <row r="383" spans="1:22" ht="15.95" customHeight="1" x14ac:dyDescent="0.3">
      <c r="A383" s="137">
        <v>187</v>
      </c>
      <c r="B383" s="137" t="s">
        <v>2054</v>
      </c>
      <c r="C383" s="137">
        <v>1000581257</v>
      </c>
      <c r="D383" s="137" t="s">
        <v>3431</v>
      </c>
      <c r="E383" s="137">
        <v>1657604</v>
      </c>
      <c r="F383" s="137" t="s">
        <v>3304</v>
      </c>
      <c r="G383" s="167" t="s">
        <v>3432</v>
      </c>
      <c r="H383" s="137" t="s">
        <v>2056</v>
      </c>
      <c r="I383" s="137" t="s">
        <v>2258</v>
      </c>
      <c r="J383" s="167" t="s">
        <v>2111</v>
      </c>
      <c r="K383" s="137" t="s">
        <v>2245</v>
      </c>
      <c r="L383" s="139">
        <f t="shared" si="564"/>
        <v>6453409196</v>
      </c>
      <c r="M383" s="140">
        <f t="shared" si="565"/>
        <v>1022</v>
      </c>
      <c r="N383" s="141">
        <f t="shared" si="566"/>
        <v>0</v>
      </c>
      <c r="O383" s="141">
        <f t="shared" si="567"/>
        <v>0.31994430483034875</v>
      </c>
      <c r="P383" s="141">
        <f t="shared" si="568"/>
        <v>0.68005569516965125</v>
      </c>
      <c r="Q383" s="140">
        <v>0</v>
      </c>
      <c r="R383" s="139">
        <v>0</v>
      </c>
      <c r="S383" s="140">
        <v>50</v>
      </c>
      <c r="T383" s="139">
        <v>2064731519</v>
      </c>
      <c r="U383" s="140">
        <v>972</v>
      </c>
      <c r="V383" s="139">
        <v>4388677677</v>
      </c>
    </row>
    <row r="384" spans="1:22" ht="15.95" customHeight="1" x14ac:dyDescent="0.3">
      <c r="A384" s="137">
        <v>187</v>
      </c>
      <c r="B384" s="137" t="s">
        <v>2054</v>
      </c>
      <c r="C384" s="137">
        <v>1000581257</v>
      </c>
      <c r="D384" s="137" t="s">
        <v>3431</v>
      </c>
      <c r="E384" s="137">
        <v>1657604</v>
      </c>
      <c r="F384" s="137" t="s">
        <v>3304</v>
      </c>
      <c r="G384" s="167" t="s">
        <v>3432</v>
      </c>
      <c r="H384" s="137" t="s">
        <v>2056</v>
      </c>
      <c r="I384" s="137" t="s">
        <v>2258</v>
      </c>
      <c r="J384" s="137" t="s">
        <v>2047</v>
      </c>
      <c r="K384" s="137" t="s">
        <v>2077</v>
      </c>
      <c r="L384" s="139">
        <f t="shared" si="564"/>
        <v>539327378658</v>
      </c>
      <c r="M384" s="140">
        <f t="shared" si="565"/>
        <v>35208</v>
      </c>
      <c r="N384" s="141">
        <f t="shared" si="566"/>
        <v>0</v>
      </c>
      <c r="O384" s="141">
        <f t="shared" si="567"/>
        <v>0</v>
      </c>
      <c r="P384" s="141">
        <f t="shared" si="568"/>
        <v>1</v>
      </c>
      <c r="Q384" s="140">
        <v>0</v>
      </c>
      <c r="R384" s="139">
        <v>0</v>
      </c>
      <c r="S384" s="140">
        <v>0</v>
      </c>
      <c r="T384" s="139">
        <v>0</v>
      </c>
      <c r="U384" s="140">
        <v>35208</v>
      </c>
      <c r="V384" s="139">
        <v>539327378658</v>
      </c>
    </row>
    <row r="385" spans="1:22" ht="15.95" customHeight="1" x14ac:dyDescent="0.3">
      <c r="A385" s="137">
        <v>187</v>
      </c>
      <c r="B385" s="137" t="s">
        <v>2054</v>
      </c>
      <c r="C385" s="137">
        <v>1000581257</v>
      </c>
      <c r="D385" s="137" t="s">
        <v>3431</v>
      </c>
      <c r="E385" s="137">
        <v>1657604</v>
      </c>
      <c r="F385" s="137" t="s">
        <v>3304</v>
      </c>
      <c r="G385" s="167" t="s">
        <v>3432</v>
      </c>
      <c r="H385" s="137" t="s">
        <v>2056</v>
      </c>
      <c r="I385" s="137" t="s">
        <v>2258</v>
      </c>
      <c r="J385" s="137" t="s">
        <v>2244</v>
      </c>
      <c r="K385" s="137" t="s">
        <v>2245</v>
      </c>
      <c r="L385" s="139">
        <f t="shared" ref="L385:L389" si="589">ABS(R385)+ABS(T385)+ABS(V385)</f>
        <v>8023288527</v>
      </c>
      <c r="M385" s="140">
        <f t="shared" ref="M385:M389" si="590">Q385+S385+U385</f>
        <v>329</v>
      </c>
      <c r="N385" s="141">
        <f t="shared" ref="N385:N389" si="591">ABS(R385)/$L385</f>
        <v>0</v>
      </c>
      <c r="O385" s="141">
        <f t="shared" ref="O385:O389" si="592">ABS(T385)/$L385</f>
        <v>8.674344785905766E-2</v>
      </c>
      <c r="P385" s="141">
        <f t="shared" ref="P385:P389" si="593">ABS(V385)/$L385</f>
        <v>0.91325655214094237</v>
      </c>
      <c r="Q385" s="140">
        <v>0</v>
      </c>
      <c r="R385" s="139">
        <v>0</v>
      </c>
      <c r="S385" s="140">
        <v>18</v>
      </c>
      <c r="T385" s="139">
        <v>695967710</v>
      </c>
      <c r="U385" s="140">
        <v>311</v>
      </c>
      <c r="V385" s="139">
        <v>7327320817</v>
      </c>
    </row>
    <row r="386" spans="1:22" ht="15.95" customHeight="1" x14ac:dyDescent="0.3">
      <c r="A386" s="137">
        <v>188</v>
      </c>
      <c r="B386" s="137" t="s">
        <v>2054</v>
      </c>
      <c r="C386" s="137">
        <v>1000316812</v>
      </c>
      <c r="D386" s="137" t="s">
        <v>3433</v>
      </c>
      <c r="E386" s="137">
        <v>1684195</v>
      </c>
      <c r="F386" s="137" t="s">
        <v>3305</v>
      </c>
      <c r="G386" s="167" t="s">
        <v>3434</v>
      </c>
      <c r="H386" s="137" t="s">
        <v>2056</v>
      </c>
      <c r="I386" s="137" t="s">
        <v>2258</v>
      </c>
      <c r="J386" s="167" t="s">
        <v>2111</v>
      </c>
      <c r="K386" s="137" t="s">
        <v>2245</v>
      </c>
      <c r="L386" s="139">
        <f t="shared" si="589"/>
        <v>51170797083</v>
      </c>
      <c r="M386" s="140">
        <f t="shared" si="590"/>
        <v>6811</v>
      </c>
      <c r="N386" s="141">
        <f t="shared" si="591"/>
        <v>1.1858049641395694E-2</v>
      </c>
      <c r="O386" s="141">
        <f t="shared" si="592"/>
        <v>2.3188236135453906E-2</v>
      </c>
      <c r="P386" s="141">
        <f t="shared" si="593"/>
        <v>0.96495371422315035</v>
      </c>
      <c r="Q386" s="140">
        <v>1</v>
      </c>
      <c r="R386" s="139">
        <v>606785852</v>
      </c>
      <c r="S386" s="140">
        <v>388</v>
      </c>
      <c r="T386" s="139">
        <v>-1186560526</v>
      </c>
      <c r="U386" s="140">
        <v>6422</v>
      </c>
      <c r="V386" s="139">
        <v>49377450705</v>
      </c>
    </row>
    <row r="387" spans="1:22" ht="15.95" customHeight="1" x14ac:dyDescent="0.3">
      <c r="A387" s="137">
        <v>188</v>
      </c>
      <c r="B387" s="137" t="s">
        <v>2054</v>
      </c>
      <c r="C387" s="137">
        <v>1000316812</v>
      </c>
      <c r="D387" s="137" t="s">
        <v>3433</v>
      </c>
      <c r="E387" s="137">
        <v>1684195</v>
      </c>
      <c r="F387" s="137" t="s">
        <v>3305</v>
      </c>
      <c r="G387" s="167" t="s">
        <v>3434</v>
      </c>
      <c r="H387" s="137" t="s">
        <v>2056</v>
      </c>
      <c r="I387" s="137" t="s">
        <v>2258</v>
      </c>
      <c r="J387" s="137" t="s">
        <v>2047</v>
      </c>
      <c r="K387" s="137" t="s">
        <v>2077</v>
      </c>
      <c r="L387" s="139">
        <f t="shared" si="589"/>
        <v>4728689138622</v>
      </c>
      <c r="M387" s="140">
        <f t="shared" si="590"/>
        <v>99109</v>
      </c>
      <c r="N387" s="141">
        <f t="shared" si="591"/>
        <v>1.2885142254615563E-2</v>
      </c>
      <c r="O387" s="141">
        <f t="shared" si="592"/>
        <v>0</v>
      </c>
      <c r="P387" s="141">
        <f t="shared" si="593"/>
        <v>0.98711485774538443</v>
      </c>
      <c r="Q387" s="140">
        <v>4</v>
      </c>
      <c r="R387" s="139">
        <v>60929832229</v>
      </c>
      <c r="S387" s="140">
        <v>0</v>
      </c>
      <c r="T387" s="139">
        <v>0</v>
      </c>
      <c r="U387" s="140">
        <v>99105</v>
      </c>
      <c r="V387" s="139">
        <v>4667759306393</v>
      </c>
    </row>
    <row r="388" spans="1:22" ht="15.95" customHeight="1" x14ac:dyDescent="0.3">
      <c r="A388" s="137">
        <v>188</v>
      </c>
      <c r="B388" s="137" t="s">
        <v>2054</v>
      </c>
      <c r="C388" s="137">
        <v>1000316812</v>
      </c>
      <c r="D388" s="137" t="s">
        <v>3433</v>
      </c>
      <c r="E388" s="137">
        <v>1684195</v>
      </c>
      <c r="F388" s="137" t="s">
        <v>3305</v>
      </c>
      <c r="G388" s="167" t="s">
        <v>3434</v>
      </c>
      <c r="H388" s="137" t="s">
        <v>2056</v>
      </c>
      <c r="I388" s="137" t="s">
        <v>2258</v>
      </c>
      <c r="J388" s="137" t="s">
        <v>2243</v>
      </c>
      <c r="K388" s="137" t="s">
        <v>2077</v>
      </c>
      <c r="L388" s="139">
        <f t="shared" si="589"/>
        <v>6272621355</v>
      </c>
      <c r="M388" s="140">
        <f t="shared" si="590"/>
        <v>1538</v>
      </c>
      <c r="N388" s="141">
        <f t="shared" si="591"/>
        <v>0</v>
      </c>
      <c r="O388" s="141">
        <f t="shared" si="592"/>
        <v>0.11667973875333656</v>
      </c>
      <c r="P388" s="141">
        <f t="shared" si="593"/>
        <v>0.88332026124666341</v>
      </c>
      <c r="Q388" s="140">
        <v>0</v>
      </c>
      <c r="R388" s="139">
        <v>0</v>
      </c>
      <c r="S388" s="140">
        <v>88</v>
      </c>
      <c r="T388" s="139">
        <v>731887821</v>
      </c>
      <c r="U388" s="140">
        <v>1450</v>
      </c>
      <c r="V388" s="139">
        <v>5540733534</v>
      </c>
    </row>
    <row r="389" spans="1:22" ht="15.95" customHeight="1" x14ac:dyDescent="0.3">
      <c r="A389" s="137">
        <v>188</v>
      </c>
      <c r="B389" s="137" t="s">
        <v>2054</v>
      </c>
      <c r="C389" s="137">
        <v>1000316812</v>
      </c>
      <c r="D389" s="137" t="s">
        <v>3433</v>
      </c>
      <c r="E389" s="137">
        <v>1684195</v>
      </c>
      <c r="F389" s="137" t="s">
        <v>3305</v>
      </c>
      <c r="G389" s="167" t="s">
        <v>3434</v>
      </c>
      <c r="H389" s="137" t="s">
        <v>2056</v>
      </c>
      <c r="I389" s="137" t="s">
        <v>2258</v>
      </c>
      <c r="J389" s="137" t="s">
        <v>2244</v>
      </c>
      <c r="K389" s="137" t="s">
        <v>2077</v>
      </c>
      <c r="L389" s="139">
        <f t="shared" si="589"/>
        <v>74369640034</v>
      </c>
      <c r="M389" s="140">
        <f t="shared" si="590"/>
        <v>3441</v>
      </c>
      <c r="N389" s="141">
        <f t="shared" si="591"/>
        <v>0</v>
      </c>
      <c r="O389" s="141">
        <f t="shared" si="592"/>
        <v>7.7603313964696982E-2</v>
      </c>
      <c r="P389" s="141">
        <f t="shared" si="593"/>
        <v>0.922396686035303</v>
      </c>
      <c r="Q389" s="140">
        <v>0</v>
      </c>
      <c r="R389" s="139">
        <v>0</v>
      </c>
      <c r="S389" s="140">
        <v>131</v>
      </c>
      <c r="T389" s="139">
        <v>-5771330525</v>
      </c>
      <c r="U389" s="140">
        <v>3310</v>
      </c>
      <c r="V389" s="139">
        <v>68598309509</v>
      </c>
    </row>
    <row r="390" spans="1:22" ht="15.95" customHeight="1" x14ac:dyDescent="0.3">
      <c r="A390" s="137">
        <v>188</v>
      </c>
      <c r="B390" s="137" t="s">
        <v>2054</v>
      </c>
      <c r="C390" s="137">
        <v>1000316812</v>
      </c>
      <c r="D390" s="137" t="s">
        <v>3433</v>
      </c>
      <c r="E390" s="137">
        <v>1684195</v>
      </c>
      <c r="F390" s="137" t="s">
        <v>3305</v>
      </c>
      <c r="G390" s="167" t="s">
        <v>3434</v>
      </c>
      <c r="H390" s="137" t="s">
        <v>2056</v>
      </c>
      <c r="I390" s="137" t="s">
        <v>2258</v>
      </c>
      <c r="J390" s="137" t="s">
        <v>2244</v>
      </c>
      <c r="K390" s="137" t="s">
        <v>2077</v>
      </c>
      <c r="L390" s="139">
        <f t="shared" ref="L390:L403" si="594">ABS(R390)+ABS(T390)+ABS(V390)</f>
        <v>21810928793</v>
      </c>
      <c r="M390" s="140">
        <f t="shared" ref="M390:M403" si="595">Q390+S390+U390</f>
        <v>2644</v>
      </c>
      <c r="N390" s="141">
        <f t="shared" ref="N390:N403" si="596">ABS(R390)/$L390</f>
        <v>0</v>
      </c>
      <c r="O390" s="141">
        <f t="shared" ref="O390:O403" si="597">ABS(T390)/$L390</f>
        <v>0.25975497741381304</v>
      </c>
      <c r="P390" s="141">
        <f t="shared" ref="P390:P403" si="598">ABS(V390)/$L390</f>
        <v>0.74024502258618696</v>
      </c>
      <c r="Q390" s="140">
        <v>0</v>
      </c>
      <c r="R390" s="139">
        <v>0</v>
      </c>
      <c r="S390" s="140">
        <v>75</v>
      </c>
      <c r="T390" s="139">
        <v>5665497316</v>
      </c>
      <c r="U390" s="140">
        <v>2569</v>
      </c>
      <c r="V390" s="139">
        <v>16145431477</v>
      </c>
    </row>
    <row r="391" spans="1:22" ht="15.95" customHeight="1" x14ac:dyDescent="0.3">
      <c r="A391" s="137">
        <v>188</v>
      </c>
      <c r="B391" s="214" t="s">
        <v>3983</v>
      </c>
      <c r="C391" s="137">
        <v>1000316812</v>
      </c>
      <c r="D391" s="137" t="s">
        <v>3433</v>
      </c>
      <c r="E391" s="137">
        <v>1684195</v>
      </c>
      <c r="F391" s="137" t="s">
        <v>3305</v>
      </c>
      <c r="G391" s="214" t="s">
        <v>4077</v>
      </c>
      <c r="H391" s="214" t="s">
        <v>3969</v>
      </c>
      <c r="I391" s="137" t="s">
        <v>2258</v>
      </c>
      <c r="J391" s="137" t="s">
        <v>2047</v>
      </c>
      <c r="K391" s="137" t="s">
        <v>2077</v>
      </c>
      <c r="L391" s="139">
        <f t="shared" ref="L391" si="599">ABS(R391)+ABS(T391)+ABS(V391)</f>
        <v>12249317142536</v>
      </c>
      <c r="M391" s="140">
        <f t="shared" ref="M391" si="600">Q391+S391+U391</f>
        <v>196764</v>
      </c>
      <c r="N391" s="141">
        <f t="shared" ref="N391" si="601">ABS(R391)/$L391</f>
        <v>5.780076804701109E-3</v>
      </c>
      <c r="O391" s="141">
        <f t="shared" ref="O391" si="602">ABS(T391)/$L391</f>
        <v>0</v>
      </c>
      <c r="P391" s="141">
        <f t="shared" ref="P391" si="603">ABS(V391)/$L391</f>
        <v>0.99421992319529884</v>
      </c>
      <c r="Q391" s="140">
        <v>21</v>
      </c>
      <c r="R391" s="139">
        <v>70801993889</v>
      </c>
      <c r="S391" s="140">
        <v>0</v>
      </c>
      <c r="T391" s="139">
        <v>0</v>
      </c>
      <c r="U391" s="140">
        <v>196743</v>
      </c>
      <c r="V391" s="139">
        <v>12178515148647</v>
      </c>
    </row>
    <row r="392" spans="1:22" ht="15.95" customHeight="1" x14ac:dyDescent="0.3">
      <c r="A392" s="137">
        <v>188</v>
      </c>
      <c r="B392" s="214" t="s">
        <v>3983</v>
      </c>
      <c r="C392" s="137">
        <v>1000316812</v>
      </c>
      <c r="D392" s="137" t="s">
        <v>3433</v>
      </c>
      <c r="E392" s="137">
        <v>1684195</v>
      </c>
      <c r="F392" s="137" t="s">
        <v>3305</v>
      </c>
      <c r="G392" s="214" t="s">
        <v>4077</v>
      </c>
      <c r="H392" s="214" t="s">
        <v>3969</v>
      </c>
      <c r="I392" s="137" t="s">
        <v>2258</v>
      </c>
      <c r="J392" s="137" t="s">
        <v>2243</v>
      </c>
      <c r="K392" s="137" t="s">
        <v>2245</v>
      </c>
      <c r="L392" s="139">
        <f t="shared" ref="L392:L394" si="604">ABS(R392)+ABS(T392)+ABS(V392)</f>
        <v>29214908667</v>
      </c>
      <c r="M392" s="140">
        <f t="shared" ref="M392:M394" si="605">Q392+S392+U392</f>
        <v>5070</v>
      </c>
      <c r="N392" s="141">
        <f t="shared" ref="N392:N394" si="606">ABS(R392)/$L392</f>
        <v>7.7558390677408718E-4</v>
      </c>
      <c r="O392" s="141">
        <f t="shared" ref="O392:O394" si="607">ABS(T392)/$L392</f>
        <v>9.0427820710051302E-2</v>
      </c>
      <c r="P392" s="141">
        <f t="shared" ref="P392:P394" si="608">ABS(V392)/$L392</f>
        <v>0.90879659538317459</v>
      </c>
      <c r="Q392" s="140">
        <v>2</v>
      </c>
      <c r="R392" s="139">
        <v>22658613</v>
      </c>
      <c r="S392" s="140">
        <v>275</v>
      </c>
      <c r="T392" s="139">
        <v>2641840523</v>
      </c>
      <c r="U392" s="140">
        <v>4793</v>
      </c>
      <c r="V392" s="139">
        <v>26550409531</v>
      </c>
    </row>
    <row r="393" spans="1:22" ht="15.95" customHeight="1" x14ac:dyDescent="0.3">
      <c r="A393" s="137">
        <v>188</v>
      </c>
      <c r="B393" s="214" t="s">
        <v>3983</v>
      </c>
      <c r="C393" s="137">
        <v>1000316812</v>
      </c>
      <c r="D393" s="137" t="s">
        <v>3433</v>
      </c>
      <c r="E393" s="137">
        <v>1684195</v>
      </c>
      <c r="F393" s="137" t="s">
        <v>3305</v>
      </c>
      <c r="G393" s="214" t="s">
        <v>4077</v>
      </c>
      <c r="H393" s="214" t="s">
        <v>3969</v>
      </c>
      <c r="I393" s="137" t="s">
        <v>2258</v>
      </c>
      <c r="J393" s="137" t="s">
        <v>2244</v>
      </c>
      <c r="K393" s="137" t="s">
        <v>2245</v>
      </c>
      <c r="L393" s="139">
        <f t="shared" si="604"/>
        <v>271370863891</v>
      </c>
      <c r="M393" s="140">
        <f t="shared" si="605"/>
        <v>6623</v>
      </c>
      <c r="N393" s="141">
        <f t="shared" si="606"/>
        <v>5.1915203305166755E-3</v>
      </c>
      <c r="O393" s="141">
        <f t="shared" si="607"/>
        <v>0.25900076719080306</v>
      </c>
      <c r="P393" s="141">
        <f t="shared" si="608"/>
        <v>0.73580771247868026</v>
      </c>
      <c r="Q393" s="140">
        <v>6</v>
      </c>
      <c r="R393" s="139">
        <v>1408827357</v>
      </c>
      <c r="S393" s="140">
        <v>339</v>
      </c>
      <c r="T393" s="139">
        <v>70285261941</v>
      </c>
      <c r="U393" s="140">
        <v>6278</v>
      </c>
      <c r="V393" s="139">
        <v>199676774593</v>
      </c>
    </row>
    <row r="394" spans="1:22" ht="15.95" customHeight="1" x14ac:dyDescent="0.3">
      <c r="A394" s="137">
        <v>188</v>
      </c>
      <c r="B394" s="214" t="s">
        <v>3983</v>
      </c>
      <c r="C394" s="137">
        <v>1000316812</v>
      </c>
      <c r="D394" s="137" t="s">
        <v>3433</v>
      </c>
      <c r="E394" s="137">
        <v>1684195</v>
      </c>
      <c r="F394" s="137" t="s">
        <v>3305</v>
      </c>
      <c r="G394" s="214" t="s">
        <v>4077</v>
      </c>
      <c r="H394" s="214" t="s">
        <v>3969</v>
      </c>
      <c r="I394" s="137" t="s">
        <v>2258</v>
      </c>
      <c r="J394" s="137" t="s">
        <v>2244</v>
      </c>
      <c r="K394" s="137" t="s">
        <v>2245</v>
      </c>
      <c r="L394" s="139">
        <f t="shared" si="604"/>
        <v>112938719831</v>
      </c>
      <c r="M394" s="140">
        <f t="shared" si="605"/>
        <v>4922</v>
      </c>
      <c r="N394" s="141">
        <f t="shared" si="606"/>
        <v>1.1247322414321656E-2</v>
      </c>
      <c r="O394" s="141">
        <f t="shared" si="607"/>
        <v>0.38963104189464559</v>
      </c>
      <c r="P394" s="141">
        <f t="shared" si="608"/>
        <v>0.59912163569103272</v>
      </c>
      <c r="Q394" s="140">
        <v>2</v>
      </c>
      <c r="R394" s="139">
        <v>1270258195</v>
      </c>
      <c r="S394" s="140">
        <v>226</v>
      </c>
      <c r="T394" s="139">
        <v>44004431078</v>
      </c>
      <c r="U394" s="140">
        <v>4694</v>
      </c>
      <c r="V394" s="139">
        <v>67664030558</v>
      </c>
    </row>
    <row r="395" spans="1:22" ht="15.95" customHeight="1" x14ac:dyDescent="0.3">
      <c r="A395" s="137">
        <v>191</v>
      </c>
      <c r="B395" s="214" t="s">
        <v>3983</v>
      </c>
      <c r="C395" s="137">
        <v>1001459652</v>
      </c>
      <c r="D395" s="137" t="s">
        <v>4078</v>
      </c>
      <c r="E395" s="137">
        <v>1656724</v>
      </c>
      <c r="F395" s="137" t="s">
        <v>3623</v>
      </c>
      <c r="G395" s="214" t="s">
        <v>4079</v>
      </c>
      <c r="H395" s="214" t="s">
        <v>3969</v>
      </c>
      <c r="I395" s="137" t="s">
        <v>2258</v>
      </c>
      <c r="J395" s="167" t="s">
        <v>2111</v>
      </c>
      <c r="K395" s="137" t="s">
        <v>2245</v>
      </c>
      <c r="L395" s="139">
        <f t="shared" ref="L395:L396" si="609">ABS(R395)+ABS(T395)+ABS(V395)</f>
        <v>116475107217</v>
      </c>
      <c r="M395" s="140">
        <f t="shared" ref="M395:M396" si="610">Q395+S395+U395</f>
        <v>5574</v>
      </c>
      <c r="N395" s="141">
        <f t="shared" ref="N395:N396" si="611">ABS(R395)/$L395</f>
        <v>1.9006430239858931E-4</v>
      </c>
      <c r="O395" s="141">
        <f t="shared" ref="O395:O396" si="612">ABS(T395)/$L395</f>
        <v>5.0189697933557903E-2</v>
      </c>
      <c r="P395" s="141">
        <f t="shared" ref="P395:P396" si="613">ABS(V395)/$L395</f>
        <v>0.94962023776404347</v>
      </c>
      <c r="Q395" s="140">
        <v>3</v>
      </c>
      <c r="R395" s="139">
        <v>22137760</v>
      </c>
      <c r="S395" s="140">
        <v>160</v>
      </c>
      <c r="T395" s="139">
        <v>5845850448</v>
      </c>
      <c r="U395" s="140">
        <v>5411</v>
      </c>
      <c r="V395" s="139">
        <v>110607119009</v>
      </c>
    </row>
    <row r="396" spans="1:22" ht="15.95" customHeight="1" x14ac:dyDescent="0.3">
      <c r="A396" s="137">
        <v>191</v>
      </c>
      <c r="B396" s="214" t="s">
        <v>3983</v>
      </c>
      <c r="C396" s="137">
        <v>1001459652</v>
      </c>
      <c r="D396" s="137" t="s">
        <v>4078</v>
      </c>
      <c r="E396" s="137">
        <v>1656724</v>
      </c>
      <c r="F396" s="137" t="s">
        <v>3623</v>
      </c>
      <c r="G396" s="214" t="s">
        <v>4079</v>
      </c>
      <c r="H396" s="214" t="s">
        <v>3969</v>
      </c>
      <c r="I396" s="137" t="s">
        <v>2258</v>
      </c>
      <c r="J396" s="137" t="s">
        <v>2047</v>
      </c>
      <c r="K396" s="137" t="s">
        <v>2077</v>
      </c>
      <c r="L396" s="139">
        <f t="shared" si="609"/>
        <v>1818034413330</v>
      </c>
      <c r="M396" s="140">
        <f t="shared" si="610"/>
        <v>53765</v>
      </c>
      <c r="N396" s="141">
        <f t="shared" si="611"/>
        <v>3.1248824441084929E-3</v>
      </c>
      <c r="O396" s="141">
        <f t="shared" si="612"/>
        <v>0</v>
      </c>
      <c r="P396" s="141">
        <f t="shared" si="613"/>
        <v>0.99687511755589153</v>
      </c>
      <c r="Q396" s="140">
        <v>9</v>
      </c>
      <c r="R396" s="139">
        <v>5681143821</v>
      </c>
      <c r="S396" s="140">
        <v>0</v>
      </c>
      <c r="T396" s="139">
        <v>0</v>
      </c>
      <c r="U396" s="140">
        <v>53756</v>
      </c>
      <c r="V396" s="139">
        <v>1812353269509</v>
      </c>
    </row>
    <row r="397" spans="1:22" ht="15.95" customHeight="1" x14ac:dyDescent="0.3">
      <c r="A397" s="137">
        <v>192</v>
      </c>
      <c r="B397" s="214" t="s">
        <v>3983</v>
      </c>
      <c r="C397" s="137">
        <v>1001142353</v>
      </c>
      <c r="D397" s="137" t="s">
        <v>4080</v>
      </c>
      <c r="E397" s="137">
        <v>1661228</v>
      </c>
      <c r="F397" s="137" t="s">
        <v>3624</v>
      </c>
      <c r="G397" s="214" t="s">
        <v>4081</v>
      </c>
      <c r="H397" s="214" t="s">
        <v>3969</v>
      </c>
      <c r="I397" s="137" t="s">
        <v>2258</v>
      </c>
      <c r="J397" s="137" t="s">
        <v>2047</v>
      </c>
      <c r="K397" s="137" t="s">
        <v>2077</v>
      </c>
      <c r="L397" s="139">
        <f t="shared" ref="L397:L398" si="614">ABS(R397)+ABS(T397)+ABS(V397)</f>
        <v>4677189721296</v>
      </c>
      <c r="M397" s="140">
        <f t="shared" ref="M397:M398" si="615">Q397+S397+U397</f>
        <v>303357</v>
      </c>
      <c r="N397" s="141">
        <f t="shared" ref="N397:N398" si="616">ABS(R397)/$L397</f>
        <v>2.7337397488458249E-2</v>
      </c>
      <c r="O397" s="141">
        <f t="shared" ref="O397:O398" si="617">ABS(T397)/$L397</f>
        <v>0</v>
      </c>
      <c r="P397" s="141">
        <f t="shared" ref="P397:P398" si="618">ABS(V397)/$L397</f>
        <v>0.9726626025115418</v>
      </c>
      <c r="Q397" s="140">
        <v>22</v>
      </c>
      <c r="R397" s="139">
        <v>127862194540</v>
      </c>
      <c r="S397" s="140">
        <v>0</v>
      </c>
      <c r="T397" s="139">
        <v>0</v>
      </c>
      <c r="U397" s="140">
        <v>303335</v>
      </c>
      <c r="V397" s="139">
        <v>4549327526756</v>
      </c>
    </row>
    <row r="398" spans="1:22" ht="15.95" customHeight="1" x14ac:dyDescent="0.3">
      <c r="A398" s="137">
        <v>192</v>
      </c>
      <c r="B398" s="214" t="s">
        <v>3983</v>
      </c>
      <c r="C398" s="137">
        <v>1001142353</v>
      </c>
      <c r="D398" s="137" t="s">
        <v>4080</v>
      </c>
      <c r="E398" s="137">
        <v>1661228</v>
      </c>
      <c r="F398" s="137" t="s">
        <v>3624</v>
      </c>
      <c r="G398" s="214" t="s">
        <v>4081</v>
      </c>
      <c r="H398" s="214" t="s">
        <v>3969</v>
      </c>
      <c r="I398" s="137" t="s">
        <v>2258</v>
      </c>
      <c r="J398" s="137" t="s">
        <v>2244</v>
      </c>
      <c r="K398" s="137" t="s">
        <v>2245</v>
      </c>
      <c r="L398" s="139">
        <f t="shared" si="614"/>
        <v>208189974246</v>
      </c>
      <c r="M398" s="140">
        <f t="shared" si="615"/>
        <v>41998</v>
      </c>
      <c r="N398" s="141">
        <f t="shared" si="616"/>
        <v>0.29294870678515295</v>
      </c>
      <c r="O398" s="141">
        <f t="shared" si="617"/>
        <v>0.37562565956032101</v>
      </c>
      <c r="P398" s="141">
        <f t="shared" si="618"/>
        <v>0.33142563365452599</v>
      </c>
      <c r="Q398" s="140">
        <v>10</v>
      </c>
      <c r="R398" s="139">
        <v>60988983721</v>
      </c>
      <c r="S398" s="140">
        <v>43</v>
      </c>
      <c r="T398" s="139">
        <v>78201496390</v>
      </c>
      <c r="U398" s="140">
        <v>41945</v>
      </c>
      <c r="V398" s="139">
        <v>68999494135</v>
      </c>
    </row>
    <row r="399" spans="1:22" ht="15.95" customHeight="1" x14ac:dyDescent="0.3">
      <c r="A399" s="137">
        <v>196</v>
      </c>
      <c r="B399" s="214" t="s">
        <v>3983</v>
      </c>
      <c r="C399" s="137">
        <v>1000317500</v>
      </c>
      <c r="D399" s="137" t="s">
        <v>4082</v>
      </c>
      <c r="E399" s="137">
        <v>1686025</v>
      </c>
      <c r="F399" s="137" t="s">
        <v>3625</v>
      </c>
      <c r="G399" s="214" t="s">
        <v>4083</v>
      </c>
      <c r="H399" s="214" t="s">
        <v>3969</v>
      </c>
      <c r="I399" s="137" t="s">
        <v>2258</v>
      </c>
      <c r="J399" s="167" t="s">
        <v>2111</v>
      </c>
      <c r="K399" s="137" t="s">
        <v>2245</v>
      </c>
      <c r="L399" s="139">
        <f t="shared" ref="L399:L402" si="619">ABS(R399)+ABS(T399)+ABS(V399)</f>
        <v>2377191299858</v>
      </c>
      <c r="M399" s="140">
        <f t="shared" ref="M399:M402" si="620">Q399+S399+U399</f>
        <v>681417</v>
      </c>
      <c r="N399" s="141">
        <f t="shared" ref="N399:N402" si="621">ABS(R399)/$L399</f>
        <v>0</v>
      </c>
      <c r="O399" s="141">
        <f t="shared" ref="O399:O402" si="622">ABS(T399)/$L399</f>
        <v>0</v>
      </c>
      <c r="P399" s="141">
        <f t="shared" ref="P399:P402" si="623">ABS(V399)/$L399</f>
        <v>1</v>
      </c>
      <c r="Q399" s="140">
        <v>0</v>
      </c>
      <c r="R399" s="139">
        <v>0</v>
      </c>
      <c r="S399" s="140">
        <v>0</v>
      </c>
      <c r="T399" s="139">
        <v>0</v>
      </c>
      <c r="U399" s="140">
        <v>681417</v>
      </c>
      <c r="V399" s="139">
        <v>2377191299858</v>
      </c>
    </row>
    <row r="400" spans="1:22" ht="15.95" customHeight="1" x14ac:dyDescent="0.3">
      <c r="A400" s="137">
        <v>196</v>
      </c>
      <c r="B400" s="214" t="s">
        <v>3983</v>
      </c>
      <c r="C400" s="137">
        <v>1000317500</v>
      </c>
      <c r="D400" s="137" t="s">
        <v>4082</v>
      </c>
      <c r="E400" s="137">
        <v>1686025</v>
      </c>
      <c r="F400" s="137" t="s">
        <v>3625</v>
      </c>
      <c r="G400" s="214" t="s">
        <v>4083</v>
      </c>
      <c r="H400" s="214" t="s">
        <v>3969</v>
      </c>
      <c r="I400" s="137" t="s">
        <v>2258</v>
      </c>
      <c r="J400" s="137" t="s">
        <v>2047</v>
      </c>
      <c r="K400" s="137" t="s">
        <v>2077</v>
      </c>
      <c r="L400" s="139">
        <f t="shared" si="619"/>
        <v>53547046712322</v>
      </c>
      <c r="M400" s="140">
        <f t="shared" si="620"/>
        <v>1485600</v>
      </c>
      <c r="N400" s="141">
        <f t="shared" si="621"/>
        <v>2.2442387372009164E-2</v>
      </c>
      <c r="O400" s="141">
        <f t="shared" si="622"/>
        <v>0</v>
      </c>
      <c r="P400" s="141">
        <f t="shared" si="623"/>
        <v>0.97755761262799079</v>
      </c>
      <c r="Q400" s="140">
        <v>75</v>
      </c>
      <c r="R400" s="139">
        <v>1201723564945</v>
      </c>
      <c r="S400" s="140">
        <v>0</v>
      </c>
      <c r="T400" s="139">
        <v>0</v>
      </c>
      <c r="U400" s="140">
        <v>1485525</v>
      </c>
      <c r="V400" s="139">
        <v>52345323147377</v>
      </c>
    </row>
    <row r="401" spans="1:22" ht="15.95" customHeight="1" x14ac:dyDescent="0.3">
      <c r="A401" s="137">
        <v>196</v>
      </c>
      <c r="B401" s="214" t="s">
        <v>3983</v>
      </c>
      <c r="C401" s="137">
        <v>1000317500</v>
      </c>
      <c r="D401" s="137" t="s">
        <v>4082</v>
      </c>
      <c r="E401" s="137">
        <v>1686025</v>
      </c>
      <c r="F401" s="137" t="s">
        <v>3625</v>
      </c>
      <c r="G401" s="214" t="s">
        <v>4083</v>
      </c>
      <c r="H401" s="214" t="s">
        <v>3969</v>
      </c>
      <c r="I401" s="137" t="s">
        <v>2258</v>
      </c>
      <c r="J401" s="137" t="s">
        <v>2243</v>
      </c>
      <c r="K401" s="137" t="s">
        <v>2245</v>
      </c>
      <c r="L401" s="139">
        <f t="shared" si="619"/>
        <v>23623140035</v>
      </c>
      <c r="M401" s="140">
        <f t="shared" si="620"/>
        <v>5685</v>
      </c>
      <c r="N401" s="141">
        <f t="shared" si="621"/>
        <v>2.2296947239850706E-2</v>
      </c>
      <c r="O401" s="141">
        <f t="shared" si="622"/>
        <v>0.18925091047914114</v>
      </c>
      <c r="P401" s="141">
        <f t="shared" si="623"/>
        <v>0.78845214228100813</v>
      </c>
      <c r="Q401" s="140">
        <v>15</v>
      </c>
      <c r="R401" s="139">
        <v>526723907</v>
      </c>
      <c r="S401" s="140">
        <v>1079</v>
      </c>
      <c r="T401" s="139">
        <v>4470700760</v>
      </c>
      <c r="U401" s="140">
        <v>4591</v>
      </c>
      <c r="V401" s="216">
        <v>18625715368</v>
      </c>
    </row>
    <row r="402" spans="1:22" ht="15.95" customHeight="1" x14ac:dyDescent="0.3">
      <c r="A402" s="137">
        <v>196</v>
      </c>
      <c r="B402" s="214" t="s">
        <v>3983</v>
      </c>
      <c r="C402" s="137">
        <v>1000317500</v>
      </c>
      <c r="D402" s="137" t="s">
        <v>4082</v>
      </c>
      <c r="E402" s="137">
        <v>1686025</v>
      </c>
      <c r="F402" s="137" t="s">
        <v>3625</v>
      </c>
      <c r="G402" s="214" t="s">
        <v>4083</v>
      </c>
      <c r="H402" s="214" t="s">
        <v>3969</v>
      </c>
      <c r="I402" s="137" t="s">
        <v>2258</v>
      </c>
      <c r="J402" s="137" t="s">
        <v>2244</v>
      </c>
      <c r="K402" s="137" t="s">
        <v>2245</v>
      </c>
      <c r="L402" s="139">
        <f t="shared" si="619"/>
        <v>2848510144632</v>
      </c>
      <c r="M402" s="140">
        <f t="shared" si="620"/>
        <v>122686</v>
      </c>
      <c r="N402" s="141">
        <f t="shared" si="621"/>
        <v>0</v>
      </c>
      <c r="O402" s="141">
        <f t="shared" si="622"/>
        <v>3.5093941412279776E-2</v>
      </c>
      <c r="P402" s="141">
        <f t="shared" si="623"/>
        <v>0.96490605858772027</v>
      </c>
      <c r="Q402" s="140">
        <v>0</v>
      </c>
      <c r="R402" s="139">
        <v>0</v>
      </c>
      <c r="S402" s="140">
        <v>12</v>
      </c>
      <c r="T402" s="139">
        <v>99965448128</v>
      </c>
      <c r="U402" s="140">
        <v>122674</v>
      </c>
      <c r="V402" s="139">
        <v>2748544696504</v>
      </c>
    </row>
    <row r="403" spans="1:22" ht="15.95" customHeight="1" x14ac:dyDescent="0.3">
      <c r="A403" s="137">
        <v>197</v>
      </c>
      <c r="B403" s="137" t="s">
        <v>2054</v>
      </c>
      <c r="C403" s="137">
        <v>1000506689</v>
      </c>
      <c r="D403" s="137" t="s">
        <v>3435</v>
      </c>
      <c r="E403" s="137">
        <v>1685025</v>
      </c>
      <c r="F403" s="137" t="s">
        <v>3306</v>
      </c>
      <c r="G403" s="167" t="s">
        <v>3436</v>
      </c>
      <c r="H403" s="137" t="s">
        <v>2056</v>
      </c>
      <c r="I403" s="137" t="s">
        <v>2258</v>
      </c>
      <c r="J403" s="137" t="s">
        <v>2047</v>
      </c>
      <c r="K403" s="137" t="s">
        <v>2077</v>
      </c>
      <c r="L403" s="139">
        <f t="shared" si="594"/>
        <v>26580485619562</v>
      </c>
      <c r="M403" s="140">
        <f t="shared" si="595"/>
        <v>63041459</v>
      </c>
      <c r="N403" s="141">
        <f t="shared" si="596"/>
        <v>7.8635614827207295E-3</v>
      </c>
      <c r="O403" s="141">
        <f t="shared" si="597"/>
        <v>0</v>
      </c>
      <c r="P403" s="141">
        <f t="shared" si="598"/>
        <v>0.99213643851727928</v>
      </c>
      <c r="Q403" s="140">
        <v>13</v>
      </c>
      <c r="R403" s="139">
        <v>209017282910</v>
      </c>
      <c r="S403" s="140">
        <v>0</v>
      </c>
      <c r="T403" s="139">
        <v>0</v>
      </c>
      <c r="U403" s="140">
        <v>63041446</v>
      </c>
      <c r="V403" s="139">
        <v>26371468336652</v>
      </c>
    </row>
    <row r="404" spans="1:22" ht="15.95" customHeight="1" x14ac:dyDescent="0.3">
      <c r="A404" s="137">
        <v>197</v>
      </c>
      <c r="B404" s="137" t="s">
        <v>2054</v>
      </c>
      <c r="C404" s="137">
        <v>1000506689</v>
      </c>
      <c r="D404" s="137" t="s">
        <v>3435</v>
      </c>
      <c r="E404" s="137">
        <v>1685025</v>
      </c>
      <c r="F404" s="137" t="s">
        <v>3306</v>
      </c>
      <c r="G404" s="167" t="s">
        <v>3436</v>
      </c>
      <c r="H404" s="137" t="s">
        <v>2056</v>
      </c>
      <c r="I404" s="137" t="s">
        <v>2258</v>
      </c>
      <c r="J404" s="137" t="s">
        <v>2244</v>
      </c>
      <c r="K404" s="137" t="s">
        <v>2245</v>
      </c>
      <c r="L404" s="139">
        <f t="shared" ref="L404:L409" si="624">ABS(R404)+ABS(T404)+ABS(V404)</f>
        <v>961413311748</v>
      </c>
      <c r="M404" s="140">
        <f t="shared" ref="M404:M409" si="625">Q404+S404+U404</f>
        <v>1701614</v>
      </c>
      <c r="N404" s="141">
        <f t="shared" ref="N404:N409" si="626">ABS(R404)/$L404</f>
        <v>1.8635779282507186E-2</v>
      </c>
      <c r="O404" s="141">
        <f t="shared" ref="O404:O409" si="627">ABS(T404)/$L404</f>
        <v>0.17780480178311367</v>
      </c>
      <c r="P404" s="141">
        <f t="shared" ref="P404:P409" si="628">ABS(V404)/$L404</f>
        <v>0.8035594189343791</v>
      </c>
      <c r="Q404" s="140">
        <v>3152</v>
      </c>
      <c r="R404" s="139">
        <v>17916686277</v>
      </c>
      <c r="S404" s="140">
        <v>122272</v>
      </c>
      <c r="T404" s="139">
        <v>170943903327</v>
      </c>
      <c r="U404" s="140">
        <v>1576190</v>
      </c>
      <c r="V404" s="139">
        <v>772552722144</v>
      </c>
    </row>
    <row r="405" spans="1:22" ht="15.95" customHeight="1" x14ac:dyDescent="0.3">
      <c r="A405" s="137">
        <v>199</v>
      </c>
      <c r="B405" s="214" t="s">
        <v>3333</v>
      </c>
      <c r="C405" s="137">
        <v>1001459672</v>
      </c>
      <c r="D405" s="137" t="s">
        <v>4084</v>
      </c>
      <c r="E405" s="137">
        <v>1660186</v>
      </c>
      <c r="F405" s="137" t="s">
        <v>4085</v>
      </c>
      <c r="G405" s="214" t="s">
        <v>4086</v>
      </c>
      <c r="H405" s="137" t="s">
        <v>3334</v>
      </c>
      <c r="I405" s="137" t="s">
        <v>2258</v>
      </c>
      <c r="J405" s="137" t="s">
        <v>2047</v>
      </c>
      <c r="K405" s="137" t="s">
        <v>2077</v>
      </c>
      <c r="L405" s="139">
        <f t="shared" ref="L405:L406" si="629">ABS(R405)+ABS(T405)+ABS(V405)</f>
        <v>1170877539682</v>
      </c>
      <c r="M405" s="140">
        <f t="shared" ref="M405:M406" si="630">Q405+S405+U405</f>
        <v>27125</v>
      </c>
      <c r="N405" s="141">
        <f t="shared" ref="N405:N406" si="631">ABS(R405)/$L405</f>
        <v>5.2393402172238354E-2</v>
      </c>
      <c r="O405" s="141">
        <f t="shared" ref="O405:O406" si="632">ABS(T405)/$L405</f>
        <v>0</v>
      </c>
      <c r="P405" s="141">
        <f t="shared" ref="P405:P406" si="633">ABS(V405)/$L405</f>
        <v>0.94760659782776169</v>
      </c>
      <c r="Q405" s="140">
        <v>6</v>
      </c>
      <c r="R405" s="139">
        <v>61346257831</v>
      </c>
      <c r="S405" s="140">
        <v>0</v>
      </c>
      <c r="T405" s="139">
        <v>0</v>
      </c>
      <c r="U405" s="140">
        <v>27119</v>
      </c>
      <c r="V405" s="139">
        <v>1109531281851</v>
      </c>
    </row>
    <row r="406" spans="1:22" ht="15.95" customHeight="1" x14ac:dyDescent="0.3">
      <c r="A406" s="137">
        <v>199</v>
      </c>
      <c r="B406" s="214" t="s">
        <v>3333</v>
      </c>
      <c r="C406" s="137">
        <v>1001459672</v>
      </c>
      <c r="D406" s="137" t="s">
        <v>4084</v>
      </c>
      <c r="E406" s="137">
        <v>1660186</v>
      </c>
      <c r="F406" s="137" t="s">
        <v>4085</v>
      </c>
      <c r="G406" s="214" t="s">
        <v>4086</v>
      </c>
      <c r="H406" s="137" t="s">
        <v>3334</v>
      </c>
      <c r="I406" s="137" t="s">
        <v>2258</v>
      </c>
      <c r="J406" s="137" t="s">
        <v>2244</v>
      </c>
      <c r="K406" s="137" t="s">
        <v>2245</v>
      </c>
      <c r="L406" s="139">
        <f t="shared" si="629"/>
        <v>27708426107</v>
      </c>
      <c r="M406" s="140">
        <f t="shared" si="630"/>
        <v>731</v>
      </c>
      <c r="N406" s="141">
        <f t="shared" si="631"/>
        <v>0</v>
      </c>
      <c r="O406" s="141">
        <f t="shared" si="632"/>
        <v>0.19556333997733119</v>
      </c>
      <c r="P406" s="141">
        <f t="shared" si="633"/>
        <v>0.80443666002266878</v>
      </c>
      <c r="Q406" s="140">
        <v>0</v>
      </c>
      <c r="R406" s="139">
        <v>0</v>
      </c>
      <c r="S406" s="140">
        <v>32</v>
      </c>
      <c r="T406" s="139">
        <v>5418752355</v>
      </c>
      <c r="U406" s="140">
        <v>699</v>
      </c>
      <c r="V406" s="139">
        <v>22289673752</v>
      </c>
    </row>
    <row r="407" spans="1:22" ht="15.95" customHeight="1" x14ac:dyDescent="0.3">
      <c r="A407" s="137">
        <v>200</v>
      </c>
      <c r="B407" s="137" t="s">
        <v>2054</v>
      </c>
      <c r="C407" s="137">
        <v>1001459740</v>
      </c>
      <c r="D407" s="137" t="s">
        <v>3437</v>
      </c>
      <c r="E407" s="137">
        <v>1654046</v>
      </c>
      <c r="F407" s="137" t="s">
        <v>3307</v>
      </c>
      <c r="G407" s="167" t="s">
        <v>3438</v>
      </c>
      <c r="H407" s="137" t="s">
        <v>2056</v>
      </c>
      <c r="I407" s="137" t="s">
        <v>2258</v>
      </c>
      <c r="J407" s="137" t="s">
        <v>2047</v>
      </c>
      <c r="K407" s="137" t="s">
        <v>2077</v>
      </c>
      <c r="L407" s="139">
        <f t="shared" si="624"/>
        <v>1420095562794</v>
      </c>
      <c r="M407" s="140">
        <f t="shared" si="625"/>
        <v>38759</v>
      </c>
      <c r="N407" s="141">
        <f t="shared" si="626"/>
        <v>7.8594477438833077E-2</v>
      </c>
      <c r="O407" s="141">
        <f t="shared" si="627"/>
        <v>0</v>
      </c>
      <c r="P407" s="141">
        <f t="shared" si="628"/>
        <v>0.92140552256116692</v>
      </c>
      <c r="Q407" s="140">
        <v>4</v>
      </c>
      <c r="R407" s="139">
        <v>111611668671</v>
      </c>
      <c r="S407" s="140">
        <v>0</v>
      </c>
      <c r="T407" s="139">
        <v>0</v>
      </c>
      <c r="U407" s="140">
        <v>38755</v>
      </c>
      <c r="V407" s="139">
        <v>1308483894123</v>
      </c>
    </row>
    <row r="408" spans="1:22" ht="15.95" customHeight="1" x14ac:dyDescent="0.3">
      <c r="A408" s="137">
        <v>200</v>
      </c>
      <c r="B408" s="137" t="s">
        <v>2054</v>
      </c>
      <c r="C408" s="137">
        <v>1001459740</v>
      </c>
      <c r="D408" s="137" t="s">
        <v>3437</v>
      </c>
      <c r="E408" s="137">
        <v>1654046</v>
      </c>
      <c r="F408" s="137" t="s">
        <v>3307</v>
      </c>
      <c r="G408" s="167" t="s">
        <v>3438</v>
      </c>
      <c r="H408" s="137" t="s">
        <v>2056</v>
      </c>
      <c r="I408" s="137" t="s">
        <v>2258</v>
      </c>
      <c r="J408" s="137" t="s">
        <v>2243</v>
      </c>
      <c r="K408" s="137" t="s">
        <v>2077</v>
      </c>
      <c r="L408" s="139">
        <f t="shared" si="624"/>
        <v>1359774684</v>
      </c>
      <c r="M408" s="140">
        <f t="shared" si="625"/>
        <v>1559</v>
      </c>
      <c r="N408" s="141">
        <f t="shared" si="626"/>
        <v>0</v>
      </c>
      <c r="O408" s="141">
        <f t="shared" si="627"/>
        <v>2.0766954505236253E-2</v>
      </c>
      <c r="P408" s="141">
        <f t="shared" si="628"/>
        <v>0.97923304549476375</v>
      </c>
      <c r="Q408" s="140">
        <v>0</v>
      </c>
      <c r="R408" s="139">
        <v>0</v>
      </c>
      <c r="S408" s="140">
        <v>150</v>
      </c>
      <c r="T408" s="139">
        <v>28238379</v>
      </c>
      <c r="U408" s="140">
        <v>1409</v>
      </c>
      <c r="V408" s="139">
        <v>1331536305</v>
      </c>
    </row>
    <row r="409" spans="1:22" ht="15.95" customHeight="1" x14ac:dyDescent="0.3">
      <c r="A409" s="137">
        <v>200</v>
      </c>
      <c r="B409" s="137" t="s">
        <v>2054</v>
      </c>
      <c r="C409" s="137">
        <v>1001459740</v>
      </c>
      <c r="D409" s="137" t="s">
        <v>3437</v>
      </c>
      <c r="E409" s="137">
        <v>1654046</v>
      </c>
      <c r="F409" s="137" t="s">
        <v>3307</v>
      </c>
      <c r="G409" s="167" t="s">
        <v>3438</v>
      </c>
      <c r="H409" s="137" t="s">
        <v>2056</v>
      </c>
      <c r="I409" s="137" t="s">
        <v>2258</v>
      </c>
      <c r="J409" s="137" t="s">
        <v>2244</v>
      </c>
      <c r="K409" s="137" t="s">
        <v>2077</v>
      </c>
      <c r="L409" s="139">
        <f t="shared" si="624"/>
        <v>84931703680</v>
      </c>
      <c r="M409" s="140">
        <f t="shared" si="625"/>
        <v>480</v>
      </c>
      <c r="N409" s="141">
        <f t="shared" si="626"/>
        <v>0</v>
      </c>
      <c r="O409" s="141">
        <f t="shared" si="627"/>
        <v>1.6655260293961409E-2</v>
      </c>
      <c r="P409" s="141">
        <f t="shared" si="628"/>
        <v>0.98334473970603864</v>
      </c>
      <c r="Q409" s="140">
        <v>0</v>
      </c>
      <c r="R409" s="139">
        <v>0</v>
      </c>
      <c r="S409" s="140">
        <v>7</v>
      </c>
      <c r="T409" s="139">
        <v>1414559632</v>
      </c>
      <c r="U409" s="140">
        <v>473</v>
      </c>
      <c r="V409" s="139">
        <v>83517144048</v>
      </c>
    </row>
    <row r="410" spans="1:22" ht="15.95" customHeight="1" x14ac:dyDescent="0.3">
      <c r="A410" s="137">
        <v>200</v>
      </c>
      <c r="B410" s="137" t="s">
        <v>4050</v>
      </c>
      <c r="C410" s="137">
        <v>1001459740</v>
      </c>
      <c r="D410" s="137" t="s">
        <v>3437</v>
      </c>
      <c r="E410" s="137">
        <v>1654046</v>
      </c>
      <c r="F410" s="137" t="s">
        <v>3307</v>
      </c>
      <c r="G410" s="167" t="s">
        <v>4087</v>
      </c>
      <c r="H410" s="214" t="s">
        <v>3969</v>
      </c>
      <c r="I410" s="137" t="s">
        <v>2258</v>
      </c>
      <c r="J410" s="137" t="s">
        <v>2047</v>
      </c>
      <c r="K410" s="137" t="s">
        <v>2077</v>
      </c>
      <c r="L410" s="139">
        <f t="shared" ref="L410:L412" si="634">ABS(R410)+ABS(T410)+ABS(V410)</f>
        <v>4642942304354</v>
      </c>
      <c r="M410" s="140">
        <f t="shared" ref="M410:M412" si="635">Q410+S410+U410</f>
        <v>79593</v>
      </c>
      <c r="N410" s="141">
        <f t="shared" ref="N410:N412" si="636">ABS(R410)/$L410</f>
        <v>0.23352568483981143</v>
      </c>
      <c r="O410" s="141">
        <f t="shared" ref="O410:O412" si="637">ABS(T410)/$L410</f>
        <v>0</v>
      </c>
      <c r="P410" s="141">
        <f t="shared" ref="P410:P412" si="638">ABS(V410)/$L410</f>
        <v>0.7664743151601886</v>
      </c>
      <c r="Q410" s="140">
        <v>12</v>
      </c>
      <c r="R410" s="139">
        <v>1084246281296</v>
      </c>
      <c r="S410" s="140">
        <v>0</v>
      </c>
      <c r="T410" s="139">
        <v>0</v>
      </c>
      <c r="U410" s="140">
        <v>79581</v>
      </c>
      <c r="V410" s="139">
        <v>3558696023058</v>
      </c>
    </row>
    <row r="411" spans="1:22" ht="15.95" customHeight="1" x14ac:dyDescent="0.3">
      <c r="A411" s="137">
        <v>200</v>
      </c>
      <c r="B411" s="137" t="s">
        <v>4050</v>
      </c>
      <c r="C411" s="137">
        <v>1001459740</v>
      </c>
      <c r="D411" s="137" t="s">
        <v>3437</v>
      </c>
      <c r="E411" s="137">
        <v>1654046</v>
      </c>
      <c r="F411" s="137" t="s">
        <v>3307</v>
      </c>
      <c r="G411" s="167" t="s">
        <v>4087</v>
      </c>
      <c r="H411" s="214" t="s">
        <v>3969</v>
      </c>
      <c r="I411" s="137" t="s">
        <v>2258</v>
      </c>
      <c r="J411" s="137" t="s">
        <v>2243</v>
      </c>
      <c r="K411" s="137" t="s">
        <v>2245</v>
      </c>
      <c r="L411" s="139">
        <f t="shared" si="634"/>
        <v>2746378073</v>
      </c>
      <c r="M411" s="140">
        <f t="shared" si="635"/>
        <v>3014</v>
      </c>
      <c r="N411" s="141">
        <f t="shared" si="636"/>
        <v>1.019524597697296E-5</v>
      </c>
      <c r="O411" s="141">
        <f t="shared" si="637"/>
        <v>1.3011248287809935E-2</v>
      </c>
      <c r="P411" s="141">
        <f t="shared" si="638"/>
        <v>0.98697855646621313</v>
      </c>
      <c r="Q411" s="140">
        <v>2</v>
      </c>
      <c r="R411" s="139">
        <v>28000</v>
      </c>
      <c r="S411" s="140">
        <v>243</v>
      </c>
      <c r="T411" s="139">
        <v>35733807</v>
      </c>
      <c r="U411" s="140">
        <v>2769</v>
      </c>
      <c r="V411" s="217">
        <v>2710616266</v>
      </c>
    </row>
    <row r="412" spans="1:22" ht="15.95" customHeight="1" x14ac:dyDescent="0.3">
      <c r="A412" s="137">
        <v>200</v>
      </c>
      <c r="B412" s="137" t="s">
        <v>4050</v>
      </c>
      <c r="C412" s="137">
        <v>1001459740</v>
      </c>
      <c r="D412" s="137" t="s">
        <v>3437</v>
      </c>
      <c r="E412" s="137">
        <v>1654046</v>
      </c>
      <c r="F412" s="137" t="s">
        <v>3307</v>
      </c>
      <c r="G412" s="167" t="s">
        <v>4087</v>
      </c>
      <c r="H412" s="214" t="s">
        <v>3969</v>
      </c>
      <c r="I412" s="137" t="s">
        <v>2258</v>
      </c>
      <c r="J412" s="137" t="s">
        <v>2244</v>
      </c>
      <c r="K412" s="137" t="s">
        <v>2245</v>
      </c>
      <c r="L412" s="139">
        <f t="shared" si="634"/>
        <v>178571744092</v>
      </c>
      <c r="M412" s="140">
        <f t="shared" si="635"/>
        <v>953</v>
      </c>
      <c r="N412" s="141">
        <f t="shared" si="636"/>
        <v>0</v>
      </c>
      <c r="O412" s="141">
        <f t="shared" si="637"/>
        <v>4.079598391695592E-3</v>
      </c>
      <c r="P412" s="141">
        <f t="shared" si="638"/>
        <v>0.99592040160830442</v>
      </c>
      <c r="Q412" s="140">
        <v>0</v>
      </c>
      <c r="R412" s="216">
        <v>0</v>
      </c>
      <c r="S412" s="140">
        <v>7</v>
      </c>
      <c r="T412" s="139">
        <v>728501000</v>
      </c>
      <c r="U412" s="140">
        <v>946</v>
      </c>
      <c r="V412" s="139">
        <v>177843243092</v>
      </c>
    </row>
    <row r="413" spans="1:22" ht="15.95" customHeight="1" x14ac:dyDescent="0.3">
      <c r="A413" s="137">
        <v>201</v>
      </c>
      <c r="B413" s="137" t="s">
        <v>4050</v>
      </c>
      <c r="C413" s="137">
        <v>1001196541</v>
      </c>
      <c r="D413" s="137" t="s">
        <v>4088</v>
      </c>
      <c r="E413" s="137">
        <v>1659469</v>
      </c>
      <c r="F413" s="137" t="s">
        <v>3627</v>
      </c>
      <c r="G413" s="214" t="s">
        <v>4089</v>
      </c>
      <c r="H413" s="214" t="s">
        <v>3969</v>
      </c>
      <c r="I413" s="137" t="s">
        <v>2258</v>
      </c>
      <c r="J413" s="137" t="s">
        <v>2047</v>
      </c>
      <c r="K413" s="137" t="s">
        <v>2077</v>
      </c>
      <c r="L413" s="139">
        <f t="shared" ref="L413:L414" si="639">ABS(R413)+ABS(T413)+ABS(V413)</f>
        <v>1719792739988</v>
      </c>
      <c r="M413" s="140">
        <f t="shared" ref="M413:M414" si="640">Q413+S413+U413</f>
        <v>112065</v>
      </c>
      <c r="N413" s="141">
        <f t="shared" ref="N413:N414" si="641">ABS(R413)/$L413</f>
        <v>2.6594423114798784E-2</v>
      </c>
      <c r="O413" s="141">
        <f t="shared" ref="O413:O414" si="642">ABS(T413)/$L413</f>
        <v>0</v>
      </c>
      <c r="P413" s="141">
        <f t="shared" ref="P413:P414" si="643">ABS(V413)/$L413</f>
        <v>0.97340557688520124</v>
      </c>
      <c r="Q413" s="140">
        <v>5</v>
      </c>
      <c r="R413" s="216">
        <v>45736895797</v>
      </c>
      <c r="S413" s="140">
        <v>0</v>
      </c>
      <c r="T413" s="139">
        <v>0</v>
      </c>
      <c r="U413" s="140">
        <v>112060</v>
      </c>
      <c r="V413" s="139">
        <v>1674055844191</v>
      </c>
    </row>
    <row r="414" spans="1:22" ht="15.95" customHeight="1" x14ac:dyDescent="0.3">
      <c r="A414" s="137">
        <v>201</v>
      </c>
      <c r="B414" s="137" t="s">
        <v>4050</v>
      </c>
      <c r="C414" s="137">
        <v>1001196541</v>
      </c>
      <c r="D414" s="137" t="s">
        <v>4088</v>
      </c>
      <c r="E414" s="137">
        <v>1659469</v>
      </c>
      <c r="F414" s="137" t="s">
        <v>3627</v>
      </c>
      <c r="G414" s="214" t="s">
        <v>4089</v>
      </c>
      <c r="H414" s="214" t="s">
        <v>3969</v>
      </c>
      <c r="I414" s="137" t="s">
        <v>2258</v>
      </c>
      <c r="J414" s="137" t="s">
        <v>2243</v>
      </c>
      <c r="K414" s="137" t="s">
        <v>2245</v>
      </c>
      <c r="L414" s="139">
        <f t="shared" si="639"/>
        <v>53596581895</v>
      </c>
      <c r="M414" s="140">
        <f t="shared" si="640"/>
        <v>3996</v>
      </c>
      <c r="N414" s="141">
        <f t="shared" si="641"/>
        <v>0</v>
      </c>
      <c r="O414" s="141">
        <f t="shared" si="642"/>
        <v>0.23285543756222776</v>
      </c>
      <c r="P414" s="141">
        <f t="shared" si="643"/>
        <v>0.76714456243777218</v>
      </c>
      <c r="Q414" s="140">
        <v>0</v>
      </c>
      <c r="R414" s="216">
        <v>0</v>
      </c>
      <c r="S414" s="140">
        <v>137</v>
      </c>
      <c r="T414" s="139">
        <v>12480255529</v>
      </c>
      <c r="U414" s="140">
        <v>3859</v>
      </c>
      <c r="V414" s="139">
        <v>41116326366</v>
      </c>
    </row>
    <row r="415" spans="1:22" ht="15.95" customHeight="1" x14ac:dyDescent="0.3">
      <c r="A415" s="137">
        <v>205</v>
      </c>
      <c r="B415" s="137" t="s">
        <v>2054</v>
      </c>
      <c r="C415" s="137">
        <v>1000317667</v>
      </c>
      <c r="D415" s="137" t="s">
        <v>3439</v>
      </c>
      <c r="E415" s="137">
        <v>1683879</v>
      </c>
      <c r="F415" s="137" t="s">
        <v>3308</v>
      </c>
      <c r="G415" s="167" t="s">
        <v>3440</v>
      </c>
      <c r="H415" s="137" t="s">
        <v>2056</v>
      </c>
      <c r="I415" s="137" t="s">
        <v>2258</v>
      </c>
      <c r="J415" s="137" t="s">
        <v>2047</v>
      </c>
      <c r="K415" s="137" t="s">
        <v>2077</v>
      </c>
      <c r="L415" s="139">
        <f t="shared" ref="L415:L417" si="644">ABS(R415)+ABS(T415)+ABS(V415)</f>
        <v>11816176400324</v>
      </c>
      <c r="M415" s="140">
        <f t="shared" ref="M415:M417" si="645">Q415+S415+U415</f>
        <v>3649986</v>
      </c>
      <c r="N415" s="141">
        <f t="shared" ref="N415:N417" si="646">ABS(R415)/$L415</f>
        <v>4.7103030361643775E-2</v>
      </c>
      <c r="O415" s="141">
        <f t="shared" ref="O415:O417" si="647">ABS(T415)/$L415</f>
        <v>0</v>
      </c>
      <c r="P415" s="141">
        <f t="shared" ref="P415:P417" si="648">ABS(V415)/$L415</f>
        <v>0.95289696963835624</v>
      </c>
      <c r="Q415" s="140">
        <v>8</v>
      </c>
      <c r="R415" s="139">
        <v>556577715743</v>
      </c>
      <c r="S415" s="140">
        <v>0</v>
      </c>
      <c r="T415" s="139">
        <v>0</v>
      </c>
      <c r="U415" s="140">
        <v>3649978</v>
      </c>
      <c r="V415" s="139">
        <v>11259598684581</v>
      </c>
    </row>
    <row r="416" spans="1:22" ht="15.95" customHeight="1" x14ac:dyDescent="0.3">
      <c r="A416" s="137">
        <v>205</v>
      </c>
      <c r="B416" s="137" t="s">
        <v>2054</v>
      </c>
      <c r="C416" s="137">
        <v>1000317667</v>
      </c>
      <c r="D416" s="137" t="s">
        <v>3439</v>
      </c>
      <c r="E416" s="137">
        <v>1683879</v>
      </c>
      <c r="F416" s="137" t="s">
        <v>3308</v>
      </c>
      <c r="G416" s="167" t="s">
        <v>3440</v>
      </c>
      <c r="H416" s="137" t="s">
        <v>2056</v>
      </c>
      <c r="I416" s="137" t="s">
        <v>2258</v>
      </c>
      <c r="J416" s="137" t="s">
        <v>2243</v>
      </c>
      <c r="K416" s="137" t="s">
        <v>2077</v>
      </c>
      <c r="L416" s="139">
        <f t="shared" si="644"/>
        <v>161446033497</v>
      </c>
      <c r="M416" s="140">
        <f t="shared" si="645"/>
        <v>201737</v>
      </c>
      <c r="N416" s="141">
        <f t="shared" si="646"/>
        <v>9.2451906533072892E-2</v>
      </c>
      <c r="O416" s="141">
        <f t="shared" si="647"/>
        <v>0.21666758342904721</v>
      </c>
      <c r="P416" s="141">
        <f t="shared" si="648"/>
        <v>0.69088051003787987</v>
      </c>
      <c r="Q416" s="140">
        <v>125</v>
      </c>
      <c r="R416" s="139">
        <v>14925993599</v>
      </c>
      <c r="S416" s="140">
        <v>8680</v>
      </c>
      <c r="T416" s="139">
        <v>34980121932</v>
      </c>
      <c r="U416" s="140">
        <v>192932</v>
      </c>
      <c r="V416" s="169">
        <v>111539917966</v>
      </c>
    </row>
    <row r="417" spans="1:22" ht="15.95" customHeight="1" x14ac:dyDescent="0.3">
      <c r="A417" s="137">
        <v>205</v>
      </c>
      <c r="B417" s="137" t="s">
        <v>2054</v>
      </c>
      <c r="C417" s="137">
        <v>1000317667</v>
      </c>
      <c r="D417" s="137" t="s">
        <v>3439</v>
      </c>
      <c r="E417" s="137">
        <v>1683879</v>
      </c>
      <c r="F417" s="137" t="s">
        <v>3308</v>
      </c>
      <c r="G417" s="167" t="s">
        <v>3440</v>
      </c>
      <c r="H417" s="137" t="s">
        <v>2056</v>
      </c>
      <c r="I417" s="137" t="s">
        <v>2258</v>
      </c>
      <c r="J417" s="137" t="s">
        <v>2244</v>
      </c>
      <c r="K417" s="137" t="s">
        <v>2077</v>
      </c>
      <c r="L417" s="139">
        <f t="shared" si="644"/>
        <v>330199255446</v>
      </c>
      <c r="M417" s="140">
        <f t="shared" si="645"/>
        <v>179735</v>
      </c>
      <c r="N417" s="141">
        <f t="shared" si="646"/>
        <v>3.5510986855988211E-3</v>
      </c>
      <c r="O417" s="141">
        <f t="shared" si="647"/>
        <v>7.9462538449881451E-2</v>
      </c>
      <c r="P417" s="141">
        <f t="shared" si="648"/>
        <v>0.91698636286451973</v>
      </c>
      <c r="Q417" s="140">
        <v>35</v>
      </c>
      <c r="R417" s="139">
        <v>1172570142</v>
      </c>
      <c r="S417" s="140">
        <v>1474</v>
      </c>
      <c r="T417" s="139">
        <v>26238471032</v>
      </c>
      <c r="U417" s="140">
        <v>178226</v>
      </c>
      <c r="V417" s="139">
        <v>302788214272</v>
      </c>
    </row>
    <row r="418" spans="1:22" ht="15.95" customHeight="1" x14ac:dyDescent="0.3">
      <c r="A418" s="137">
        <v>205</v>
      </c>
      <c r="B418" s="137" t="s">
        <v>4050</v>
      </c>
      <c r="C418" s="137">
        <v>1000317667</v>
      </c>
      <c r="D418" s="137" t="s">
        <v>3439</v>
      </c>
      <c r="E418" s="137">
        <v>1683879</v>
      </c>
      <c r="F418" s="137" t="s">
        <v>3308</v>
      </c>
      <c r="G418" s="167" t="s">
        <v>4090</v>
      </c>
      <c r="H418" s="214" t="s">
        <v>3969</v>
      </c>
      <c r="I418" s="137" t="s">
        <v>2258</v>
      </c>
      <c r="J418" s="137" t="s">
        <v>2047</v>
      </c>
      <c r="K418" s="137" t="s">
        <v>2077</v>
      </c>
      <c r="L418" s="139">
        <f t="shared" ref="L418:L420" si="649">ABS(R418)+ABS(T418)+ABS(V418)</f>
        <v>20265462248136</v>
      </c>
      <c r="M418" s="140">
        <f t="shared" ref="M418:M420" si="650">Q418+S418+U418</f>
        <v>6738578</v>
      </c>
      <c r="N418" s="141">
        <f t="shared" ref="N418:N420" si="651">ABS(R418)/$L418</f>
        <v>8.2654808127757776E-3</v>
      </c>
      <c r="O418" s="141">
        <f t="shared" ref="O418:O420" si="652">ABS(T418)/$L418</f>
        <v>0</v>
      </c>
      <c r="P418" s="141">
        <f t="shared" ref="P418:P420" si="653">ABS(V418)/$L418</f>
        <v>0.99173451918722422</v>
      </c>
      <c r="Q418" s="140">
        <v>16</v>
      </c>
      <c r="R418" s="139">
        <v>167503789374</v>
      </c>
      <c r="S418" s="140">
        <v>0</v>
      </c>
      <c r="T418" s="139">
        <v>0</v>
      </c>
      <c r="U418" s="140">
        <v>6738562</v>
      </c>
      <c r="V418" s="216">
        <v>20097958458762</v>
      </c>
    </row>
    <row r="419" spans="1:22" ht="15.95" customHeight="1" x14ac:dyDescent="0.3">
      <c r="A419" s="137">
        <v>205</v>
      </c>
      <c r="B419" s="137" t="s">
        <v>4050</v>
      </c>
      <c r="C419" s="137">
        <v>1000317667</v>
      </c>
      <c r="D419" s="137" t="s">
        <v>3439</v>
      </c>
      <c r="E419" s="137">
        <v>1683879</v>
      </c>
      <c r="F419" s="137" t="s">
        <v>3308</v>
      </c>
      <c r="G419" s="167" t="s">
        <v>4090</v>
      </c>
      <c r="H419" s="214" t="s">
        <v>3969</v>
      </c>
      <c r="I419" s="137" t="s">
        <v>2258</v>
      </c>
      <c r="J419" s="137" t="s">
        <v>2243</v>
      </c>
      <c r="K419" s="137" t="s">
        <v>2245</v>
      </c>
      <c r="L419" s="139">
        <f t="shared" si="649"/>
        <v>233094781295</v>
      </c>
      <c r="M419" s="140">
        <f t="shared" si="650"/>
        <v>386788</v>
      </c>
      <c r="N419" s="141">
        <f t="shared" si="651"/>
        <v>5.3643109316013744E-2</v>
      </c>
      <c r="O419" s="141">
        <f t="shared" si="652"/>
        <v>0.14162414572989035</v>
      </c>
      <c r="P419" s="141">
        <f t="shared" si="653"/>
        <v>0.80473274495409586</v>
      </c>
      <c r="Q419" s="140">
        <v>203</v>
      </c>
      <c r="R419" s="139">
        <v>12503928834</v>
      </c>
      <c r="S419" s="140">
        <v>8376</v>
      </c>
      <c r="T419" s="139">
        <v>33011849275</v>
      </c>
      <c r="U419" s="140">
        <v>378209</v>
      </c>
      <c r="V419" s="169">
        <v>187579003186</v>
      </c>
    </row>
    <row r="420" spans="1:22" ht="15.95" customHeight="1" x14ac:dyDescent="0.3">
      <c r="A420" s="137">
        <v>205</v>
      </c>
      <c r="B420" s="137" t="s">
        <v>4050</v>
      </c>
      <c r="C420" s="137">
        <v>1000317667</v>
      </c>
      <c r="D420" s="137" t="s">
        <v>3439</v>
      </c>
      <c r="E420" s="137">
        <v>1683879</v>
      </c>
      <c r="F420" s="137" t="s">
        <v>3308</v>
      </c>
      <c r="G420" s="167" t="s">
        <v>4090</v>
      </c>
      <c r="H420" s="214" t="s">
        <v>3969</v>
      </c>
      <c r="I420" s="137" t="s">
        <v>2258</v>
      </c>
      <c r="J420" s="137" t="s">
        <v>2244</v>
      </c>
      <c r="K420" s="137" t="s">
        <v>2245</v>
      </c>
      <c r="L420" s="139">
        <f t="shared" si="649"/>
        <v>484880459903</v>
      </c>
      <c r="M420" s="140">
        <f t="shared" si="650"/>
        <v>368410</v>
      </c>
      <c r="N420" s="141">
        <f t="shared" si="651"/>
        <v>4.3409410237341206E-3</v>
      </c>
      <c r="O420" s="141">
        <f t="shared" si="652"/>
        <v>0.10006808721825294</v>
      </c>
      <c r="P420" s="141">
        <f t="shared" si="653"/>
        <v>0.89559097175801294</v>
      </c>
      <c r="Q420" s="140">
        <v>53</v>
      </c>
      <c r="R420" s="139">
        <v>2104837480</v>
      </c>
      <c r="S420" s="140">
        <v>2157</v>
      </c>
      <c r="T420" s="139">
        <v>48521060152</v>
      </c>
      <c r="U420" s="140">
        <v>366200</v>
      </c>
      <c r="V420" s="139">
        <v>434254562271</v>
      </c>
    </row>
    <row r="421" spans="1:22" ht="15.95" customHeight="1" x14ac:dyDescent="0.3">
      <c r="A421" s="137">
        <v>206</v>
      </c>
      <c r="B421" s="214" t="s">
        <v>3333</v>
      </c>
      <c r="C421" s="137">
        <v>1000560765</v>
      </c>
      <c r="D421" s="137" t="s">
        <v>4091</v>
      </c>
      <c r="E421" s="137">
        <v>1685841</v>
      </c>
      <c r="F421" s="137" t="s">
        <v>3628</v>
      </c>
      <c r="G421" s="214" t="s">
        <v>4092</v>
      </c>
      <c r="H421" s="137" t="s">
        <v>3334</v>
      </c>
      <c r="I421" s="137" t="s">
        <v>2258</v>
      </c>
      <c r="J421" s="137" t="s">
        <v>2047</v>
      </c>
      <c r="K421" s="137" t="s">
        <v>2077</v>
      </c>
      <c r="L421" s="139">
        <f t="shared" ref="L421:L423" si="654">ABS(R421)+ABS(T421)+ABS(V421)</f>
        <v>18252723015694</v>
      </c>
      <c r="M421" s="140">
        <f t="shared" ref="M421:M423" si="655">Q421+S421+U421</f>
        <v>533473</v>
      </c>
      <c r="N421" s="141">
        <f t="shared" ref="N421:N423" si="656">ABS(R421)/$L421</f>
        <v>2.8071554947141039E-3</v>
      </c>
      <c r="O421" s="141">
        <f t="shared" ref="O421:O423" si="657">ABS(T421)/$L421</f>
        <v>0</v>
      </c>
      <c r="P421" s="141">
        <f t="shared" ref="P421:P423" si="658">ABS(V421)/$L421</f>
        <v>0.99719284450528589</v>
      </c>
      <c r="Q421" s="140">
        <v>12</v>
      </c>
      <c r="R421" s="139">
        <v>51238231707</v>
      </c>
      <c r="S421" s="140">
        <v>0</v>
      </c>
      <c r="T421" s="139">
        <v>0</v>
      </c>
      <c r="U421" s="140">
        <v>533461</v>
      </c>
      <c r="V421" s="139">
        <v>18201484783987</v>
      </c>
    </row>
    <row r="422" spans="1:22" ht="15.95" customHeight="1" x14ac:dyDescent="0.3">
      <c r="A422" s="137">
        <v>206</v>
      </c>
      <c r="B422" s="214" t="s">
        <v>3333</v>
      </c>
      <c r="C422" s="137">
        <v>1000560765</v>
      </c>
      <c r="D422" s="137" t="s">
        <v>4091</v>
      </c>
      <c r="E422" s="137">
        <v>1685841</v>
      </c>
      <c r="F422" s="137" t="s">
        <v>3628</v>
      </c>
      <c r="G422" s="214" t="s">
        <v>4092</v>
      </c>
      <c r="H422" s="137" t="s">
        <v>3334</v>
      </c>
      <c r="I422" s="137" t="s">
        <v>2258</v>
      </c>
      <c r="J422" s="137" t="s">
        <v>2243</v>
      </c>
      <c r="K422" s="137" t="s">
        <v>2245</v>
      </c>
      <c r="L422" s="139">
        <f t="shared" si="654"/>
        <v>118473150619</v>
      </c>
      <c r="M422" s="140">
        <f t="shared" si="655"/>
        <v>21966</v>
      </c>
      <c r="N422" s="141">
        <f t="shared" si="656"/>
        <v>7.0825156216064384E-3</v>
      </c>
      <c r="O422" s="141">
        <f t="shared" si="657"/>
        <v>0.24343268707141802</v>
      </c>
      <c r="P422" s="141">
        <f t="shared" si="658"/>
        <v>0.74948479730697559</v>
      </c>
      <c r="Q422" s="140">
        <v>17</v>
      </c>
      <c r="R422" s="139">
        <v>839087940</v>
      </c>
      <c r="S422" s="140">
        <v>2078</v>
      </c>
      <c r="T422" s="139">
        <v>28840237401</v>
      </c>
      <c r="U422" s="140">
        <v>19871</v>
      </c>
      <c r="V422" s="139">
        <v>88793825278</v>
      </c>
    </row>
    <row r="423" spans="1:22" ht="15.95" customHeight="1" x14ac:dyDescent="0.3">
      <c r="A423" s="137">
        <v>206</v>
      </c>
      <c r="B423" s="214" t="s">
        <v>3333</v>
      </c>
      <c r="C423" s="137">
        <v>1000560765</v>
      </c>
      <c r="D423" s="137" t="s">
        <v>4091</v>
      </c>
      <c r="E423" s="137">
        <v>1685841</v>
      </c>
      <c r="F423" s="137" t="s">
        <v>3628</v>
      </c>
      <c r="G423" s="214" t="s">
        <v>4092</v>
      </c>
      <c r="H423" s="137" t="s">
        <v>3334</v>
      </c>
      <c r="I423" s="137" t="s">
        <v>2258</v>
      </c>
      <c r="J423" s="137" t="s">
        <v>2244</v>
      </c>
      <c r="K423" s="137" t="s">
        <v>2245</v>
      </c>
      <c r="L423" s="139">
        <f t="shared" si="654"/>
        <v>734806365293</v>
      </c>
      <c r="M423" s="140">
        <f t="shared" si="655"/>
        <v>5074</v>
      </c>
      <c r="N423" s="141">
        <f t="shared" si="656"/>
        <v>4.1399214221382021E-2</v>
      </c>
      <c r="O423" s="141">
        <f t="shared" si="657"/>
        <v>6.6488873485083047E-2</v>
      </c>
      <c r="P423" s="141">
        <f t="shared" si="658"/>
        <v>0.89211191229353493</v>
      </c>
      <c r="Q423" s="140">
        <v>36</v>
      </c>
      <c r="R423" s="139">
        <v>30420406128</v>
      </c>
      <c r="S423" s="140">
        <v>484</v>
      </c>
      <c r="T423" s="139">
        <v>48856447458</v>
      </c>
      <c r="U423" s="140">
        <v>4554</v>
      </c>
      <c r="V423" s="139">
        <v>655529511707</v>
      </c>
    </row>
    <row r="424" spans="1:22" ht="15.95" customHeight="1" x14ac:dyDescent="0.3">
      <c r="A424" s="137">
        <v>209</v>
      </c>
      <c r="B424" s="137" t="s">
        <v>2054</v>
      </c>
      <c r="C424" s="137">
        <v>1000317622</v>
      </c>
      <c r="D424" s="137" t="s">
        <v>3441</v>
      </c>
      <c r="E424" s="137">
        <v>1683594</v>
      </c>
      <c r="F424" s="137" t="s">
        <v>3309</v>
      </c>
      <c r="G424" s="167" t="s">
        <v>3442</v>
      </c>
      <c r="H424" s="137" t="s">
        <v>2056</v>
      </c>
      <c r="I424" s="137" t="s">
        <v>2258</v>
      </c>
      <c r="J424" s="137" t="s">
        <v>2047</v>
      </c>
      <c r="K424" s="137" t="s">
        <v>2077</v>
      </c>
      <c r="L424" s="139">
        <f t="shared" ref="L424:L425" si="659">ABS(R424)+ABS(T424)+ABS(V424)</f>
        <v>28106684051714</v>
      </c>
      <c r="M424" s="140">
        <f t="shared" ref="M424:M425" si="660">Q424+S424+U424</f>
        <v>105115397</v>
      </c>
      <c r="N424" s="141">
        <f t="shared" ref="N424:N425" si="661">ABS(R424)/$L424</f>
        <v>1.8690327371007139E-3</v>
      </c>
      <c r="O424" s="141">
        <f t="shared" ref="O424:O425" si="662">ABS(T424)/$L424</f>
        <v>0</v>
      </c>
      <c r="P424" s="141">
        <f t="shared" ref="P424:P425" si="663">ABS(V424)/$L424</f>
        <v>0.99813096726289929</v>
      </c>
      <c r="Q424" s="140">
        <v>21</v>
      </c>
      <c r="R424" s="139">
        <v>52532312624</v>
      </c>
      <c r="S424" s="140">
        <v>0</v>
      </c>
      <c r="T424" s="139">
        <v>0</v>
      </c>
      <c r="U424" s="140">
        <v>105115376</v>
      </c>
      <c r="V424" s="139">
        <v>28054151739090</v>
      </c>
    </row>
    <row r="425" spans="1:22" ht="15.95" customHeight="1" x14ac:dyDescent="0.3">
      <c r="A425" s="137">
        <v>209</v>
      </c>
      <c r="B425" s="137" t="s">
        <v>2054</v>
      </c>
      <c r="C425" s="137">
        <v>1000317622</v>
      </c>
      <c r="D425" s="137" t="s">
        <v>3441</v>
      </c>
      <c r="E425" s="137">
        <v>1683594</v>
      </c>
      <c r="F425" s="137" t="s">
        <v>3309</v>
      </c>
      <c r="G425" s="167" t="s">
        <v>3442</v>
      </c>
      <c r="H425" s="137" t="s">
        <v>2056</v>
      </c>
      <c r="I425" s="137" t="s">
        <v>2258</v>
      </c>
      <c r="J425" s="137" t="s">
        <v>2244</v>
      </c>
      <c r="K425" s="137" t="s">
        <v>2077</v>
      </c>
      <c r="L425" s="139">
        <f t="shared" si="659"/>
        <v>1612369807961</v>
      </c>
      <c r="M425" s="140">
        <f t="shared" si="660"/>
        <v>17665856</v>
      </c>
      <c r="N425" s="141">
        <f t="shared" si="661"/>
        <v>4.351853002552453E-4</v>
      </c>
      <c r="O425" s="141">
        <f t="shared" si="662"/>
        <v>1.580151371490842E-2</v>
      </c>
      <c r="P425" s="141">
        <f t="shared" si="663"/>
        <v>0.98376330098483633</v>
      </c>
      <c r="Q425" s="140">
        <v>195</v>
      </c>
      <c r="R425" s="139">
        <v>701679639</v>
      </c>
      <c r="S425" s="140">
        <v>12898</v>
      </c>
      <c r="T425" s="139">
        <v>25477883634</v>
      </c>
      <c r="U425" s="140">
        <v>17652763</v>
      </c>
      <c r="V425" s="139">
        <v>1586190244688</v>
      </c>
    </row>
    <row r="426" spans="1:22" ht="15.95" customHeight="1" x14ac:dyDescent="0.3">
      <c r="A426" s="137">
        <v>209</v>
      </c>
      <c r="B426" s="214" t="s">
        <v>3983</v>
      </c>
      <c r="C426" s="137">
        <v>1000317622</v>
      </c>
      <c r="D426" s="137" t="s">
        <v>3441</v>
      </c>
      <c r="E426" s="137">
        <v>1683594</v>
      </c>
      <c r="F426" s="137" t="s">
        <v>3309</v>
      </c>
      <c r="G426" s="214" t="s">
        <v>4093</v>
      </c>
      <c r="H426" s="214" t="s">
        <v>3969</v>
      </c>
      <c r="I426" s="137" t="s">
        <v>2258</v>
      </c>
      <c r="J426" s="137" t="s">
        <v>2047</v>
      </c>
      <c r="K426" s="137" t="s">
        <v>2077</v>
      </c>
      <c r="L426" s="139">
        <f t="shared" ref="L426:L427" si="664">ABS(R426)+ABS(T426)+ABS(V426)</f>
        <v>58964763131794</v>
      </c>
      <c r="M426" s="140">
        <f t="shared" ref="M426:M427" si="665">Q426+S426+U426</f>
        <v>217903940</v>
      </c>
      <c r="N426" s="141">
        <f t="shared" ref="N426:N427" si="666">ABS(R426)/$L426</f>
        <v>2.6811357058560958E-4</v>
      </c>
      <c r="O426" s="141">
        <f t="shared" ref="O426:O427" si="667">ABS(T426)/$L426</f>
        <v>0</v>
      </c>
      <c r="P426" s="141">
        <f t="shared" ref="P426:P427" si="668">ABS(V426)/$L426</f>
        <v>0.99973188642941435</v>
      </c>
      <c r="Q426" s="140">
        <v>140</v>
      </c>
      <c r="R426" s="139">
        <v>15809253182</v>
      </c>
      <c r="S426" s="140">
        <v>0</v>
      </c>
      <c r="T426" s="139">
        <v>0</v>
      </c>
      <c r="U426" s="140">
        <v>217903800</v>
      </c>
      <c r="V426" s="139">
        <v>58948953878612</v>
      </c>
    </row>
    <row r="427" spans="1:22" ht="15.95" customHeight="1" x14ac:dyDescent="0.3">
      <c r="A427" s="137">
        <v>209</v>
      </c>
      <c r="B427" s="214" t="s">
        <v>3983</v>
      </c>
      <c r="C427" s="137">
        <v>1000317622</v>
      </c>
      <c r="D427" s="137" t="s">
        <v>3441</v>
      </c>
      <c r="E427" s="137">
        <v>1683594</v>
      </c>
      <c r="F427" s="137" t="s">
        <v>3309</v>
      </c>
      <c r="G427" s="214" t="s">
        <v>4093</v>
      </c>
      <c r="H427" s="214" t="s">
        <v>3969</v>
      </c>
      <c r="I427" s="137" t="s">
        <v>2258</v>
      </c>
      <c r="J427" s="137" t="s">
        <v>2244</v>
      </c>
      <c r="K427" s="137" t="s">
        <v>2245</v>
      </c>
      <c r="L427" s="139">
        <f t="shared" si="664"/>
        <v>3338436722366</v>
      </c>
      <c r="M427" s="140">
        <f t="shared" si="665"/>
        <v>37212010</v>
      </c>
      <c r="N427" s="141">
        <f t="shared" si="666"/>
        <v>4.5731854426702578E-4</v>
      </c>
      <c r="O427" s="141">
        <f t="shared" si="667"/>
        <v>1.2376001791556611E-2</v>
      </c>
      <c r="P427" s="141">
        <f t="shared" si="668"/>
        <v>0.98716667966417637</v>
      </c>
      <c r="Q427" s="140">
        <v>450</v>
      </c>
      <c r="R427" s="139">
        <v>1526729022</v>
      </c>
      <c r="S427" s="140">
        <v>21872</v>
      </c>
      <c r="T427" s="139">
        <v>41316498857</v>
      </c>
      <c r="U427" s="140">
        <v>37189688</v>
      </c>
      <c r="V427" s="139">
        <v>3295593494487</v>
      </c>
    </row>
    <row r="428" spans="1:22" ht="15.95" customHeight="1" x14ac:dyDescent="0.3">
      <c r="A428" s="137">
        <v>210</v>
      </c>
      <c r="B428" s="167" t="s">
        <v>3422</v>
      </c>
      <c r="C428" s="137">
        <v>1000317619</v>
      </c>
      <c r="D428" s="137" t="s">
        <v>3443</v>
      </c>
      <c r="E428" s="137">
        <v>1657787</v>
      </c>
      <c r="F428" s="137" t="s">
        <v>3310</v>
      </c>
      <c r="G428" s="167" t="s">
        <v>3444</v>
      </c>
      <c r="H428" s="167" t="s">
        <v>3334</v>
      </c>
      <c r="I428" s="137" t="s">
        <v>2258</v>
      </c>
      <c r="J428" s="137" t="s">
        <v>2047</v>
      </c>
      <c r="K428" s="137" t="s">
        <v>2077</v>
      </c>
      <c r="L428" s="139">
        <f t="shared" ref="L428:L438" si="669">ABS(R428)+ABS(T428)+ABS(V428)</f>
        <v>3325992311858</v>
      </c>
      <c r="M428" s="140">
        <f t="shared" ref="M428:M438" si="670">Q428+S428+U428</f>
        <v>126659</v>
      </c>
      <c r="N428" s="141">
        <f t="shared" ref="N428:N438" si="671">ABS(R428)/$L428</f>
        <v>8.2718610929773562E-4</v>
      </c>
      <c r="O428" s="141">
        <f t="shared" ref="O428:O438" si="672">ABS(T428)/$L428</f>
        <v>0</v>
      </c>
      <c r="P428" s="141">
        <f t="shared" ref="P428:P438" si="673">ABS(V428)/$L428</f>
        <v>0.99917281389070223</v>
      </c>
      <c r="Q428" s="140">
        <v>4</v>
      </c>
      <c r="R428" s="139">
        <v>-2751214640</v>
      </c>
      <c r="S428" s="140">
        <v>0</v>
      </c>
      <c r="T428" s="139">
        <v>0</v>
      </c>
      <c r="U428" s="140">
        <v>126655</v>
      </c>
      <c r="V428" s="139">
        <v>3323241097218</v>
      </c>
    </row>
    <row r="429" spans="1:22" ht="15.95" customHeight="1" x14ac:dyDescent="0.3">
      <c r="A429" s="137">
        <v>210</v>
      </c>
      <c r="B429" s="167" t="s">
        <v>3422</v>
      </c>
      <c r="C429" s="137">
        <v>1000317619</v>
      </c>
      <c r="D429" s="137" t="s">
        <v>3443</v>
      </c>
      <c r="E429" s="137">
        <v>1657787</v>
      </c>
      <c r="F429" s="137" t="s">
        <v>3310</v>
      </c>
      <c r="G429" s="167" t="s">
        <v>3444</v>
      </c>
      <c r="H429" s="167" t="s">
        <v>3334</v>
      </c>
      <c r="I429" s="137" t="s">
        <v>2258</v>
      </c>
      <c r="J429" s="137" t="s">
        <v>2244</v>
      </c>
      <c r="K429" s="137" t="s">
        <v>2245</v>
      </c>
      <c r="L429" s="139">
        <f t="shared" si="669"/>
        <v>137717382310</v>
      </c>
      <c r="M429" s="140">
        <f t="shared" si="670"/>
        <v>31770</v>
      </c>
      <c r="N429" s="141">
        <f t="shared" si="671"/>
        <v>0</v>
      </c>
      <c r="O429" s="141">
        <f t="shared" si="672"/>
        <v>8.5655021698328119E-3</v>
      </c>
      <c r="P429" s="141">
        <f t="shared" si="673"/>
        <v>0.99143449783016724</v>
      </c>
      <c r="Q429" s="140">
        <v>0</v>
      </c>
      <c r="R429" s="169">
        <v>0</v>
      </c>
      <c r="S429" s="140">
        <v>31</v>
      </c>
      <c r="T429" s="139">
        <v>1179618537</v>
      </c>
      <c r="U429" s="140">
        <v>31739</v>
      </c>
      <c r="V429" s="139">
        <v>136537763773</v>
      </c>
    </row>
    <row r="430" spans="1:22" ht="15.95" customHeight="1" x14ac:dyDescent="0.3">
      <c r="A430" s="137">
        <v>210</v>
      </c>
      <c r="B430" s="214" t="s">
        <v>3983</v>
      </c>
      <c r="C430" s="137">
        <v>1000317619</v>
      </c>
      <c r="D430" s="137" t="s">
        <v>3443</v>
      </c>
      <c r="E430" s="137">
        <v>1657787</v>
      </c>
      <c r="F430" s="137" t="s">
        <v>3310</v>
      </c>
      <c r="G430" s="167" t="s">
        <v>3444</v>
      </c>
      <c r="H430" s="207" t="s">
        <v>3970</v>
      </c>
      <c r="I430" s="137" t="s">
        <v>2258</v>
      </c>
      <c r="J430" s="137" t="s">
        <v>2047</v>
      </c>
      <c r="K430" s="137" t="s">
        <v>2077</v>
      </c>
      <c r="L430" s="139">
        <f t="shared" ref="L430:L431" si="674">ABS(R430)+ABS(T430)+ABS(V430)</f>
        <v>1481237926926</v>
      </c>
      <c r="M430" s="140">
        <f t="shared" ref="M430:M431" si="675">Q430+S430+U430</f>
        <v>42117</v>
      </c>
      <c r="N430" s="141">
        <f t="shared" ref="N430:N431" si="676">ABS(R430)/$L430</f>
        <v>1.0416401085556875E-2</v>
      </c>
      <c r="O430" s="141">
        <f t="shared" ref="O430:O431" si="677">ABS(T430)/$L430</f>
        <v>0</v>
      </c>
      <c r="P430" s="141">
        <f t="shared" ref="P430:P431" si="678">ABS(V430)/$L430</f>
        <v>0.98958359891444314</v>
      </c>
      <c r="Q430" s="140">
        <v>10</v>
      </c>
      <c r="R430" s="139">
        <v>15429168350</v>
      </c>
      <c r="S430" s="140">
        <v>0</v>
      </c>
      <c r="T430" s="139">
        <v>0</v>
      </c>
      <c r="U430" s="140">
        <v>42107</v>
      </c>
      <c r="V430" s="139">
        <v>1465808758576</v>
      </c>
    </row>
    <row r="431" spans="1:22" ht="15.95" customHeight="1" x14ac:dyDescent="0.3">
      <c r="A431" s="137">
        <v>210</v>
      </c>
      <c r="B431" s="214" t="s">
        <v>3983</v>
      </c>
      <c r="C431" s="137">
        <v>1000317619</v>
      </c>
      <c r="D431" s="137" t="s">
        <v>3443</v>
      </c>
      <c r="E431" s="137">
        <v>1657787</v>
      </c>
      <c r="F431" s="137" t="s">
        <v>3310</v>
      </c>
      <c r="G431" s="167" t="s">
        <v>3444</v>
      </c>
      <c r="H431" s="207" t="s">
        <v>3970</v>
      </c>
      <c r="I431" s="137" t="s">
        <v>2258</v>
      </c>
      <c r="J431" s="137" t="s">
        <v>2244</v>
      </c>
      <c r="K431" s="137" t="s">
        <v>2245</v>
      </c>
      <c r="L431" s="139">
        <f t="shared" si="674"/>
        <v>44352023906</v>
      </c>
      <c r="M431" s="140">
        <f t="shared" si="675"/>
        <v>8918</v>
      </c>
      <c r="N431" s="141">
        <f t="shared" si="676"/>
        <v>1.8063145702165379E-3</v>
      </c>
      <c r="O431" s="141">
        <f t="shared" si="677"/>
        <v>9.4632499497552917E-3</v>
      </c>
      <c r="P431" s="141">
        <f t="shared" si="678"/>
        <v>0.98873043548002815</v>
      </c>
      <c r="Q431" s="140">
        <v>1</v>
      </c>
      <c r="R431" s="169">
        <v>80113707</v>
      </c>
      <c r="S431" s="140">
        <v>11</v>
      </c>
      <c r="T431" s="139">
        <v>419714288</v>
      </c>
      <c r="U431" s="140">
        <v>8906</v>
      </c>
      <c r="V431" s="139">
        <v>43852195911</v>
      </c>
    </row>
    <row r="432" spans="1:22" ht="15.95" customHeight="1" x14ac:dyDescent="0.3">
      <c r="A432" s="137">
        <v>214</v>
      </c>
      <c r="B432" s="137" t="s">
        <v>2054</v>
      </c>
      <c r="C432" s="137">
        <v>1001370449</v>
      </c>
      <c r="D432" s="137" t="s">
        <v>1542</v>
      </c>
      <c r="E432" s="137">
        <v>1683457</v>
      </c>
      <c r="F432" s="137" t="s">
        <v>2263</v>
      </c>
      <c r="G432" s="137" t="s">
        <v>2262</v>
      </c>
      <c r="H432" s="137" t="s">
        <v>2056</v>
      </c>
      <c r="I432" s="137" t="s">
        <v>2258</v>
      </c>
      <c r="J432" s="137" t="s">
        <v>2242</v>
      </c>
      <c r="K432" s="137" t="s">
        <v>2077</v>
      </c>
      <c r="L432" s="139">
        <f>ABS(R432)+ABS(T432)+ABS(V432)</f>
        <v>2095606990862</v>
      </c>
      <c r="M432" s="140">
        <f>Q432+S432+U432</f>
        <v>449985</v>
      </c>
      <c r="N432" s="141">
        <f>ABS(R432)/$L432</f>
        <v>1.0859477369198473E-2</v>
      </c>
      <c r="O432" s="141">
        <f>ABS(T432)/$L432</f>
        <v>0</v>
      </c>
      <c r="P432" s="141">
        <f>ABS(V432)/$L432</f>
        <v>0.98914052263080154</v>
      </c>
      <c r="Q432" s="140">
        <v>6</v>
      </c>
      <c r="R432" s="139">
        <v>22757196692</v>
      </c>
      <c r="S432" s="140">
        <v>0</v>
      </c>
      <c r="T432" s="139">
        <v>0</v>
      </c>
      <c r="U432" s="140">
        <v>449979</v>
      </c>
      <c r="V432" s="139">
        <v>2072849794170</v>
      </c>
    </row>
    <row r="433" spans="1:22" ht="15.95" customHeight="1" x14ac:dyDescent="0.3">
      <c r="A433" s="137">
        <v>214</v>
      </c>
      <c r="B433" s="137" t="s">
        <v>2054</v>
      </c>
      <c r="C433" s="137">
        <v>1001370449</v>
      </c>
      <c r="D433" s="137" t="s">
        <v>1542</v>
      </c>
      <c r="E433" s="137">
        <v>1683457</v>
      </c>
      <c r="F433" s="137" t="s">
        <v>2263</v>
      </c>
      <c r="G433" s="137" t="s">
        <v>2262</v>
      </c>
      <c r="H433" s="137" t="s">
        <v>2056</v>
      </c>
      <c r="I433" s="137" t="s">
        <v>2258</v>
      </c>
      <c r="J433" s="137" t="s">
        <v>2243</v>
      </c>
      <c r="K433" s="137" t="s">
        <v>2077</v>
      </c>
      <c r="L433" s="139">
        <f>ABS(R433)+ABS(T433)+ABS(V433)</f>
        <v>3306731370</v>
      </c>
      <c r="M433" s="140">
        <f>Q433+S433+U433</f>
        <v>967</v>
      </c>
      <c r="N433" s="141">
        <f>ABS(R433)/$L433</f>
        <v>0</v>
      </c>
      <c r="O433" s="141">
        <f>ABS(T433)/$L433</f>
        <v>6.5554312021420715E-4</v>
      </c>
      <c r="P433" s="141">
        <f>ABS(V433)/$L433</f>
        <v>0.99934445687978579</v>
      </c>
      <c r="Q433" s="140">
        <v>0</v>
      </c>
      <c r="R433" s="139">
        <v>0</v>
      </c>
      <c r="S433" s="140">
        <v>88</v>
      </c>
      <c r="T433" s="139">
        <v>2167705</v>
      </c>
      <c r="U433" s="140">
        <v>879</v>
      </c>
      <c r="V433" s="139">
        <v>3304563665</v>
      </c>
    </row>
    <row r="434" spans="1:22" ht="15.95" customHeight="1" x14ac:dyDescent="0.3">
      <c r="A434" s="137">
        <v>216</v>
      </c>
      <c r="B434" s="137" t="s">
        <v>2054</v>
      </c>
      <c r="C434" s="137">
        <v>1000771643</v>
      </c>
      <c r="D434" s="137" t="s">
        <v>3445</v>
      </c>
      <c r="E434" s="137">
        <v>1683794</v>
      </c>
      <c r="F434" s="137" t="s">
        <v>3311</v>
      </c>
      <c r="G434" s="167" t="s">
        <v>3446</v>
      </c>
      <c r="H434" s="137" t="s">
        <v>2056</v>
      </c>
      <c r="I434" s="137" t="s">
        <v>2258</v>
      </c>
      <c r="J434" s="137" t="s">
        <v>2047</v>
      </c>
      <c r="K434" s="137" t="s">
        <v>2077</v>
      </c>
      <c r="L434" s="139">
        <f t="shared" si="669"/>
        <v>45400000000</v>
      </c>
      <c r="M434" s="140">
        <f t="shared" si="670"/>
        <v>57167</v>
      </c>
      <c r="N434" s="141">
        <f t="shared" si="671"/>
        <v>0.5</v>
      </c>
      <c r="O434" s="141">
        <f t="shared" si="672"/>
        <v>0</v>
      </c>
      <c r="P434" s="141">
        <f t="shared" si="673"/>
        <v>0.5</v>
      </c>
      <c r="Q434" s="140">
        <v>3</v>
      </c>
      <c r="R434" s="139">
        <v>22700000000</v>
      </c>
      <c r="S434" s="140">
        <v>0</v>
      </c>
      <c r="T434" s="139">
        <v>0</v>
      </c>
      <c r="U434" s="140">
        <v>57164</v>
      </c>
      <c r="V434" s="139">
        <v>-22700000000</v>
      </c>
    </row>
    <row r="435" spans="1:22" ht="15.95" customHeight="1" x14ac:dyDescent="0.3">
      <c r="A435" s="137">
        <v>216</v>
      </c>
      <c r="B435" s="137" t="s">
        <v>2054</v>
      </c>
      <c r="C435" s="137">
        <v>1000771643</v>
      </c>
      <c r="D435" s="137" t="s">
        <v>3445</v>
      </c>
      <c r="E435" s="137">
        <v>1683794</v>
      </c>
      <c r="F435" s="137" t="s">
        <v>3311</v>
      </c>
      <c r="G435" s="167" t="s">
        <v>3446</v>
      </c>
      <c r="H435" s="137" t="s">
        <v>2056</v>
      </c>
      <c r="I435" s="137" t="s">
        <v>2258</v>
      </c>
      <c r="J435" s="137" t="s">
        <v>2243</v>
      </c>
      <c r="K435" s="137" t="s">
        <v>2245</v>
      </c>
      <c r="L435" s="139">
        <f t="shared" si="669"/>
        <v>16284934219</v>
      </c>
      <c r="M435" s="140">
        <f t="shared" si="670"/>
        <v>10672</v>
      </c>
      <c r="N435" s="141">
        <f t="shared" si="671"/>
        <v>7.0562372223727798E-3</v>
      </c>
      <c r="O435" s="141">
        <f t="shared" si="672"/>
        <v>0.30285645319007354</v>
      </c>
      <c r="P435" s="141">
        <f t="shared" si="673"/>
        <v>0.69008730958755371</v>
      </c>
      <c r="Q435" s="140">
        <v>1</v>
      </c>
      <c r="R435" s="139">
        <v>-114910359</v>
      </c>
      <c r="S435" s="140">
        <v>169</v>
      </c>
      <c r="T435" s="139">
        <v>4931997418</v>
      </c>
      <c r="U435" s="140">
        <v>10502</v>
      </c>
      <c r="V435" s="139">
        <v>11238026442</v>
      </c>
    </row>
    <row r="436" spans="1:22" ht="15.95" customHeight="1" x14ac:dyDescent="0.3">
      <c r="A436" s="137">
        <v>219</v>
      </c>
      <c r="B436" s="214" t="s">
        <v>3422</v>
      </c>
      <c r="C436" s="137">
        <v>1000316316</v>
      </c>
      <c r="D436" s="137" t="s">
        <v>1256</v>
      </c>
      <c r="E436" s="137">
        <v>1682798</v>
      </c>
      <c r="F436" s="137" t="s">
        <v>1257</v>
      </c>
      <c r="G436" s="214" t="s">
        <v>4095</v>
      </c>
      <c r="H436" s="167" t="s">
        <v>3334</v>
      </c>
      <c r="I436" s="137" t="s">
        <v>2258</v>
      </c>
      <c r="J436" s="137" t="s">
        <v>2047</v>
      </c>
      <c r="K436" s="137" t="s">
        <v>2077</v>
      </c>
      <c r="L436" s="139">
        <f t="shared" si="669"/>
        <v>12149245404082</v>
      </c>
      <c r="M436" s="140">
        <f t="shared" si="670"/>
        <v>233179</v>
      </c>
      <c r="N436" s="141">
        <f t="shared" si="671"/>
        <v>2.9641980276651703E-2</v>
      </c>
      <c r="O436" s="141">
        <f t="shared" si="672"/>
        <v>0</v>
      </c>
      <c r="P436" s="141">
        <f t="shared" si="673"/>
        <v>0.97035801972334834</v>
      </c>
      <c r="Q436" s="140">
        <v>8</v>
      </c>
      <c r="R436" s="139">
        <v>360127692644</v>
      </c>
      <c r="S436" s="140">
        <v>0</v>
      </c>
      <c r="T436" s="139">
        <v>0</v>
      </c>
      <c r="U436" s="140">
        <v>233171</v>
      </c>
      <c r="V436" s="139">
        <v>11789117711438</v>
      </c>
    </row>
    <row r="437" spans="1:22" ht="15.95" customHeight="1" x14ac:dyDescent="0.3">
      <c r="A437" s="137">
        <v>219</v>
      </c>
      <c r="B437" s="214" t="s">
        <v>3422</v>
      </c>
      <c r="C437" s="137">
        <v>1000316316</v>
      </c>
      <c r="D437" s="137" t="s">
        <v>1256</v>
      </c>
      <c r="E437" s="137">
        <v>1682798</v>
      </c>
      <c r="F437" s="137" t="s">
        <v>1257</v>
      </c>
      <c r="G437" s="214" t="s">
        <v>4095</v>
      </c>
      <c r="H437" s="167" t="s">
        <v>3334</v>
      </c>
      <c r="I437" s="137" t="s">
        <v>2258</v>
      </c>
      <c r="J437" s="137" t="s">
        <v>2243</v>
      </c>
      <c r="K437" s="137" t="s">
        <v>2245</v>
      </c>
      <c r="L437" s="139">
        <f t="shared" si="669"/>
        <v>13221376845</v>
      </c>
      <c r="M437" s="140">
        <f t="shared" si="670"/>
        <v>4130</v>
      </c>
      <c r="N437" s="141">
        <f t="shared" si="671"/>
        <v>6.6209413003082737E-4</v>
      </c>
      <c r="O437" s="141">
        <f t="shared" si="672"/>
        <v>0.18932489409729097</v>
      </c>
      <c r="P437" s="141">
        <f t="shared" si="673"/>
        <v>0.81001301177267815</v>
      </c>
      <c r="Q437" s="140">
        <v>2</v>
      </c>
      <c r="R437" s="139">
        <v>8753796</v>
      </c>
      <c r="S437" s="140">
        <v>124</v>
      </c>
      <c r="T437" s="139">
        <v>2503135771</v>
      </c>
      <c r="U437" s="140">
        <v>4004</v>
      </c>
      <c r="V437" s="139">
        <v>10709487278</v>
      </c>
    </row>
    <row r="438" spans="1:22" ht="15.95" customHeight="1" x14ac:dyDescent="0.3">
      <c r="A438" s="137">
        <v>219</v>
      </c>
      <c r="B438" s="214" t="s">
        <v>3422</v>
      </c>
      <c r="C438" s="137">
        <v>1000316316</v>
      </c>
      <c r="D438" s="137" t="s">
        <v>1256</v>
      </c>
      <c r="E438" s="137">
        <v>1682798</v>
      </c>
      <c r="F438" s="137" t="s">
        <v>1257</v>
      </c>
      <c r="G438" s="214" t="s">
        <v>4095</v>
      </c>
      <c r="H438" s="167" t="s">
        <v>3334</v>
      </c>
      <c r="I438" s="137" t="s">
        <v>2258</v>
      </c>
      <c r="J438" s="137" t="s">
        <v>2244</v>
      </c>
      <c r="K438" s="137" t="s">
        <v>2245</v>
      </c>
      <c r="L438" s="139">
        <f t="shared" si="669"/>
        <v>439789567586</v>
      </c>
      <c r="M438" s="140">
        <f t="shared" si="670"/>
        <v>6947</v>
      </c>
      <c r="N438" s="141">
        <f t="shared" si="671"/>
        <v>5.4943870855405925E-2</v>
      </c>
      <c r="O438" s="141">
        <f t="shared" si="672"/>
        <v>8.7073844589348175E-3</v>
      </c>
      <c r="P438" s="141">
        <f t="shared" si="673"/>
        <v>0.93634874468565921</v>
      </c>
      <c r="Q438" s="140">
        <v>28</v>
      </c>
      <c r="R438" s="139">
        <v>-24163741205</v>
      </c>
      <c r="S438" s="140">
        <v>60</v>
      </c>
      <c r="T438" s="139">
        <v>3829416846</v>
      </c>
      <c r="U438" s="140">
        <v>6859</v>
      </c>
      <c r="V438" s="139">
        <v>411796409535</v>
      </c>
    </row>
    <row r="439" spans="1:22" ht="15.95" customHeight="1" x14ac:dyDescent="0.3">
      <c r="A439" s="137">
        <v>219</v>
      </c>
      <c r="B439" s="214" t="s">
        <v>3983</v>
      </c>
      <c r="C439" s="137">
        <v>1000316316</v>
      </c>
      <c r="D439" s="137" t="s">
        <v>1256</v>
      </c>
      <c r="E439" s="137">
        <v>1682798</v>
      </c>
      <c r="F439" s="137" t="s">
        <v>1257</v>
      </c>
      <c r="G439" s="214" t="s">
        <v>4094</v>
      </c>
      <c r="H439" s="207" t="s">
        <v>3970</v>
      </c>
      <c r="I439" s="137" t="s">
        <v>2258</v>
      </c>
      <c r="J439" s="137" t="s">
        <v>2047</v>
      </c>
      <c r="K439" s="137" t="s">
        <v>2077</v>
      </c>
      <c r="L439" s="139">
        <f t="shared" ref="L439:L441" si="679">ABS(R439)+ABS(T439)+ABS(V439)</f>
        <v>4065474709844</v>
      </c>
      <c r="M439" s="140">
        <f t="shared" ref="M439:M441" si="680">Q439+S439+U439</f>
        <v>85116</v>
      </c>
      <c r="N439" s="141">
        <f t="shared" ref="N439:N441" si="681">ABS(R439)/$L439</f>
        <v>4.0397600624184432E-2</v>
      </c>
      <c r="O439" s="141">
        <f t="shared" ref="O439:O441" si="682">ABS(T439)/$L439</f>
        <v>0</v>
      </c>
      <c r="P439" s="141">
        <f t="shared" ref="P439:P441" si="683">ABS(V439)/$L439</f>
        <v>0.9596023993758156</v>
      </c>
      <c r="Q439" s="140">
        <v>23</v>
      </c>
      <c r="R439" s="139">
        <v>164235423676</v>
      </c>
      <c r="S439" s="140">
        <v>0</v>
      </c>
      <c r="T439" s="139">
        <v>0</v>
      </c>
      <c r="U439" s="140">
        <v>85093</v>
      </c>
      <c r="V439" s="139">
        <v>3901239286168</v>
      </c>
    </row>
    <row r="440" spans="1:22" ht="15.95" customHeight="1" x14ac:dyDescent="0.3">
      <c r="A440" s="137">
        <v>219</v>
      </c>
      <c r="B440" s="214" t="s">
        <v>3983</v>
      </c>
      <c r="C440" s="137">
        <v>1000316316</v>
      </c>
      <c r="D440" s="137" t="s">
        <v>1256</v>
      </c>
      <c r="E440" s="137">
        <v>1682798</v>
      </c>
      <c r="F440" s="137" t="s">
        <v>1257</v>
      </c>
      <c r="G440" s="214" t="s">
        <v>4094</v>
      </c>
      <c r="H440" s="207" t="s">
        <v>3970</v>
      </c>
      <c r="I440" s="137" t="s">
        <v>2258</v>
      </c>
      <c r="J440" s="137" t="s">
        <v>2243</v>
      </c>
      <c r="K440" s="137" t="s">
        <v>2245</v>
      </c>
      <c r="L440" s="139">
        <f t="shared" si="679"/>
        <v>647535951</v>
      </c>
      <c r="M440" s="140">
        <f t="shared" si="680"/>
        <v>526</v>
      </c>
      <c r="N440" s="141">
        <f t="shared" si="681"/>
        <v>0</v>
      </c>
      <c r="O440" s="141">
        <f t="shared" si="682"/>
        <v>0</v>
      </c>
      <c r="P440" s="141">
        <f t="shared" si="683"/>
        <v>1</v>
      </c>
      <c r="Q440" s="140">
        <v>0</v>
      </c>
      <c r="R440" s="139">
        <v>0</v>
      </c>
      <c r="S440" s="218">
        <v>0</v>
      </c>
      <c r="T440" s="139">
        <v>0</v>
      </c>
      <c r="U440" s="140">
        <v>526</v>
      </c>
      <c r="V440" s="139">
        <v>647535951</v>
      </c>
    </row>
    <row r="441" spans="1:22" ht="15.95" customHeight="1" x14ac:dyDescent="0.3">
      <c r="A441" s="137">
        <v>219</v>
      </c>
      <c r="B441" s="214" t="s">
        <v>3983</v>
      </c>
      <c r="C441" s="137">
        <v>1000316316</v>
      </c>
      <c r="D441" s="137" t="s">
        <v>1256</v>
      </c>
      <c r="E441" s="137">
        <v>1682798</v>
      </c>
      <c r="F441" s="137" t="s">
        <v>1257</v>
      </c>
      <c r="G441" s="214" t="s">
        <v>4094</v>
      </c>
      <c r="H441" s="207" t="s">
        <v>3970</v>
      </c>
      <c r="I441" s="137" t="s">
        <v>2258</v>
      </c>
      <c r="J441" s="137" t="s">
        <v>2244</v>
      </c>
      <c r="K441" s="137" t="s">
        <v>2245</v>
      </c>
      <c r="L441" s="139">
        <f t="shared" si="679"/>
        <v>196072662766</v>
      </c>
      <c r="M441" s="140">
        <f t="shared" si="680"/>
        <v>2497</v>
      </c>
      <c r="N441" s="141">
        <f t="shared" si="681"/>
        <v>3.390731203020541E-2</v>
      </c>
      <c r="O441" s="141">
        <f t="shared" si="682"/>
        <v>0.13035850373238358</v>
      </c>
      <c r="P441" s="141">
        <f t="shared" si="683"/>
        <v>0.83573418423741097</v>
      </c>
      <c r="Q441" s="140">
        <v>8</v>
      </c>
      <c r="R441" s="139">
        <v>6648296957</v>
      </c>
      <c r="S441" s="140">
        <v>41</v>
      </c>
      <c r="T441" s="139">
        <v>25559738941</v>
      </c>
      <c r="U441" s="140">
        <v>2448</v>
      </c>
      <c r="V441" s="139">
        <v>163864626868</v>
      </c>
    </row>
    <row r="442" spans="1:22" ht="15.95" customHeight="1" x14ac:dyDescent="0.3">
      <c r="A442" s="137">
        <v>221</v>
      </c>
      <c r="B442" s="214" t="s">
        <v>3983</v>
      </c>
      <c r="C442" s="137">
        <v>1000567248</v>
      </c>
      <c r="D442" s="137" t="s">
        <v>4096</v>
      </c>
      <c r="E442" s="137">
        <v>1682797</v>
      </c>
      <c r="F442" s="137" t="s">
        <v>3742</v>
      </c>
      <c r="G442" s="214" t="s">
        <v>4097</v>
      </c>
      <c r="H442" s="214" t="s">
        <v>3969</v>
      </c>
      <c r="I442" s="137" t="s">
        <v>2258</v>
      </c>
      <c r="J442" s="137" t="s">
        <v>2047</v>
      </c>
      <c r="K442" s="137" t="s">
        <v>2077</v>
      </c>
      <c r="L442" s="139">
        <f t="shared" ref="L442:L444" si="684">ABS(R442)+ABS(T442)+ABS(V442)</f>
        <v>6171861882608</v>
      </c>
      <c r="M442" s="140">
        <f t="shared" ref="M442:M444" si="685">Q442+S442+U442</f>
        <v>519040</v>
      </c>
      <c r="N442" s="141">
        <f t="shared" ref="N442:N444" si="686">ABS(R442)/$L442</f>
        <v>2.1009065161906759E-2</v>
      </c>
      <c r="O442" s="141">
        <f t="shared" ref="O442:O444" si="687">ABS(T442)/$L442</f>
        <v>0</v>
      </c>
      <c r="P442" s="141">
        <f t="shared" ref="P442:P444" si="688">ABS(V442)/$L442</f>
        <v>0.97899093483809319</v>
      </c>
      <c r="Q442" s="140">
        <v>25</v>
      </c>
      <c r="R442" s="139">
        <v>129665048462</v>
      </c>
      <c r="S442" s="140">
        <v>0</v>
      </c>
      <c r="T442" s="139">
        <v>0</v>
      </c>
      <c r="U442" s="140">
        <v>519015</v>
      </c>
      <c r="V442" s="139">
        <v>6042196834146</v>
      </c>
    </row>
    <row r="443" spans="1:22" ht="15.95" customHeight="1" x14ac:dyDescent="0.3">
      <c r="A443" s="137">
        <v>221</v>
      </c>
      <c r="B443" s="214" t="s">
        <v>3983</v>
      </c>
      <c r="C443" s="137">
        <v>1000567248</v>
      </c>
      <c r="D443" s="137" t="s">
        <v>4096</v>
      </c>
      <c r="E443" s="137">
        <v>1682797</v>
      </c>
      <c r="F443" s="137" t="s">
        <v>3742</v>
      </c>
      <c r="G443" s="214" t="s">
        <v>4097</v>
      </c>
      <c r="H443" s="214" t="s">
        <v>3969</v>
      </c>
      <c r="I443" s="137" t="s">
        <v>2258</v>
      </c>
      <c r="J443" s="137" t="s">
        <v>2243</v>
      </c>
      <c r="K443" s="137" t="s">
        <v>2245</v>
      </c>
      <c r="L443" s="139">
        <f t="shared" si="684"/>
        <v>504529199372</v>
      </c>
      <c r="M443" s="140">
        <f t="shared" si="685"/>
        <v>70217</v>
      </c>
      <c r="N443" s="141">
        <f t="shared" si="686"/>
        <v>0.15032533203113776</v>
      </c>
      <c r="O443" s="141">
        <f t="shared" si="687"/>
        <v>0.3563825098999388</v>
      </c>
      <c r="P443" s="141">
        <f t="shared" si="688"/>
        <v>0.4932921580689234</v>
      </c>
      <c r="Q443" s="140">
        <v>72</v>
      </c>
      <c r="R443" s="139">
        <v>75843519415</v>
      </c>
      <c r="S443" s="140">
        <v>3113</v>
      </c>
      <c r="T443" s="139">
        <v>179805382390</v>
      </c>
      <c r="U443" s="140">
        <v>67032</v>
      </c>
      <c r="V443" s="139">
        <v>248880297567</v>
      </c>
    </row>
    <row r="444" spans="1:22" ht="15.95" customHeight="1" x14ac:dyDescent="0.3">
      <c r="A444" s="137">
        <v>221</v>
      </c>
      <c r="B444" s="214" t="s">
        <v>3983</v>
      </c>
      <c r="C444" s="137">
        <v>1000567248</v>
      </c>
      <c r="D444" s="137" t="s">
        <v>4096</v>
      </c>
      <c r="E444" s="137">
        <v>1682797</v>
      </c>
      <c r="F444" s="137" t="s">
        <v>3742</v>
      </c>
      <c r="G444" s="214" t="s">
        <v>4097</v>
      </c>
      <c r="H444" s="214" t="s">
        <v>3969</v>
      </c>
      <c r="I444" s="137" t="s">
        <v>2258</v>
      </c>
      <c r="J444" s="137" t="s">
        <v>2244</v>
      </c>
      <c r="K444" s="137" t="s">
        <v>2245</v>
      </c>
      <c r="L444" s="139">
        <f t="shared" si="684"/>
        <v>755300156516</v>
      </c>
      <c r="M444" s="140">
        <f t="shared" si="685"/>
        <v>63340</v>
      </c>
      <c r="N444" s="141">
        <f t="shared" si="686"/>
        <v>2.5576648988276454E-2</v>
      </c>
      <c r="O444" s="141">
        <f t="shared" si="687"/>
        <v>0.32274205193791211</v>
      </c>
      <c r="P444" s="141">
        <f t="shared" si="688"/>
        <v>0.65168129907381145</v>
      </c>
      <c r="Q444" s="140">
        <v>136</v>
      </c>
      <c r="R444" s="139">
        <v>19318046984</v>
      </c>
      <c r="S444" s="140">
        <v>10465</v>
      </c>
      <c r="T444" s="139">
        <v>243767122343</v>
      </c>
      <c r="U444" s="140">
        <v>52739</v>
      </c>
      <c r="V444" s="139">
        <v>492214987189</v>
      </c>
    </row>
    <row r="445" spans="1:22" ht="15.95" customHeight="1" x14ac:dyDescent="0.3">
      <c r="A445" s="137">
        <v>225</v>
      </c>
      <c r="B445" s="167" t="s">
        <v>3422</v>
      </c>
      <c r="C445" s="137">
        <v>1000682032</v>
      </c>
      <c r="D445" s="137" t="s">
        <v>2473</v>
      </c>
      <c r="E445" s="137">
        <v>1659410</v>
      </c>
      <c r="F445" s="137" t="s">
        <v>3312</v>
      </c>
      <c r="G445" s="167" t="s">
        <v>3447</v>
      </c>
      <c r="H445" s="167" t="s">
        <v>3334</v>
      </c>
      <c r="I445" s="137" t="s">
        <v>2258</v>
      </c>
      <c r="J445" s="137" t="s">
        <v>2047</v>
      </c>
      <c r="K445" s="137" t="s">
        <v>2077</v>
      </c>
      <c r="L445" s="139">
        <f t="shared" ref="L445:L447" si="689">ABS(R445)+ABS(T445)+ABS(V445)</f>
        <v>225587655298</v>
      </c>
      <c r="M445" s="140">
        <f t="shared" ref="M445:M447" si="690">Q445+S445+U445</f>
        <v>21167</v>
      </c>
      <c r="N445" s="141">
        <f t="shared" ref="N445:N447" si="691">ABS(R445)/$L445</f>
        <v>4.5125688347407773E-2</v>
      </c>
      <c r="O445" s="141">
        <f t="shared" ref="O445:O447" si="692">ABS(T445)/$L445</f>
        <v>0</v>
      </c>
      <c r="P445" s="141">
        <f t="shared" ref="P445:P447" si="693">ABS(V445)/$L445</f>
        <v>0.95487431165259218</v>
      </c>
      <c r="Q445" s="140">
        <v>4</v>
      </c>
      <c r="R445" s="139">
        <v>10179798228</v>
      </c>
      <c r="S445" s="140">
        <v>0</v>
      </c>
      <c r="T445" s="139">
        <v>0</v>
      </c>
      <c r="U445" s="140">
        <v>21163</v>
      </c>
      <c r="V445" s="139">
        <v>215407857070</v>
      </c>
    </row>
    <row r="446" spans="1:22" ht="15.95" customHeight="1" x14ac:dyDescent="0.3">
      <c r="A446" s="137">
        <v>225</v>
      </c>
      <c r="B446" s="167" t="s">
        <v>3422</v>
      </c>
      <c r="C446" s="137">
        <v>1000682032</v>
      </c>
      <c r="D446" s="137" t="s">
        <v>2473</v>
      </c>
      <c r="E446" s="137">
        <v>1659410</v>
      </c>
      <c r="F446" s="137" t="s">
        <v>3312</v>
      </c>
      <c r="G446" s="167" t="s">
        <v>3447</v>
      </c>
      <c r="H446" s="167" t="s">
        <v>3334</v>
      </c>
      <c r="I446" s="137" t="s">
        <v>2258</v>
      </c>
      <c r="J446" s="137" t="s">
        <v>2243</v>
      </c>
      <c r="K446" s="137" t="s">
        <v>2245</v>
      </c>
      <c r="L446" s="139">
        <f t="shared" si="689"/>
        <v>921826781</v>
      </c>
      <c r="M446" s="140">
        <f t="shared" si="690"/>
        <v>1204</v>
      </c>
      <c r="N446" s="141">
        <f t="shared" si="691"/>
        <v>5.9175976576449666E-6</v>
      </c>
      <c r="O446" s="141">
        <f t="shared" si="692"/>
        <v>1.8603712056831641E-3</v>
      </c>
      <c r="P446" s="141">
        <f t="shared" si="693"/>
        <v>0.99813371119665917</v>
      </c>
      <c r="Q446" s="140">
        <v>1</v>
      </c>
      <c r="R446" s="139">
        <v>5455</v>
      </c>
      <c r="S446" s="140">
        <v>123</v>
      </c>
      <c r="T446" s="139">
        <v>1714940</v>
      </c>
      <c r="U446" s="140">
        <v>1080</v>
      </c>
      <c r="V446" s="139">
        <v>920106386</v>
      </c>
    </row>
    <row r="447" spans="1:22" ht="15.95" customHeight="1" x14ac:dyDescent="0.3">
      <c r="A447" s="137">
        <v>225</v>
      </c>
      <c r="B447" s="167" t="s">
        <v>3422</v>
      </c>
      <c r="C447" s="137">
        <v>1000682032</v>
      </c>
      <c r="D447" s="137" t="s">
        <v>2473</v>
      </c>
      <c r="E447" s="137">
        <v>1659410</v>
      </c>
      <c r="F447" s="137" t="s">
        <v>3312</v>
      </c>
      <c r="G447" s="167" t="s">
        <v>3447</v>
      </c>
      <c r="H447" s="167" t="s">
        <v>3334</v>
      </c>
      <c r="I447" s="137" t="s">
        <v>2258</v>
      </c>
      <c r="J447" s="137" t="s">
        <v>2244</v>
      </c>
      <c r="K447" s="137" t="s">
        <v>2245</v>
      </c>
      <c r="L447" s="139">
        <f t="shared" si="689"/>
        <v>10259797387</v>
      </c>
      <c r="M447" s="140">
        <f t="shared" si="690"/>
        <v>1190</v>
      </c>
      <c r="N447" s="141">
        <f t="shared" si="691"/>
        <v>1.6772261040753047E-5</v>
      </c>
      <c r="O447" s="141">
        <f t="shared" si="692"/>
        <v>4.1511307283674727E-2</v>
      </c>
      <c r="P447" s="141">
        <f t="shared" si="693"/>
        <v>0.95847192045528451</v>
      </c>
      <c r="Q447" s="140">
        <v>4</v>
      </c>
      <c r="R447" s="139">
        <v>172080</v>
      </c>
      <c r="S447" s="140">
        <v>53</v>
      </c>
      <c r="T447" s="139">
        <v>425897602</v>
      </c>
      <c r="U447" s="140">
        <v>1133</v>
      </c>
      <c r="V447" s="139">
        <v>9833727705</v>
      </c>
    </row>
    <row r="448" spans="1:22" ht="15.95" customHeight="1" x14ac:dyDescent="0.3">
      <c r="A448" s="27">
        <v>226</v>
      </c>
      <c r="B448" s="137" t="s">
        <v>2054</v>
      </c>
      <c r="C448" s="137">
        <v>1000359179</v>
      </c>
      <c r="D448" s="137" t="s">
        <v>1543</v>
      </c>
      <c r="E448" s="137">
        <v>1685492</v>
      </c>
      <c r="F448" s="137" t="s">
        <v>2264</v>
      </c>
      <c r="G448" s="137" t="s">
        <v>2265</v>
      </c>
      <c r="H448" s="137" t="s">
        <v>2056</v>
      </c>
      <c r="I448" s="137" t="s">
        <v>2258</v>
      </c>
      <c r="J448" s="137" t="s">
        <v>2242</v>
      </c>
      <c r="K448" s="137" t="s">
        <v>2077</v>
      </c>
      <c r="L448" s="139">
        <f t="shared" ref="L448:L465" si="694">ABS(R448)+ABS(T448)+ABS(V448)</f>
        <v>45776208292564</v>
      </c>
      <c r="M448" s="140">
        <f t="shared" ref="M448:M465" si="695">Q448+S448+U448</f>
        <v>3714220</v>
      </c>
      <c r="N448" s="141">
        <f t="shared" ref="N448:N465" si="696">ABS(R448)/$L448</f>
        <v>1.5540388733235432E-3</v>
      </c>
      <c r="O448" s="141">
        <f t="shared" ref="O448:O465" si="697">ABS(T448)/$L448</f>
        <v>0</v>
      </c>
      <c r="P448" s="141">
        <f t="shared" ref="P448:P465" si="698">ABS(V448)/$L448</f>
        <v>0.9984459611266765</v>
      </c>
      <c r="Q448" s="140">
        <v>140</v>
      </c>
      <c r="R448" s="139">
        <v>71138007160</v>
      </c>
      <c r="S448" s="140">
        <v>0</v>
      </c>
      <c r="T448" s="139">
        <v>0</v>
      </c>
      <c r="U448" s="140">
        <v>3714080</v>
      </c>
      <c r="V448" s="139">
        <v>45705070285404</v>
      </c>
    </row>
    <row r="449" spans="1:22" ht="15.95" customHeight="1" x14ac:dyDescent="0.3">
      <c r="A449" s="27">
        <v>226</v>
      </c>
      <c r="B449" s="137" t="s">
        <v>2054</v>
      </c>
      <c r="C449" s="137">
        <v>1000359179</v>
      </c>
      <c r="D449" s="137" t="s">
        <v>1543</v>
      </c>
      <c r="E449" s="137">
        <v>1685492</v>
      </c>
      <c r="F449" s="137" t="s">
        <v>2264</v>
      </c>
      <c r="G449" s="137" t="s">
        <v>2265</v>
      </c>
      <c r="H449" s="137" t="s">
        <v>2056</v>
      </c>
      <c r="I449" s="137" t="s">
        <v>2258</v>
      </c>
      <c r="J449" s="137" t="s">
        <v>2244</v>
      </c>
      <c r="K449" s="137" t="s">
        <v>2077</v>
      </c>
      <c r="L449" s="139">
        <f t="shared" si="694"/>
        <v>84299509013</v>
      </c>
      <c r="M449" s="140">
        <f t="shared" si="695"/>
        <v>378636</v>
      </c>
      <c r="N449" s="141">
        <f t="shared" si="696"/>
        <v>2.2718415236613783E-3</v>
      </c>
      <c r="O449" s="141">
        <f t="shared" si="697"/>
        <v>5.4614408837067039E-3</v>
      </c>
      <c r="P449" s="141">
        <f t="shared" si="698"/>
        <v>0.99226671759263196</v>
      </c>
      <c r="Q449" s="140">
        <v>20</v>
      </c>
      <c r="R449" s="139">
        <v>191515125</v>
      </c>
      <c r="S449" s="140">
        <v>1214</v>
      </c>
      <c r="T449" s="139">
        <v>460396785</v>
      </c>
      <c r="U449" s="140">
        <v>377402</v>
      </c>
      <c r="V449" s="139">
        <v>83647597103</v>
      </c>
    </row>
    <row r="450" spans="1:22" ht="15.95" customHeight="1" x14ac:dyDescent="0.3">
      <c r="A450" s="27">
        <v>226</v>
      </c>
      <c r="B450" s="137" t="s">
        <v>2054</v>
      </c>
      <c r="C450" s="137">
        <v>1000359179</v>
      </c>
      <c r="D450" s="137" t="s">
        <v>1543</v>
      </c>
      <c r="E450" s="137">
        <v>1685492</v>
      </c>
      <c r="F450" s="137" t="s">
        <v>2264</v>
      </c>
      <c r="G450" s="137" t="s">
        <v>2265</v>
      </c>
      <c r="H450" s="137" t="s">
        <v>2056</v>
      </c>
      <c r="I450" s="137" t="s">
        <v>2258</v>
      </c>
      <c r="J450" s="137" t="s">
        <v>2244</v>
      </c>
      <c r="K450" s="137" t="s">
        <v>2077</v>
      </c>
      <c r="L450" s="139">
        <f t="shared" si="694"/>
        <v>51403309718</v>
      </c>
      <c r="M450" s="140">
        <f t="shared" si="695"/>
        <v>591270</v>
      </c>
      <c r="N450" s="141">
        <f t="shared" si="696"/>
        <v>6.5295717696261041E-5</v>
      </c>
      <c r="O450" s="141">
        <f t="shared" si="697"/>
        <v>0.13195291050733349</v>
      </c>
      <c r="P450" s="141">
        <f t="shared" si="698"/>
        <v>0.8679817937749702</v>
      </c>
      <c r="Q450" s="140">
        <v>44</v>
      </c>
      <c r="R450" s="139">
        <v>3356416</v>
      </c>
      <c r="S450" s="140">
        <v>1836</v>
      </c>
      <c r="T450" s="139">
        <v>6782816327</v>
      </c>
      <c r="U450" s="140">
        <v>589390</v>
      </c>
      <c r="V450" s="139">
        <v>44617136975</v>
      </c>
    </row>
    <row r="451" spans="1:22" ht="15.95" customHeight="1" x14ac:dyDescent="0.3">
      <c r="A451" s="27">
        <v>226</v>
      </c>
      <c r="B451" s="214" t="s">
        <v>3983</v>
      </c>
      <c r="C451" s="137">
        <v>1000359179</v>
      </c>
      <c r="D451" s="137" t="s">
        <v>1543</v>
      </c>
      <c r="E451" s="137">
        <v>1685492</v>
      </c>
      <c r="F451" s="137" t="s">
        <v>2264</v>
      </c>
      <c r="G451" s="214" t="s">
        <v>4098</v>
      </c>
      <c r="H451" s="214" t="s">
        <v>3969</v>
      </c>
      <c r="I451" s="137" t="s">
        <v>2258</v>
      </c>
      <c r="J451" s="137" t="s">
        <v>2242</v>
      </c>
      <c r="K451" s="137" t="s">
        <v>2077</v>
      </c>
      <c r="L451" s="139">
        <f t="shared" ref="L451:L453" si="699">ABS(R451)+ABS(T451)+ABS(V451)</f>
        <v>66359914965388</v>
      </c>
      <c r="M451" s="140">
        <f t="shared" ref="M451:M453" si="700">Q451+S451+U451</f>
        <v>8559625</v>
      </c>
      <c r="N451" s="141">
        <f t="shared" ref="N451:N453" si="701">ABS(R451)/$L451</f>
        <v>4.1464382826065481E-3</v>
      </c>
      <c r="O451" s="141">
        <f t="shared" ref="O451:O453" si="702">ABS(T451)/$L451</f>
        <v>0</v>
      </c>
      <c r="P451" s="141">
        <f t="shared" ref="P451:P453" si="703">ABS(V451)/$L451</f>
        <v>0.99585356171739348</v>
      </c>
      <c r="Q451" s="140">
        <v>208</v>
      </c>
      <c r="R451" s="139">
        <v>275157291843</v>
      </c>
      <c r="S451" s="140">
        <v>0</v>
      </c>
      <c r="T451" s="139">
        <v>0</v>
      </c>
      <c r="U451" s="140">
        <v>8559417</v>
      </c>
      <c r="V451" s="139">
        <v>66084757673545</v>
      </c>
    </row>
    <row r="452" spans="1:22" ht="15.95" customHeight="1" x14ac:dyDescent="0.3">
      <c r="A452" s="27">
        <v>226</v>
      </c>
      <c r="B452" s="214" t="s">
        <v>3983</v>
      </c>
      <c r="C452" s="137">
        <v>1000359179</v>
      </c>
      <c r="D452" s="137" t="s">
        <v>1543</v>
      </c>
      <c r="E452" s="137">
        <v>1685492</v>
      </c>
      <c r="F452" s="137" t="s">
        <v>2264</v>
      </c>
      <c r="G452" s="214" t="s">
        <v>4098</v>
      </c>
      <c r="H452" s="214" t="s">
        <v>3969</v>
      </c>
      <c r="I452" s="137" t="s">
        <v>2258</v>
      </c>
      <c r="J452" s="137" t="s">
        <v>2244</v>
      </c>
      <c r="K452" s="137" t="s">
        <v>2245</v>
      </c>
      <c r="L452" s="139">
        <f t="shared" si="699"/>
        <v>214138657446</v>
      </c>
      <c r="M452" s="140">
        <f t="shared" si="700"/>
        <v>821252</v>
      </c>
      <c r="N452" s="141">
        <f t="shared" si="701"/>
        <v>1.6015097231403981E-3</v>
      </c>
      <c r="O452" s="141">
        <f t="shared" si="702"/>
        <v>9.0496222266111832E-3</v>
      </c>
      <c r="P452" s="141">
        <f t="shared" si="703"/>
        <v>0.98934886805024846</v>
      </c>
      <c r="Q452" s="140">
        <v>29</v>
      </c>
      <c r="R452" s="139">
        <v>342945142</v>
      </c>
      <c r="S452" s="140">
        <v>1541</v>
      </c>
      <c r="T452" s="139">
        <v>1937873954</v>
      </c>
      <c r="U452" s="140">
        <v>819682</v>
      </c>
      <c r="V452" s="139">
        <v>211857838350</v>
      </c>
    </row>
    <row r="453" spans="1:22" ht="15.95" customHeight="1" x14ac:dyDescent="0.3">
      <c r="A453" s="27">
        <v>226</v>
      </c>
      <c r="B453" s="214" t="s">
        <v>3983</v>
      </c>
      <c r="C453" s="137">
        <v>1000359179</v>
      </c>
      <c r="D453" s="137" t="s">
        <v>1543</v>
      </c>
      <c r="E453" s="137">
        <v>1685492</v>
      </c>
      <c r="F453" s="137" t="s">
        <v>2264</v>
      </c>
      <c r="G453" s="214" t="s">
        <v>4098</v>
      </c>
      <c r="H453" s="214" t="s">
        <v>3969</v>
      </c>
      <c r="I453" s="137" t="s">
        <v>2258</v>
      </c>
      <c r="J453" s="137" t="s">
        <v>2244</v>
      </c>
      <c r="K453" s="137" t="s">
        <v>2245</v>
      </c>
      <c r="L453" s="139">
        <f t="shared" si="699"/>
        <v>141892240231</v>
      </c>
      <c r="M453" s="140">
        <f t="shared" si="700"/>
        <v>1368836</v>
      </c>
      <c r="N453" s="141">
        <f t="shared" si="701"/>
        <v>1.0945146101518105E-4</v>
      </c>
      <c r="O453" s="141">
        <f t="shared" si="702"/>
        <v>0.15798222442965243</v>
      </c>
      <c r="P453" s="141">
        <f t="shared" si="703"/>
        <v>0.84190832410933236</v>
      </c>
      <c r="Q453" s="140">
        <v>83</v>
      </c>
      <c r="R453" s="139">
        <v>15530313</v>
      </c>
      <c r="S453" s="140">
        <v>3599</v>
      </c>
      <c r="T453" s="139">
        <v>22416451741</v>
      </c>
      <c r="U453" s="140">
        <v>1365154</v>
      </c>
      <c r="V453" s="139">
        <v>119460258177</v>
      </c>
    </row>
    <row r="454" spans="1:22" ht="15.95" customHeight="1" x14ac:dyDescent="0.3">
      <c r="A454" s="27">
        <v>227</v>
      </c>
      <c r="B454" s="137" t="s">
        <v>2054</v>
      </c>
      <c r="C454" s="137">
        <v>1000325872</v>
      </c>
      <c r="D454" s="137" t="s">
        <v>3448</v>
      </c>
      <c r="E454" s="137">
        <v>1684336</v>
      </c>
      <c r="F454" s="137" t="s">
        <v>3449</v>
      </c>
      <c r="G454" s="167" t="s">
        <v>3450</v>
      </c>
      <c r="H454" s="137" t="s">
        <v>2056</v>
      </c>
      <c r="I454" s="137" t="s">
        <v>2258</v>
      </c>
      <c r="J454" s="137" t="s">
        <v>2242</v>
      </c>
      <c r="K454" s="137" t="s">
        <v>2077</v>
      </c>
      <c r="L454" s="139">
        <f t="shared" si="694"/>
        <v>3968526652610</v>
      </c>
      <c r="M454" s="140">
        <f t="shared" si="695"/>
        <v>1267356</v>
      </c>
      <c r="N454" s="141">
        <f t="shared" si="696"/>
        <v>1.7188024132114434E-2</v>
      </c>
      <c r="O454" s="141">
        <f t="shared" si="697"/>
        <v>0</v>
      </c>
      <c r="P454" s="141">
        <f t="shared" si="698"/>
        <v>0.9828119758678856</v>
      </c>
      <c r="Q454" s="140">
        <v>5</v>
      </c>
      <c r="R454" s="139">
        <v>68211131874</v>
      </c>
      <c r="S454" s="140">
        <v>0</v>
      </c>
      <c r="T454" s="139">
        <v>0</v>
      </c>
      <c r="U454" s="140">
        <v>1267351</v>
      </c>
      <c r="V454" s="139">
        <v>3900315520736</v>
      </c>
    </row>
    <row r="455" spans="1:22" ht="15.95" customHeight="1" x14ac:dyDescent="0.3">
      <c r="A455" s="27">
        <v>227</v>
      </c>
      <c r="B455" s="137" t="s">
        <v>2054</v>
      </c>
      <c r="C455" s="137">
        <v>1000325872</v>
      </c>
      <c r="D455" s="137" t="s">
        <v>3448</v>
      </c>
      <c r="E455" s="137">
        <v>1684336</v>
      </c>
      <c r="F455" s="137" t="s">
        <v>3449</v>
      </c>
      <c r="G455" s="167" t="s">
        <v>3450</v>
      </c>
      <c r="H455" s="137" t="s">
        <v>2056</v>
      </c>
      <c r="I455" s="137" t="s">
        <v>2258</v>
      </c>
      <c r="J455" s="137" t="s">
        <v>2244</v>
      </c>
      <c r="K455" s="137" t="s">
        <v>2077</v>
      </c>
      <c r="L455" s="139">
        <f t="shared" si="694"/>
        <v>69969796108</v>
      </c>
      <c r="M455" s="140">
        <f t="shared" si="695"/>
        <v>5722</v>
      </c>
      <c r="N455" s="141">
        <f t="shared" si="696"/>
        <v>2.6408953616898254E-4</v>
      </c>
      <c r="O455" s="141">
        <f t="shared" si="697"/>
        <v>2.7576948373862483E-2</v>
      </c>
      <c r="P455" s="141">
        <f t="shared" si="698"/>
        <v>0.97215896208996855</v>
      </c>
      <c r="Q455" s="140">
        <v>1</v>
      </c>
      <c r="R455" s="139">
        <v>18478291</v>
      </c>
      <c r="S455" s="140">
        <v>69</v>
      </c>
      <c r="T455" s="139">
        <v>1929553455</v>
      </c>
      <c r="U455" s="140">
        <v>5652</v>
      </c>
      <c r="V455" s="139">
        <v>68021764362</v>
      </c>
    </row>
    <row r="456" spans="1:22" ht="15.95" customHeight="1" x14ac:dyDescent="0.3">
      <c r="A456" s="27">
        <v>227</v>
      </c>
      <c r="B456" s="214" t="s">
        <v>3983</v>
      </c>
      <c r="C456" s="137">
        <v>1000325872</v>
      </c>
      <c r="D456" s="137" t="s">
        <v>3448</v>
      </c>
      <c r="E456" s="137">
        <v>1684336</v>
      </c>
      <c r="F456" s="137" t="s">
        <v>3449</v>
      </c>
      <c r="G456" s="167" t="s">
        <v>4099</v>
      </c>
      <c r="H456" s="214" t="s">
        <v>3969</v>
      </c>
      <c r="I456" s="137" t="s">
        <v>2258</v>
      </c>
      <c r="J456" s="137" t="s">
        <v>2242</v>
      </c>
      <c r="K456" s="137" t="s">
        <v>2077</v>
      </c>
      <c r="L456" s="139">
        <f t="shared" ref="L456:L457" si="704">ABS(R456)+ABS(T456)+ABS(V456)</f>
        <v>61072550207306</v>
      </c>
      <c r="M456" s="140">
        <f t="shared" ref="M456:M457" si="705">Q456+S456+U456</f>
        <v>17840794</v>
      </c>
      <c r="N456" s="141">
        <f t="shared" ref="N456:N457" si="706">ABS(R456)/$L456</f>
        <v>7.5542585943104857E-4</v>
      </c>
      <c r="O456" s="141">
        <f t="shared" ref="O456:O457" si="707">ABS(T456)/$L456</f>
        <v>0</v>
      </c>
      <c r="P456" s="141">
        <f t="shared" ref="P456:P457" si="708">ABS(V456)/$L456</f>
        <v>0.999244574140569</v>
      </c>
      <c r="Q456" s="140">
        <v>118</v>
      </c>
      <c r="R456" s="139">
        <v>46135783728</v>
      </c>
      <c r="S456" s="140">
        <v>0</v>
      </c>
      <c r="T456" s="139">
        <v>0</v>
      </c>
      <c r="U456" s="140">
        <v>17840676</v>
      </c>
      <c r="V456" s="139">
        <v>61026414423578</v>
      </c>
    </row>
    <row r="457" spans="1:22" ht="15.95" customHeight="1" x14ac:dyDescent="0.3">
      <c r="A457" s="27">
        <v>227</v>
      </c>
      <c r="B457" s="214" t="s">
        <v>3983</v>
      </c>
      <c r="C457" s="137">
        <v>1000325872</v>
      </c>
      <c r="D457" s="137" t="s">
        <v>3448</v>
      </c>
      <c r="E457" s="137">
        <v>1684336</v>
      </c>
      <c r="F457" s="137" t="s">
        <v>3449</v>
      </c>
      <c r="G457" s="167" t="s">
        <v>4099</v>
      </c>
      <c r="H457" s="214" t="s">
        <v>3969</v>
      </c>
      <c r="I457" s="137" t="s">
        <v>2258</v>
      </c>
      <c r="J457" s="137" t="s">
        <v>2244</v>
      </c>
      <c r="K457" s="137" t="s">
        <v>2245</v>
      </c>
      <c r="L457" s="139">
        <f t="shared" si="704"/>
        <v>143348748306</v>
      </c>
      <c r="M457" s="140">
        <f t="shared" si="705"/>
        <v>13177</v>
      </c>
      <c r="N457" s="141">
        <f t="shared" si="706"/>
        <v>3.8592548483162757E-2</v>
      </c>
      <c r="O457" s="141">
        <f t="shared" si="707"/>
        <v>0.12708027480723749</v>
      </c>
      <c r="P457" s="141">
        <f t="shared" si="708"/>
        <v>0.83432717670959977</v>
      </c>
      <c r="Q457" s="140">
        <v>15</v>
      </c>
      <c r="R457" s="139">
        <v>5532193519</v>
      </c>
      <c r="S457" s="140">
        <v>427</v>
      </c>
      <c r="T457" s="139">
        <v>18216798328</v>
      </c>
      <c r="U457" s="140">
        <v>12735</v>
      </c>
      <c r="V457" s="139">
        <v>119599756459</v>
      </c>
    </row>
    <row r="458" spans="1:22" ht="15.95" customHeight="1" x14ac:dyDescent="0.3">
      <c r="A458" s="27">
        <v>228</v>
      </c>
      <c r="B458" s="167" t="s">
        <v>3422</v>
      </c>
      <c r="C458" s="137">
        <v>1000509483</v>
      </c>
      <c r="D458" s="137" t="s">
        <v>3451</v>
      </c>
      <c r="E458" s="137">
        <v>1684035</v>
      </c>
      <c r="F458" s="137" t="s">
        <v>3313</v>
      </c>
      <c r="G458" s="167" t="s">
        <v>3452</v>
      </c>
      <c r="H458" s="167" t="s">
        <v>3334</v>
      </c>
      <c r="I458" s="137" t="s">
        <v>2258</v>
      </c>
      <c r="J458" s="137" t="s">
        <v>2047</v>
      </c>
      <c r="K458" s="137" t="s">
        <v>2077</v>
      </c>
      <c r="L458" s="139">
        <f t="shared" si="694"/>
        <v>7233919621318</v>
      </c>
      <c r="M458" s="140">
        <f t="shared" si="695"/>
        <v>350175</v>
      </c>
      <c r="N458" s="141">
        <f t="shared" si="696"/>
        <v>1.4403989063264647E-3</v>
      </c>
      <c r="O458" s="141">
        <f t="shared" si="697"/>
        <v>0</v>
      </c>
      <c r="P458" s="141">
        <f t="shared" si="698"/>
        <v>0.99855960109367359</v>
      </c>
      <c r="Q458" s="140">
        <v>5</v>
      </c>
      <c r="R458" s="139">
        <v>10419729911</v>
      </c>
      <c r="S458" s="168">
        <v>0</v>
      </c>
      <c r="T458" s="139">
        <v>0</v>
      </c>
      <c r="U458" s="140">
        <v>350170</v>
      </c>
      <c r="V458" s="139">
        <v>7223499891407</v>
      </c>
    </row>
    <row r="459" spans="1:22" ht="15.95" customHeight="1" x14ac:dyDescent="0.3">
      <c r="A459" s="27">
        <v>228</v>
      </c>
      <c r="B459" s="167" t="s">
        <v>3422</v>
      </c>
      <c r="C459" s="137">
        <v>1000509483</v>
      </c>
      <c r="D459" s="137" t="s">
        <v>3451</v>
      </c>
      <c r="E459" s="137">
        <v>1684035</v>
      </c>
      <c r="F459" s="137" t="s">
        <v>3313</v>
      </c>
      <c r="G459" s="167" t="s">
        <v>3452</v>
      </c>
      <c r="H459" s="167" t="s">
        <v>3334</v>
      </c>
      <c r="I459" s="137" t="s">
        <v>2258</v>
      </c>
      <c r="J459" s="137" t="s">
        <v>2243</v>
      </c>
      <c r="K459" s="137" t="s">
        <v>2245</v>
      </c>
      <c r="L459" s="139">
        <f t="shared" si="694"/>
        <v>104197479268</v>
      </c>
      <c r="M459" s="140">
        <f t="shared" si="695"/>
        <v>27834</v>
      </c>
      <c r="N459" s="141">
        <f t="shared" si="696"/>
        <v>5.1228148103956111E-4</v>
      </c>
      <c r="O459" s="141">
        <f t="shared" si="697"/>
        <v>0.13927634123157567</v>
      </c>
      <c r="P459" s="141">
        <f t="shared" si="698"/>
        <v>0.86021137728738473</v>
      </c>
      <c r="Q459" s="140">
        <v>1</v>
      </c>
      <c r="R459" s="139">
        <v>53378439</v>
      </c>
      <c r="S459" s="168">
        <v>748</v>
      </c>
      <c r="T459" s="139">
        <v>14512243678</v>
      </c>
      <c r="U459" s="140">
        <v>27085</v>
      </c>
      <c r="V459" s="139">
        <v>89631857151</v>
      </c>
    </row>
    <row r="460" spans="1:22" ht="15.95" customHeight="1" x14ac:dyDescent="0.3">
      <c r="A460" s="27">
        <v>228</v>
      </c>
      <c r="B460" s="167" t="s">
        <v>3422</v>
      </c>
      <c r="C460" s="137">
        <v>1000509483</v>
      </c>
      <c r="D460" s="137" t="s">
        <v>3451</v>
      </c>
      <c r="E460" s="137">
        <v>1684035</v>
      </c>
      <c r="F460" s="137" t="s">
        <v>3313</v>
      </c>
      <c r="G460" s="167" t="s">
        <v>3452</v>
      </c>
      <c r="H460" s="167" t="s">
        <v>3334</v>
      </c>
      <c r="I460" s="137" t="s">
        <v>2258</v>
      </c>
      <c r="J460" s="137" t="s">
        <v>2244</v>
      </c>
      <c r="K460" s="137" t="s">
        <v>2245</v>
      </c>
      <c r="L460" s="139">
        <f t="shared" si="694"/>
        <v>163862224242</v>
      </c>
      <c r="M460" s="140">
        <f t="shared" si="695"/>
        <v>84147</v>
      </c>
      <c r="N460" s="141">
        <f t="shared" si="696"/>
        <v>0</v>
      </c>
      <c r="O460" s="141">
        <f t="shared" si="697"/>
        <v>1.0455214653194491E-2</v>
      </c>
      <c r="P460" s="141">
        <f t="shared" si="698"/>
        <v>0.98954478534680546</v>
      </c>
      <c r="Q460" s="140">
        <v>0</v>
      </c>
      <c r="R460" s="139">
        <v>0</v>
      </c>
      <c r="S460" s="168">
        <v>157</v>
      </c>
      <c r="T460" s="139">
        <v>1713214728</v>
      </c>
      <c r="U460" s="140">
        <v>83990</v>
      </c>
      <c r="V460" s="139">
        <v>162149009514</v>
      </c>
    </row>
    <row r="461" spans="1:22" ht="15.95" customHeight="1" x14ac:dyDescent="0.3">
      <c r="A461" s="27">
        <v>228</v>
      </c>
      <c r="B461" s="214" t="s">
        <v>3983</v>
      </c>
      <c r="C461" s="137">
        <v>1000509483</v>
      </c>
      <c r="D461" s="137" t="s">
        <v>3451</v>
      </c>
      <c r="E461" s="137">
        <v>1684035</v>
      </c>
      <c r="F461" s="137" t="s">
        <v>3313</v>
      </c>
      <c r="G461" s="214" t="s">
        <v>4100</v>
      </c>
      <c r="H461" s="207" t="s">
        <v>3970</v>
      </c>
      <c r="I461" s="137" t="s">
        <v>2258</v>
      </c>
      <c r="J461" s="137" t="s">
        <v>2047</v>
      </c>
      <c r="K461" s="137" t="s">
        <v>2077</v>
      </c>
      <c r="L461" s="139">
        <f t="shared" ref="L461" si="709">ABS(R461)+ABS(T461)+ABS(V461)</f>
        <v>2701837834880</v>
      </c>
      <c r="M461" s="140">
        <f t="shared" ref="M461" si="710">Q461+S461+U461</f>
        <v>113919</v>
      </c>
      <c r="N461" s="141">
        <f t="shared" ref="N461" si="711">ABS(R461)/$L461</f>
        <v>1.2129209702719078E-2</v>
      </c>
      <c r="O461" s="141">
        <f t="shared" ref="O461" si="712">ABS(T461)/$L461</f>
        <v>0</v>
      </c>
      <c r="P461" s="141">
        <f t="shared" ref="P461" si="713">ABS(V461)/$L461</f>
        <v>0.98787079029728098</v>
      </c>
      <c r="Q461" s="140">
        <v>8</v>
      </c>
      <c r="R461" s="139">
        <v>32771157682</v>
      </c>
      <c r="S461" s="168">
        <v>0</v>
      </c>
      <c r="T461" s="139">
        <v>0</v>
      </c>
      <c r="U461" s="140">
        <v>113911</v>
      </c>
      <c r="V461" s="139">
        <v>2669066677198</v>
      </c>
    </row>
    <row r="462" spans="1:22" ht="15.95" customHeight="1" x14ac:dyDescent="0.3">
      <c r="A462" s="27">
        <v>228</v>
      </c>
      <c r="B462" s="214" t="s">
        <v>3983</v>
      </c>
      <c r="C462" s="137">
        <v>1000509483</v>
      </c>
      <c r="D462" s="137" t="s">
        <v>3451</v>
      </c>
      <c r="E462" s="137">
        <v>1684035</v>
      </c>
      <c r="F462" s="137" t="s">
        <v>3313</v>
      </c>
      <c r="G462" s="214" t="s">
        <v>4100</v>
      </c>
      <c r="H462" s="207" t="s">
        <v>3970</v>
      </c>
      <c r="I462" s="137" t="s">
        <v>2258</v>
      </c>
      <c r="J462" s="137" t="s">
        <v>2243</v>
      </c>
      <c r="K462" s="137" t="s">
        <v>2245</v>
      </c>
      <c r="L462" s="139">
        <f t="shared" ref="L462:L463" si="714">ABS(R462)+ABS(T462)+ABS(V462)</f>
        <v>36940531847</v>
      </c>
      <c r="M462" s="140">
        <f t="shared" ref="M462:M463" si="715">Q462+S462+U462</f>
        <v>5230</v>
      </c>
      <c r="N462" s="141">
        <f t="shared" ref="N462:N463" si="716">ABS(R462)/$L462</f>
        <v>6.3216570342628942E-3</v>
      </c>
      <c r="O462" s="141">
        <f t="shared" ref="O462:O463" si="717">ABS(T462)/$L462</f>
        <v>0.31865143240908572</v>
      </c>
      <c r="P462" s="141">
        <f t="shared" ref="P462:P463" si="718">ABS(V462)/$L462</f>
        <v>0.67502691055665132</v>
      </c>
      <c r="Q462" s="140">
        <v>2</v>
      </c>
      <c r="R462" s="139">
        <v>233525373</v>
      </c>
      <c r="S462" s="168">
        <v>401</v>
      </c>
      <c r="T462" s="139">
        <v>11771153387</v>
      </c>
      <c r="U462" s="140">
        <v>4827</v>
      </c>
      <c r="V462" s="139">
        <v>24935853087</v>
      </c>
    </row>
    <row r="463" spans="1:22" ht="15.95" customHeight="1" x14ac:dyDescent="0.3">
      <c r="A463" s="27">
        <v>228</v>
      </c>
      <c r="B463" s="214" t="s">
        <v>3983</v>
      </c>
      <c r="C463" s="137">
        <v>1000509483</v>
      </c>
      <c r="D463" s="137" t="s">
        <v>3451</v>
      </c>
      <c r="E463" s="137">
        <v>1684035</v>
      </c>
      <c r="F463" s="137" t="s">
        <v>3313</v>
      </c>
      <c r="G463" s="214" t="s">
        <v>4100</v>
      </c>
      <c r="H463" s="207" t="s">
        <v>3970</v>
      </c>
      <c r="I463" s="137" t="s">
        <v>2258</v>
      </c>
      <c r="J463" s="137" t="s">
        <v>2244</v>
      </c>
      <c r="K463" s="137" t="s">
        <v>2245</v>
      </c>
      <c r="L463" s="139">
        <f t="shared" si="714"/>
        <v>60247970429</v>
      </c>
      <c r="M463" s="140">
        <f t="shared" si="715"/>
        <v>26964</v>
      </c>
      <c r="N463" s="141">
        <f t="shared" si="716"/>
        <v>5.2276556663624638E-3</v>
      </c>
      <c r="O463" s="141">
        <f t="shared" si="717"/>
        <v>1.6557486117737052E-2</v>
      </c>
      <c r="P463" s="141">
        <f t="shared" si="718"/>
        <v>0.97821485821590048</v>
      </c>
      <c r="Q463" s="140">
        <v>1</v>
      </c>
      <c r="R463" s="139">
        <v>314955644</v>
      </c>
      <c r="S463" s="168">
        <v>88</v>
      </c>
      <c r="T463" s="139">
        <v>997554934</v>
      </c>
      <c r="U463" s="140">
        <v>26875</v>
      </c>
      <c r="V463" s="139">
        <v>58935459851</v>
      </c>
    </row>
    <row r="464" spans="1:22" ht="15.95" customHeight="1" x14ac:dyDescent="0.3">
      <c r="A464" s="27">
        <v>229</v>
      </c>
      <c r="B464" s="167" t="s">
        <v>3422</v>
      </c>
      <c r="C464" s="137">
        <v>1000317103</v>
      </c>
      <c r="D464" s="137" t="s">
        <v>3453</v>
      </c>
      <c r="E464" s="137">
        <v>1668671</v>
      </c>
      <c r="F464" s="137" t="s">
        <v>3314</v>
      </c>
      <c r="G464" s="167" t="s">
        <v>3454</v>
      </c>
      <c r="H464" s="167" t="s">
        <v>3334</v>
      </c>
      <c r="I464" s="137" t="s">
        <v>2258</v>
      </c>
      <c r="J464" s="137" t="s">
        <v>2242</v>
      </c>
      <c r="K464" s="137" t="s">
        <v>2077</v>
      </c>
      <c r="L464" s="139">
        <f t="shared" si="694"/>
        <v>168201081225402</v>
      </c>
      <c r="M464" s="140">
        <f t="shared" si="695"/>
        <v>29972033</v>
      </c>
      <c r="N464" s="141">
        <f t="shared" si="696"/>
        <v>1.9659188452949238E-4</v>
      </c>
      <c r="O464" s="141">
        <f t="shared" si="697"/>
        <v>0</v>
      </c>
      <c r="P464" s="141">
        <f t="shared" si="698"/>
        <v>0.99980340811547053</v>
      </c>
      <c r="Q464" s="140">
        <v>62</v>
      </c>
      <c r="R464" s="139">
        <v>33066967538</v>
      </c>
      <c r="S464" s="140">
        <v>0</v>
      </c>
      <c r="T464" s="139">
        <v>0</v>
      </c>
      <c r="U464" s="140">
        <v>29971971</v>
      </c>
      <c r="V464" s="139">
        <v>168168014257864</v>
      </c>
    </row>
    <row r="465" spans="1:22" ht="15.95" customHeight="1" x14ac:dyDescent="0.3">
      <c r="A465" s="27">
        <v>229</v>
      </c>
      <c r="B465" s="167" t="s">
        <v>3422</v>
      </c>
      <c r="C465" s="137">
        <v>1000317103</v>
      </c>
      <c r="D465" s="137" t="s">
        <v>3453</v>
      </c>
      <c r="E465" s="137">
        <v>1668671</v>
      </c>
      <c r="F465" s="137" t="s">
        <v>3314</v>
      </c>
      <c r="G465" s="167" t="s">
        <v>3454</v>
      </c>
      <c r="H465" s="167" t="s">
        <v>3334</v>
      </c>
      <c r="I465" s="137" t="s">
        <v>2258</v>
      </c>
      <c r="J465" s="137" t="s">
        <v>2244</v>
      </c>
      <c r="K465" s="137" t="s">
        <v>2077</v>
      </c>
      <c r="L465" s="139">
        <f t="shared" si="694"/>
        <v>3077600801225</v>
      </c>
      <c r="M465" s="140">
        <f t="shared" si="695"/>
        <v>575315</v>
      </c>
      <c r="N465" s="141">
        <f t="shared" si="696"/>
        <v>3.2668755484135815E-2</v>
      </c>
      <c r="O465" s="141">
        <f t="shared" si="697"/>
        <v>4.8718998089134637E-2</v>
      </c>
      <c r="P465" s="141">
        <f t="shared" si="698"/>
        <v>0.91861224642672956</v>
      </c>
      <c r="Q465" s="140">
        <v>217</v>
      </c>
      <c r="R465" s="139">
        <v>100541388053</v>
      </c>
      <c r="S465" s="140">
        <v>6472</v>
      </c>
      <c r="T465" s="139">
        <v>149937627554</v>
      </c>
      <c r="U465" s="140">
        <v>568626</v>
      </c>
      <c r="V465" s="139">
        <v>2827121785618</v>
      </c>
    </row>
    <row r="466" spans="1:22" ht="15.95" customHeight="1" x14ac:dyDescent="0.3">
      <c r="A466" s="27">
        <v>229</v>
      </c>
      <c r="B466" s="214" t="s">
        <v>3983</v>
      </c>
      <c r="C466" s="137">
        <v>1000317103</v>
      </c>
      <c r="D466" s="137" t="s">
        <v>3453</v>
      </c>
      <c r="E466" s="137">
        <v>1668671</v>
      </c>
      <c r="F466" s="137" t="s">
        <v>3314</v>
      </c>
      <c r="G466" s="214" t="s">
        <v>4101</v>
      </c>
      <c r="H466" s="214" t="s">
        <v>3969</v>
      </c>
      <c r="I466" s="137" t="s">
        <v>2258</v>
      </c>
      <c r="J466" s="137" t="s">
        <v>2242</v>
      </c>
      <c r="K466" s="137" t="s">
        <v>2077</v>
      </c>
      <c r="L466" s="139">
        <f t="shared" ref="L466:L469" si="719">ABS(R466)+ABS(T466)+ABS(V466)</f>
        <v>233478935201392</v>
      </c>
      <c r="M466" s="140">
        <f t="shared" ref="M466:M469" si="720">Q466+S466+U466</f>
        <v>41066889</v>
      </c>
      <c r="N466" s="141">
        <f t="shared" ref="N466:N469" si="721">ABS(R466)/$L466</f>
        <v>4.2045989189698312E-4</v>
      </c>
      <c r="O466" s="141">
        <f t="shared" ref="O466:O469" si="722">ABS(T466)/$L466</f>
        <v>0</v>
      </c>
      <c r="P466" s="141">
        <f t="shared" ref="P466:P469" si="723">ABS(V466)/$L466</f>
        <v>0.99957954010810302</v>
      </c>
      <c r="Q466" s="140">
        <v>146</v>
      </c>
      <c r="R466" s="139">
        <v>98168527855</v>
      </c>
      <c r="S466" s="140">
        <v>0</v>
      </c>
      <c r="T466" s="139">
        <v>0</v>
      </c>
      <c r="U466" s="140">
        <v>41066743</v>
      </c>
      <c r="V466" s="139">
        <v>233380766673537</v>
      </c>
    </row>
    <row r="467" spans="1:22" ht="15.95" customHeight="1" x14ac:dyDescent="0.3">
      <c r="A467" s="27">
        <v>229</v>
      </c>
      <c r="B467" s="214" t="s">
        <v>3983</v>
      </c>
      <c r="C467" s="137">
        <v>1000317103</v>
      </c>
      <c r="D467" s="137" t="s">
        <v>3453</v>
      </c>
      <c r="E467" s="137">
        <v>1668671</v>
      </c>
      <c r="F467" s="137" t="s">
        <v>3314</v>
      </c>
      <c r="G467" s="214" t="s">
        <v>4101</v>
      </c>
      <c r="H467" s="214" t="s">
        <v>3969</v>
      </c>
      <c r="I467" s="137" t="s">
        <v>2258</v>
      </c>
      <c r="J467" s="137" t="s">
        <v>2244</v>
      </c>
      <c r="K467" s="137" t="s">
        <v>2245</v>
      </c>
      <c r="L467" s="139">
        <f t="shared" si="719"/>
        <v>4008249569977</v>
      </c>
      <c r="M467" s="140">
        <f t="shared" si="720"/>
        <v>757765</v>
      </c>
      <c r="N467" s="141">
        <f t="shared" si="721"/>
        <v>3.1501153123986866E-2</v>
      </c>
      <c r="O467" s="141">
        <f t="shared" si="722"/>
        <v>4.8072537022215825E-2</v>
      </c>
      <c r="P467" s="141">
        <f t="shared" si="723"/>
        <v>0.92042630985379725</v>
      </c>
      <c r="Q467" s="140">
        <v>286</v>
      </c>
      <c r="R467" s="139">
        <v>126264483463</v>
      </c>
      <c r="S467" s="140">
        <v>8030</v>
      </c>
      <c r="T467" s="139">
        <v>192686725847</v>
      </c>
      <c r="U467" s="140">
        <v>749449</v>
      </c>
      <c r="V467" s="139">
        <v>3689298360667</v>
      </c>
    </row>
    <row r="468" spans="1:22" ht="15.95" customHeight="1" x14ac:dyDescent="0.3">
      <c r="A468" s="27">
        <v>230</v>
      </c>
      <c r="B468" s="214" t="s">
        <v>3335</v>
      </c>
      <c r="C468" s="137">
        <v>1000317450</v>
      </c>
      <c r="D468" s="137" t="s">
        <v>4102</v>
      </c>
      <c r="E468" s="137">
        <v>1669150</v>
      </c>
      <c r="F468" s="137" t="s">
        <v>3633</v>
      </c>
      <c r="G468" s="214" t="s">
        <v>4104</v>
      </c>
      <c r="H468" s="137" t="s">
        <v>2056</v>
      </c>
      <c r="I468" s="137" t="s">
        <v>2258</v>
      </c>
      <c r="J468" s="137" t="s">
        <v>2047</v>
      </c>
      <c r="K468" s="137" t="s">
        <v>2077</v>
      </c>
      <c r="L468" s="139">
        <f t="shared" si="719"/>
        <v>5072858642029685</v>
      </c>
      <c r="M468" s="140">
        <f t="shared" si="720"/>
        <v>87977286</v>
      </c>
      <c r="N468" s="141">
        <f t="shared" si="721"/>
        <v>1.4515258031522557E-4</v>
      </c>
      <c r="O468" s="141">
        <f t="shared" si="722"/>
        <v>0</v>
      </c>
      <c r="P468" s="141">
        <f t="shared" si="723"/>
        <v>0.99985484741968478</v>
      </c>
      <c r="Q468" s="140">
        <v>460</v>
      </c>
      <c r="R468" s="139">
        <v>736338521465</v>
      </c>
      <c r="S468" s="140">
        <v>0</v>
      </c>
      <c r="T468" s="139">
        <v>0</v>
      </c>
      <c r="U468" s="140">
        <v>87976826</v>
      </c>
      <c r="V468" s="139">
        <v>5072122303508220</v>
      </c>
    </row>
    <row r="469" spans="1:22" ht="15.95" customHeight="1" x14ac:dyDescent="0.3">
      <c r="A469" s="27">
        <v>230</v>
      </c>
      <c r="B469" s="214" t="s">
        <v>3335</v>
      </c>
      <c r="C469" s="137">
        <v>1000317450</v>
      </c>
      <c r="D469" s="137" t="s">
        <v>4102</v>
      </c>
      <c r="E469" s="137">
        <v>1669150</v>
      </c>
      <c r="F469" s="137" t="s">
        <v>3633</v>
      </c>
      <c r="G469" s="214" t="s">
        <v>4104</v>
      </c>
      <c r="H469" s="137" t="s">
        <v>2056</v>
      </c>
      <c r="I469" s="137" t="s">
        <v>2258</v>
      </c>
      <c r="J469" s="137" t="s">
        <v>2243</v>
      </c>
      <c r="K469" s="137" t="s">
        <v>2245</v>
      </c>
      <c r="L469" s="139">
        <f t="shared" si="719"/>
        <v>3361054190987</v>
      </c>
      <c r="M469" s="140">
        <f t="shared" si="720"/>
        <v>151615</v>
      </c>
      <c r="N469" s="141">
        <f t="shared" si="721"/>
        <v>0.15274760458361966</v>
      </c>
      <c r="O469" s="141">
        <f t="shared" si="722"/>
        <v>9.2741698976434514E-2</v>
      </c>
      <c r="P469" s="141">
        <f t="shared" si="723"/>
        <v>0.75451069643994584</v>
      </c>
      <c r="Q469" s="140">
        <v>310</v>
      </c>
      <c r="R469" s="139">
        <v>513392976549</v>
      </c>
      <c r="S469" s="140">
        <v>2919</v>
      </c>
      <c r="T469" s="139">
        <v>-311709876024</v>
      </c>
      <c r="U469" s="140">
        <v>148386</v>
      </c>
      <c r="V469" s="139">
        <v>2535951338414</v>
      </c>
    </row>
    <row r="470" spans="1:22" ht="15.95" customHeight="1" x14ac:dyDescent="0.3">
      <c r="A470" s="27">
        <v>230</v>
      </c>
      <c r="B470" s="214" t="s">
        <v>3967</v>
      </c>
      <c r="C470" s="137">
        <v>1000317450</v>
      </c>
      <c r="D470" s="137" t="s">
        <v>4102</v>
      </c>
      <c r="E470" s="137">
        <v>1669150</v>
      </c>
      <c r="F470" s="137" t="s">
        <v>3633</v>
      </c>
      <c r="G470" s="214" t="s">
        <v>4103</v>
      </c>
      <c r="H470" s="213" t="s">
        <v>3974</v>
      </c>
      <c r="I470" s="137" t="s">
        <v>2258</v>
      </c>
      <c r="J470" s="137" t="s">
        <v>2047</v>
      </c>
      <c r="K470" s="137" t="s">
        <v>2077</v>
      </c>
      <c r="L470" s="139">
        <f t="shared" ref="L470:L473" si="724">ABS(R470)+ABS(T470)+ABS(V470)</f>
        <v>3.7283128166291056E+16</v>
      </c>
      <c r="M470" s="140">
        <f t="shared" ref="M470:M473" si="725">Q470+S470+U470</f>
        <v>44996910</v>
      </c>
      <c r="N470" s="141">
        <f t="shared" ref="N470:N473" si="726">ABS(R470)/$L470</f>
        <v>8.5460800103857523E-4</v>
      </c>
      <c r="O470" s="141">
        <f t="shared" ref="O470:O473" si="727">ABS(T470)/$L470</f>
        <v>0</v>
      </c>
      <c r="P470" s="141">
        <f t="shared" ref="P470:P473" si="728">ABS(V470)/$L470</f>
        <v>0.99914539199896146</v>
      </c>
      <c r="Q470" s="140">
        <v>1300</v>
      </c>
      <c r="R470" s="139">
        <v>31862459634659</v>
      </c>
      <c r="S470" s="140">
        <v>0</v>
      </c>
      <c r="T470" s="139">
        <v>0</v>
      </c>
      <c r="U470" s="140">
        <v>44995610</v>
      </c>
      <c r="V470" s="139">
        <v>3.72512657066564E+16</v>
      </c>
    </row>
    <row r="471" spans="1:22" ht="15.95" customHeight="1" x14ac:dyDescent="0.3">
      <c r="A471" s="27">
        <v>230</v>
      </c>
      <c r="B471" s="214" t="s">
        <v>3967</v>
      </c>
      <c r="C471" s="137">
        <v>1000317450</v>
      </c>
      <c r="D471" s="137" t="s">
        <v>4102</v>
      </c>
      <c r="E471" s="137">
        <v>1669150</v>
      </c>
      <c r="F471" s="137" t="s">
        <v>3633</v>
      </c>
      <c r="G471" s="214" t="s">
        <v>4103</v>
      </c>
      <c r="H471" s="213" t="s">
        <v>3974</v>
      </c>
      <c r="I471" s="137" t="s">
        <v>2258</v>
      </c>
      <c r="J471" s="137" t="s">
        <v>2243</v>
      </c>
      <c r="K471" s="137" t="s">
        <v>2245</v>
      </c>
      <c r="L471" s="139">
        <f t="shared" si="724"/>
        <v>6552097774002</v>
      </c>
      <c r="M471" s="140">
        <f t="shared" si="725"/>
        <v>143819</v>
      </c>
      <c r="N471" s="141">
        <f t="shared" si="726"/>
        <v>0.22000675423003235</v>
      </c>
      <c r="O471" s="141">
        <f t="shared" si="727"/>
        <v>0.30439782684070049</v>
      </c>
      <c r="P471" s="141">
        <f t="shared" si="728"/>
        <v>0.47559541892926716</v>
      </c>
      <c r="Q471" s="140">
        <v>298</v>
      </c>
      <c r="R471" s="139">
        <v>1441505764656</v>
      </c>
      <c r="S471" s="140">
        <v>2549</v>
      </c>
      <c r="T471" s="139">
        <v>1994444323654</v>
      </c>
      <c r="U471" s="140">
        <v>140972</v>
      </c>
      <c r="V471" s="139">
        <v>3116147685692</v>
      </c>
    </row>
    <row r="472" spans="1:22" ht="15.95" customHeight="1" x14ac:dyDescent="0.3">
      <c r="A472" s="27">
        <v>231</v>
      </c>
      <c r="B472" s="214" t="s">
        <v>3967</v>
      </c>
      <c r="C472" s="137">
        <v>1001258313</v>
      </c>
      <c r="D472" s="137" t="s">
        <v>4105</v>
      </c>
      <c r="E472" s="137">
        <v>1683484</v>
      </c>
      <c r="F472" s="137" t="s">
        <v>3572</v>
      </c>
      <c r="G472" s="214" t="s">
        <v>4106</v>
      </c>
      <c r="H472" s="214" t="s">
        <v>3969</v>
      </c>
      <c r="I472" s="137" t="s">
        <v>2258</v>
      </c>
      <c r="J472" s="137" t="s">
        <v>2047</v>
      </c>
      <c r="K472" s="137" t="s">
        <v>2077</v>
      </c>
      <c r="L472" s="139">
        <f t="shared" si="724"/>
        <v>80969263219430</v>
      </c>
      <c r="M472" s="140">
        <f t="shared" si="725"/>
        <v>551833</v>
      </c>
      <c r="N472" s="141">
        <f t="shared" si="726"/>
        <v>1.6788621870821186E-3</v>
      </c>
      <c r="O472" s="141">
        <f t="shared" si="727"/>
        <v>0</v>
      </c>
      <c r="P472" s="141">
        <f t="shared" si="728"/>
        <v>0.99832113781291787</v>
      </c>
      <c r="Q472" s="140">
        <v>47</v>
      </c>
      <c r="R472" s="139">
        <v>135936234335</v>
      </c>
      <c r="S472" s="140">
        <v>0</v>
      </c>
      <c r="T472" s="139">
        <v>0</v>
      </c>
      <c r="U472" s="140">
        <v>551786</v>
      </c>
      <c r="V472" s="139">
        <v>80833326985095</v>
      </c>
    </row>
    <row r="473" spans="1:22" ht="15.95" customHeight="1" x14ac:dyDescent="0.3">
      <c r="A473" s="27">
        <v>231</v>
      </c>
      <c r="B473" s="214" t="s">
        <v>3967</v>
      </c>
      <c r="C473" s="137">
        <v>1001258313</v>
      </c>
      <c r="D473" s="137" t="s">
        <v>4105</v>
      </c>
      <c r="E473" s="137">
        <v>1683484</v>
      </c>
      <c r="F473" s="137" t="s">
        <v>3572</v>
      </c>
      <c r="G473" s="214" t="s">
        <v>4106</v>
      </c>
      <c r="H473" s="214" t="s">
        <v>3969</v>
      </c>
      <c r="I473" s="137" t="s">
        <v>2258</v>
      </c>
      <c r="J473" s="137" t="s">
        <v>2243</v>
      </c>
      <c r="K473" s="137" t="s">
        <v>2245</v>
      </c>
      <c r="L473" s="139">
        <f t="shared" si="724"/>
        <v>945141978083</v>
      </c>
      <c r="M473" s="140">
        <f t="shared" si="725"/>
        <v>16101</v>
      </c>
      <c r="N473" s="141">
        <f t="shared" si="726"/>
        <v>1.1599179952027555E-2</v>
      </c>
      <c r="O473" s="141">
        <f t="shared" si="727"/>
        <v>0.23356255058180719</v>
      </c>
      <c r="P473" s="141">
        <f t="shared" si="728"/>
        <v>0.75483826946616528</v>
      </c>
      <c r="Q473" s="140">
        <v>17</v>
      </c>
      <c r="R473" s="139">
        <v>10962871884</v>
      </c>
      <c r="S473" s="140">
        <v>601</v>
      </c>
      <c r="T473" s="139">
        <v>220749771063</v>
      </c>
      <c r="U473" s="140">
        <v>15483</v>
      </c>
      <c r="V473" s="139">
        <v>713429335136</v>
      </c>
    </row>
    <row r="474" spans="1:22" ht="15.95" customHeight="1" x14ac:dyDescent="0.3">
      <c r="A474" s="27">
        <v>232</v>
      </c>
      <c r="B474" s="214" t="s">
        <v>3967</v>
      </c>
      <c r="C474" s="137">
        <v>1000814524</v>
      </c>
      <c r="D474" s="137" t="s">
        <v>4107</v>
      </c>
      <c r="E474" s="137">
        <v>1684734</v>
      </c>
      <c r="F474" s="137" t="s">
        <v>3744</v>
      </c>
      <c r="G474" s="214" t="s">
        <v>4108</v>
      </c>
      <c r="H474" s="214" t="s">
        <v>3969</v>
      </c>
      <c r="I474" s="137" t="s">
        <v>2258</v>
      </c>
      <c r="J474" s="137" t="s">
        <v>2047</v>
      </c>
      <c r="K474" s="137" t="s">
        <v>2077</v>
      </c>
      <c r="L474" s="139">
        <f t="shared" ref="L474:L475" si="729">ABS(R474)+ABS(T474)+ABS(V474)</f>
        <v>29107995785288</v>
      </c>
      <c r="M474" s="140">
        <f t="shared" ref="M474:M475" si="730">Q474+S474+U474</f>
        <v>852505</v>
      </c>
      <c r="N474" s="141">
        <f t="shared" ref="N474:N475" si="731">ABS(R474)/$L474</f>
        <v>6.1445483965748889E-4</v>
      </c>
      <c r="O474" s="141">
        <f t="shared" ref="O474:O475" si="732">ABS(T474)/$L474</f>
        <v>0</v>
      </c>
      <c r="P474" s="141">
        <f t="shared" ref="P474:P475" si="733">ABS(V474)/$L474</f>
        <v>0.9993855451603425</v>
      </c>
      <c r="Q474" s="140">
        <v>28</v>
      </c>
      <c r="R474" s="139">
        <v>17885548883</v>
      </c>
      <c r="S474" s="140">
        <v>0</v>
      </c>
      <c r="T474" s="139">
        <v>0</v>
      </c>
      <c r="U474" s="140">
        <v>852477</v>
      </c>
      <c r="V474" s="139">
        <v>29090110236405</v>
      </c>
    </row>
    <row r="475" spans="1:22" ht="15.95" customHeight="1" x14ac:dyDescent="0.3">
      <c r="A475" s="27">
        <v>232</v>
      </c>
      <c r="B475" s="214" t="s">
        <v>3967</v>
      </c>
      <c r="C475" s="137">
        <v>1000814524</v>
      </c>
      <c r="D475" s="137" t="s">
        <v>4107</v>
      </c>
      <c r="E475" s="137">
        <v>1684734</v>
      </c>
      <c r="F475" s="137" t="s">
        <v>3744</v>
      </c>
      <c r="G475" s="214" t="s">
        <v>4108</v>
      </c>
      <c r="H475" s="214" t="s">
        <v>3969</v>
      </c>
      <c r="I475" s="137" t="s">
        <v>2258</v>
      </c>
      <c r="J475" s="137" t="s">
        <v>2244</v>
      </c>
      <c r="K475" s="137" t="s">
        <v>2077</v>
      </c>
      <c r="L475" s="139">
        <f t="shared" si="729"/>
        <v>374819816175</v>
      </c>
      <c r="M475" s="140">
        <f t="shared" si="730"/>
        <v>53737</v>
      </c>
      <c r="N475" s="141">
        <f t="shared" si="731"/>
        <v>1.2785222867626043E-2</v>
      </c>
      <c r="O475" s="141">
        <f t="shared" si="732"/>
        <v>6.3733974867664286E-2</v>
      </c>
      <c r="P475" s="141">
        <f t="shared" si="733"/>
        <v>0.92348080226470963</v>
      </c>
      <c r="Q475" s="140">
        <v>23</v>
      </c>
      <c r="R475" s="139">
        <v>4792154885</v>
      </c>
      <c r="S475" s="140">
        <v>614</v>
      </c>
      <c r="T475" s="139">
        <v>23888756744</v>
      </c>
      <c r="U475" s="140">
        <v>53100</v>
      </c>
      <c r="V475" s="139">
        <v>346138904546</v>
      </c>
    </row>
    <row r="476" spans="1:22" ht="15.95" customHeight="1" x14ac:dyDescent="0.3">
      <c r="A476" s="27">
        <v>233</v>
      </c>
      <c r="B476" s="214" t="s">
        <v>3967</v>
      </c>
      <c r="C476" s="137">
        <v>1000316242</v>
      </c>
      <c r="D476" s="137" t="s">
        <v>4109</v>
      </c>
      <c r="E476" s="137">
        <v>1689529</v>
      </c>
      <c r="F476" s="137" t="s">
        <v>3716</v>
      </c>
      <c r="G476" s="214" t="s">
        <v>4110</v>
      </c>
      <c r="H476" s="214" t="s">
        <v>3969</v>
      </c>
      <c r="I476" s="137" t="s">
        <v>2258</v>
      </c>
      <c r="J476" s="137" t="s">
        <v>2047</v>
      </c>
      <c r="K476" s="137" t="s">
        <v>2077</v>
      </c>
      <c r="L476" s="139">
        <f t="shared" ref="L476:L477" si="734">ABS(R476)+ABS(T476)+ABS(V476)</f>
        <v>75879793952966</v>
      </c>
      <c r="M476" s="140">
        <f t="shared" ref="M476:M477" si="735">Q476+S476+U476</f>
        <v>949644</v>
      </c>
      <c r="N476" s="141">
        <f t="shared" ref="N476:N477" si="736">ABS(R476)/$L476</f>
        <v>1.0942199587477208E-3</v>
      </c>
      <c r="O476" s="141">
        <f t="shared" ref="O476:O477" si="737">ABS(T476)/$L476</f>
        <v>0</v>
      </c>
      <c r="P476" s="141">
        <f t="shared" ref="P476:P477" si="738">ABS(V476)/$L476</f>
        <v>0.9989057800412523</v>
      </c>
      <c r="Q476" s="140">
        <v>53</v>
      </c>
      <c r="R476" s="139">
        <v>83029185009</v>
      </c>
      <c r="S476" s="140">
        <v>0</v>
      </c>
      <c r="T476" s="139">
        <v>0</v>
      </c>
      <c r="U476" s="140">
        <v>949591</v>
      </c>
      <c r="V476" s="139">
        <v>75796764767957</v>
      </c>
    </row>
    <row r="477" spans="1:22" ht="15.95" customHeight="1" x14ac:dyDescent="0.3">
      <c r="A477" s="27">
        <v>233</v>
      </c>
      <c r="B477" s="214" t="s">
        <v>3967</v>
      </c>
      <c r="C477" s="137">
        <v>1000316242</v>
      </c>
      <c r="D477" s="137" t="s">
        <v>4109</v>
      </c>
      <c r="E477" s="137">
        <v>1689529</v>
      </c>
      <c r="F477" s="137" t="s">
        <v>3716</v>
      </c>
      <c r="G477" s="214" t="s">
        <v>4110</v>
      </c>
      <c r="H477" s="214" t="s">
        <v>3969</v>
      </c>
      <c r="I477" s="137" t="s">
        <v>2258</v>
      </c>
      <c r="J477" s="137" t="s">
        <v>2243</v>
      </c>
      <c r="K477" s="137" t="s">
        <v>2077</v>
      </c>
      <c r="L477" s="139">
        <f t="shared" si="734"/>
        <v>2151104589257</v>
      </c>
      <c r="M477" s="140">
        <f t="shared" si="735"/>
        <v>301767</v>
      </c>
      <c r="N477" s="141">
        <f t="shared" si="736"/>
        <v>9.8336325380656592E-2</v>
      </c>
      <c r="O477" s="141">
        <f t="shared" si="737"/>
        <v>0.34993449265802612</v>
      </c>
      <c r="P477" s="141">
        <f t="shared" si="738"/>
        <v>0.55172918196131726</v>
      </c>
      <c r="Q477" s="140">
        <v>421</v>
      </c>
      <c r="R477" s="139">
        <v>211531720817</v>
      </c>
      <c r="S477" s="140">
        <v>7295</v>
      </c>
      <c r="T477" s="139">
        <v>752745693096</v>
      </c>
      <c r="U477" s="140">
        <v>294051</v>
      </c>
      <c r="V477" s="139">
        <v>1186827175344</v>
      </c>
    </row>
    <row r="478" spans="1:22" ht="15.95" customHeight="1" x14ac:dyDescent="0.3">
      <c r="A478" s="27">
        <v>234</v>
      </c>
      <c r="B478" s="214" t="s">
        <v>3967</v>
      </c>
      <c r="C478" s="137">
        <v>1000696872</v>
      </c>
      <c r="D478" s="137" t="s">
        <v>4111</v>
      </c>
      <c r="E478" s="137">
        <v>1683595</v>
      </c>
      <c r="F478" s="137" t="s">
        <v>3747</v>
      </c>
      <c r="G478" s="214" t="s">
        <v>4112</v>
      </c>
      <c r="H478" s="214" t="s">
        <v>3969</v>
      </c>
      <c r="I478" s="137" t="s">
        <v>2258</v>
      </c>
      <c r="J478" s="137" t="s">
        <v>2047</v>
      </c>
      <c r="K478" s="137" t="s">
        <v>2077</v>
      </c>
      <c r="L478" s="139">
        <f t="shared" ref="L478:L480" si="739">ABS(R478)+ABS(T478)+ABS(V478)</f>
        <v>19627946657198</v>
      </c>
      <c r="M478" s="140">
        <f t="shared" ref="M478:M480" si="740">Q478+S478+U478</f>
        <v>196226</v>
      </c>
      <c r="N478" s="141">
        <f t="shared" ref="N478:N480" si="741">ABS(R478)/$L478</f>
        <v>2.3758050438199532E-3</v>
      </c>
      <c r="O478" s="141">
        <f t="shared" ref="O478:O480" si="742">ABS(T478)/$L478</f>
        <v>0</v>
      </c>
      <c r="P478" s="141">
        <f t="shared" ref="P478:P480" si="743">ABS(V478)/$L478</f>
        <v>0.99762419495618004</v>
      </c>
      <c r="Q478" s="140">
        <v>11</v>
      </c>
      <c r="R478" s="139">
        <v>46632174668</v>
      </c>
      <c r="S478" s="140">
        <v>0</v>
      </c>
      <c r="T478" s="139">
        <v>0</v>
      </c>
      <c r="U478" s="140">
        <v>196215</v>
      </c>
      <c r="V478" s="139">
        <v>19581314482530</v>
      </c>
    </row>
    <row r="479" spans="1:22" ht="15.95" customHeight="1" x14ac:dyDescent="0.3">
      <c r="A479" s="27">
        <v>234</v>
      </c>
      <c r="B479" s="214" t="s">
        <v>3967</v>
      </c>
      <c r="C479" s="137">
        <v>1000696872</v>
      </c>
      <c r="D479" s="137" t="s">
        <v>4111</v>
      </c>
      <c r="E479" s="137">
        <v>1683595</v>
      </c>
      <c r="F479" s="137" t="s">
        <v>3747</v>
      </c>
      <c r="G479" s="214" t="s">
        <v>4112</v>
      </c>
      <c r="H479" s="214" t="s">
        <v>3969</v>
      </c>
      <c r="I479" s="137" t="s">
        <v>2258</v>
      </c>
      <c r="J479" s="137" t="s">
        <v>2243</v>
      </c>
      <c r="K479" s="137" t="s">
        <v>2245</v>
      </c>
      <c r="L479" s="139">
        <f t="shared" si="739"/>
        <v>112135910819</v>
      </c>
      <c r="M479" s="140">
        <f t="shared" si="740"/>
        <v>7399</v>
      </c>
      <c r="N479" s="141">
        <f t="shared" si="741"/>
        <v>9.5527484226622772E-2</v>
      </c>
      <c r="O479" s="141">
        <f t="shared" si="742"/>
        <v>5.4756754140169894E-2</v>
      </c>
      <c r="P479" s="141">
        <f t="shared" si="743"/>
        <v>0.84971576163320739</v>
      </c>
      <c r="Q479" s="140">
        <v>35</v>
      </c>
      <c r="R479" s="139">
        <v>10712061452</v>
      </c>
      <c r="S479" s="140">
        <v>28</v>
      </c>
      <c r="T479" s="139">
        <v>6140198499</v>
      </c>
      <c r="U479" s="140">
        <v>7336</v>
      </c>
      <c r="V479" s="139">
        <v>95283650868</v>
      </c>
    </row>
    <row r="480" spans="1:22" ht="15.95" customHeight="1" x14ac:dyDescent="0.3">
      <c r="A480" s="27">
        <v>234</v>
      </c>
      <c r="B480" s="214" t="s">
        <v>3967</v>
      </c>
      <c r="C480" s="137">
        <v>1000696872</v>
      </c>
      <c r="D480" s="137" t="s">
        <v>4111</v>
      </c>
      <c r="E480" s="137">
        <v>1683595</v>
      </c>
      <c r="F480" s="137" t="s">
        <v>3747</v>
      </c>
      <c r="G480" s="214" t="s">
        <v>4112</v>
      </c>
      <c r="H480" s="214" t="s">
        <v>3969</v>
      </c>
      <c r="I480" s="137" t="s">
        <v>2258</v>
      </c>
      <c r="J480" s="137" t="s">
        <v>2244</v>
      </c>
      <c r="K480" s="137" t="s">
        <v>2245</v>
      </c>
      <c r="L480" s="139">
        <f t="shared" si="739"/>
        <v>214881286082</v>
      </c>
      <c r="M480" s="140">
        <f t="shared" si="740"/>
        <v>3872</v>
      </c>
      <c r="N480" s="141">
        <f t="shared" si="741"/>
        <v>9.9153962504065496E-2</v>
      </c>
      <c r="O480" s="141">
        <f t="shared" si="742"/>
        <v>6.9106657000057484E-2</v>
      </c>
      <c r="P480" s="141">
        <f t="shared" si="743"/>
        <v>0.83173938049587703</v>
      </c>
      <c r="Q480" s="140">
        <v>38</v>
      </c>
      <c r="R480" s="139">
        <v>21306330983</v>
      </c>
      <c r="S480" s="140">
        <v>70</v>
      </c>
      <c r="T480" s="139">
        <v>14849727333</v>
      </c>
      <c r="U480" s="140">
        <v>3764</v>
      </c>
      <c r="V480" s="139">
        <v>178725227766</v>
      </c>
    </row>
    <row r="481" spans="1:22" ht="15.95" customHeight="1" x14ac:dyDescent="0.3">
      <c r="A481" s="27">
        <v>235</v>
      </c>
      <c r="B481" s="214" t="s">
        <v>3967</v>
      </c>
      <c r="C481" s="137">
        <v>1001044635</v>
      </c>
      <c r="D481" s="137" t="s">
        <v>4113</v>
      </c>
      <c r="E481" s="137">
        <v>1683391</v>
      </c>
      <c r="F481" s="137" t="s">
        <v>3926</v>
      </c>
      <c r="G481" s="214" t="s">
        <v>4114</v>
      </c>
      <c r="H481" s="214" t="s">
        <v>3969</v>
      </c>
      <c r="I481" s="137" t="s">
        <v>2258</v>
      </c>
      <c r="J481" s="137" t="s">
        <v>2047</v>
      </c>
      <c r="K481" s="137" t="s">
        <v>2077</v>
      </c>
      <c r="L481" s="139">
        <f t="shared" ref="L481:L482" si="744">ABS(R481)+ABS(T481)+ABS(V481)</f>
        <v>7349468742660</v>
      </c>
      <c r="M481" s="140">
        <f t="shared" ref="M481:M482" si="745">Q481+S481+U481</f>
        <v>773295</v>
      </c>
      <c r="N481" s="141">
        <f t="shared" ref="N481:N482" si="746">ABS(R481)/$L481</f>
        <v>8.1653669802914386E-3</v>
      </c>
      <c r="O481" s="141">
        <f t="shared" ref="O481:O482" si="747">ABS(T481)/$L481</f>
        <v>0</v>
      </c>
      <c r="P481" s="141">
        <f t="shared" ref="P481:P482" si="748">ABS(V481)/$L481</f>
        <v>0.99183463301970853</v>
      </c>
      <c r="Q481" s="140">
        <v>34</v>
      </c>
      <c r="R481" s="139">
        <v>60011109394</v>
      </c>
      <c r="S481" s="140">
        <v>0</v>
      </c>
      <c r="T481" s="139">
        <v>0</v>
      </c>
      <c r="U481" s="140">
        <v>773261</v>
      </c>
      <c r="V481" s="139">
        <v>7289457633266</v>
      </c>
    </row>
    <row r="482" spans="1:22" ht="15.95" customHeight="1" x14ac:dyDescent="0.3">
      <c r="A482" s="27">
        <v>235</v>
      </c>
      <c r="B482" s="214" t="s">
        <v>3967</v>
      </c>
      <c r="C482" s="137">
        <v>1001044635</v>
      </c>
      <c r="D482" s="137" t="s">
        <v>4113</v>
      </c>
      <c r="E482" s="137">
        <v>1683391</v>
      </c>
      <c r="F482" s="137" t="s">
        <v>3926</v>
      </c>
      <c r="G482" s="214" t="s">
        <v>4114</v>
      </c>
      <c r="H482" s="214" t="s">
        <v>3969</v>
      </c>
      <c r="I482" s="137" t="s">
        <v>2258</v>
      </c>
      <c r="J482" s="137" t="s">
        <v>2244</v>
      </c>
      <c r="K482" s="137" t="s">
        <v>2245</v>
      </c>
      <c r="L482" s="139">
        <f t="shared" si="744"/>
        <v>118008107745</v>
      </c>
      <c r="M482" s="140">
        <f t="shared" si="745"/>
        <v>80291</v>
      </c>
      <c r="N482" s="141">
        <f t="shared" si="746"/>
        <v>1.6716836645349769E-2</v>
      </c>
      <c r="O482" s="141">
        <f t="shared" si="747"/>
        <v>2.7644968064816925E-2</v>
      </c>
      <c r="P482" s="141">
        <f t="shared" si="748"/>
        <v>0.95563819528983329</v>
      </c>
      <c r="Q482" s="140">
        <v>29</v>
      </c>
      <c r="R482" s="139">
        <v>1972722260</v>
      </c>
      <c r="S482" s="140">
        <v>617</v>
      </c>
      <c r="T482" s="139">
        <v>3262330370</v>
      </c>
      <c r="U482" s="140">
        <v>79645</v>
      </c>
      <c r="V482" s="139">
        <v>112773055115</v>
      </c>
    </row>
    <row r="483" spans="1:22" ht="15.95" customHeight="1" x14ac:dyDescent="0.3">
      <c r="A483" s="27">
        <v>235</v>
      </c>
      <c r="B483" s="214" t="s">
        <v>3967</v>
      </c>
      <c r="C483" s="137">
        <v>1001044635</v>
      </c>
      <c r="D483" s="137" t="s">
        <v>4113</v>
      </c>
      <c r="E483" s="137">
        <v>1683391</v>
      </c>
      <c r="F483" s="137" t="s">
        <v>3926</v>
      </c>
      <c r="G483" s="214" t="s">
        <v>4114</v>
      </c>
      <c r="H483" s="214" t="s">
        <v>3969</v>
      </c>
      <c r="I483" s="137" t="s">
        <v>2258</v>
      </c>
      <c r="J483" s="137" t="s">
        <v>2244</v>
      </c>
      <c r="K483" s="137" t="s">
        <v>2245</v>
      </c>
      <c r="L483" s="139">
        <f t="shared" ref="L483" si="749">ABS(R483)+ABS(T483)+ABS(V483)</f>
        <v>45138827854</v>
      </c>
      <c r="M483" s="140">
        <f t="shared" ref="M483" si="750">Q483+S483+U483</f>
        <v>44515</v>
      </c>
      <c r="N483" s="141">
        <f t="shared" ref="N483" si="751">ABS(R483)/$L483</f>
        <v>0</v>
      </c>
      <c r="O483" s="141">
        <f t="shared" ref="O483" si="752">ABS(T483)/$L483</f>
        <v>0.11081037833278071</v>
      </c>
      <c r="P483" s="141">
        <f t="shared" ref="P483" si="753">ABS(V483)/$L483</f>
        <v>0.88918962166721927</v>
      </c>
      <c r="Q483" s="140">
        <v>0</v>
      </c>
      <c r="R483" s="139">
        <v>0</v>
      </c>
      <c r="S483" s="140">
        <v>288</v>
      </c>
      <c r="T483" s="139">
        <v>5001850592</v>
      </c>
      <c r="U483" s="140">
        <v>44227</v>
      </c>
      <c r="V483" s="139">
        <v>40136977262</v>
      </c>
    </row>
    <row r="484" spans="1:22" ht="15.95" customHeight="1" x14ac:dyDescent="0.3"/>
    <row r="485" spans="1:22" ht="15.95" customHeight="1" x14ac:dyDescent="0.3"/>
    <row r="486" spans="1:22" ht="15.95" customHeight="1" x14ac:dyDescent="0.3">
      <c r="L486" s="128"/>
      <c r="M486" s="128"/>
    </row>
    <row r="487" spans="1:22" ht="15.95" customHeight="1" x14ac:dyDescent="0.3">
      <c r="L487" s="128"/>
      <c r="M487" s="128"/>
    </row>
    <row r="488" spans="1:22" ht="15.95" customHeight="1" x14ac:dyDescent="0.3">
      <c r="L488" s="128"/>
      <c r="M488" s="128"/>
    </row>
    <row r="489" spans="1:22" ht="15.95" customHeight="1" x14ac:dyDescent="0.3">
      <c r="L489" s="128"/>
      <c r="M489" s="128"/>
    </row>
    <row r="490" spans="1:22" ht="15.95" customHeight="1" x14ac:dyDescent="0.3"/>
    <row r="491" spans="1:22" ht="15.95" customHeight="1" x14ac:dyDescent="0.3"/>
    <row r="492" spans="1:22" ht="15.95" customHeight="1" x14ac:dyDescent="0.3"/>
    <row r="493" spans="1:22" ht="15.95" customHeight="1" x14ac:dyDescent="0.3"/>
    <row r="494" spans="1:22" ht="15.95" customHeight="1" x14ac:dyDescent="0.3"/>
    <row r="495" spans="1:22" ht="15.95" customHeight="1" x14ac:dyDescent="0.3"/>
    <row r="496" spans="1:22" ht="15.95" customHeight="1" x14ac:dyDescent="0.3"/>
    <row r="497" ht="15.95" customHeight="1" x14ac:dyDescent="0.3"/>
    <row r="498" ht="15.95" customHeight="1" x14ac:dyDescent="0.3"/>
    <row r="499" ht="15.95" customHeight="1" x14ac:dyDescent="0.3"/>
    <row r="500" ht="15.95" customHeight="1" x14ac:dyDescent="0.3"/>
    <row r="501" ht="15.95" customHeight="1" x14ac:dyDescent="0.3"/>
    <row r="502" ht="15.95" customHeight="1" x14ac:dyDescent="0.3"/>
    <row r="503" ht="15.95" customHeight="1" x14ac:dyDescent="0.3"/>
    <row r="504" ht="15.95" customHeight="1" x14ac:dyDescent="0.3"/>
    <row r="505" ht="15.95" customHeight="1" x14ac:dyDescent="0.3"/>
    <row r="506" ht="15.95" customHeight="1" x14ac:dyDescent="0.3"/>
    <row r="507" ht="15.95" customHeight="1" x14ac:dyDescent="0.3"/>
    <row r="508" ht="15.95" customHeight="1" x14ac:dyDescent="0.3"/>
    <row r="509" ht="15.95" customHeight="1" x14ac:dyDescent="0.3"/>
    <row r="510" ht="15.95" customHeight="1" x14ac:dyDescent="0.3"/>
    <row r="511" ht="15.95" customHeight="1" x14ac:dyDescent="0.3"/>
    <row r="512" ht="15.95" customHeight="1" x14ac:dyDescent="0.3"/>
    <row r="513" ht="15.95" customHeight="1" x14ac:dyDescent="0.3"/>
    <row r="514" ht="15.95" customHeight="1" x14ac:dyDescent="0.3"/>
    <row r="515" ht="15.95" customHeight="1" x14ac:dyDescent="0.3"/>
    <row r="516" ht="15.95" customHeight="1" x14ac:dyDescent="0.3"/>
    <row r="517" ht="15.95" customHeight="1" x14ac:dyDescent="0.3"/>
    <row r="518" ht="15.95" customHeight="1" x14ac:dyDescent="0.3"/>
    <row r="519" ht="15.95" customHeight="1" x14ac:dyDescent="0.3"/>
    <row r="520" ht="15.95" customHeight="1" x14ac:dyDescent="0.3"/>
    <row r="521" ht="15.95" customHeight="1" x14ac:dyDescent="0.3"/>
    <row r="522" ht="15.95" customHeight="1" x14ac:dyDescent="0.3"/>
    <row r="523" ht="15.95" customHeight="1" x14ac:dyDescent="0.3"/>
    <row r="524" ht="15.95" customHeight="1" x14ac:dyDescent="0.3"/>
    <row r="525" ht="15.95" customHeight="1" x14ac:dyDescent="0.3"/>
    <row r="526" ht="15.95" customHeight="1" x14ac:dyDescent="0.3"/>
  </sheetData>
  <autoFilter ref="A2:V485" xr:uid="{CF7CC85A-CE89-4249-B69A-0A3FCC101B1B}"/>
  <phoneticPr fontId="7" type="noConversion"/>
  <conditionalFormatting sqref="N486:N1048576 N3:N483">
    <cfRule type="dataBar" priority="122">
      <dataBar>
        <cfvo type="percent" val="0"/>
        <cfvo type="num" val="1"/>
        <color rgb="FFE6877F"/>
      </dataBar>
      <extLst>
        <ext xmlns:x14="http://schemas.microsoft.com/office/spreadsheetml/2009/9/main" uri="{B025F937-C7B1-47D3-B67F-A62EFF666E3E}">
          <x14:id>{8EB75CB6-AAD4-45F5-8D72-BC2A7360D7C4}</x14:id>
        </ext>
      </extLst>
    </cfRule>
  </conditionalFormatting>
  <conditionalFormatting sqref="O3:O483">
    <cfRule type="dataBar" priority="379">
      <dataBar>
        <cfvo type="percent" val="0"/>
        <cfvo type="num" val="1"/>
        <color rgb="FFFAEBB0"/>
      </dataBar>
      <extLst>
        <ext xmlns:x14="http://schemas.microsoft.com/office/spreadsheetml/2009/9/main" uri="{B025F937-C7B1-47D3-B67F-A62EFF666E3E}">
          <x14:id>{76B36218-AD88-458A-833D-99204CE35C7D}</x14:id>
        </ext>
      </extLst>
    </cfRule>
  </conditionalFormatting>
  <conditionalFormatting sqref="P486:P1048576 P3:P483">
    <cfRule type="dataBar" priority="125">
      <dataBar>
        <cfvo type="percent" val="0"/>
        <cfvo type="num" val="1"/>
        <color rgb="FF86B4AF"/>
      </dataBar>
      <extLst>
        <ext xmlns:x14="http://schemas.microsoft.com/office/spreadsheetml/2009/9/main" uri="{B025F937-C7B1-47D3-B67F-A62EFF666E3E}">
          <x14:id>{64C66B63-6861-4A69-BEDF-57518A8B8C7F}</x14:id>
        </ext>
      </extLst>
    </cfRule>
  </conditionalFormatting>
  <pageMargins left="0.7" right="0.7" top="0.75" bottom="0.75" header="0.3" footer="0.3"/>
  <customProperties>
    <customPr name="OrphanNamesChecked" r:id="rId1"/>
  </customProperties>
  <extLst>
    <ext xmlns:x14="http://schemas.microsoft.com/office/spreadsheetml/2009/9/main" uri="{78C0D931-6437-407d-A8EE-F0AAD7539E65}">
      <x14:conditionalFormattings>
        <x14:conditionalFormatting xmlns:xm="http://schemas.microsoft.com/office/excel/2006/main">
          <x14:cfRule type="dataBar" id="{8EB75CB6-AAD4-45F5-8D72-BC2A7360D7C4}">
            <x14:dataBar minLength="0" maxLength="100" gradient="0" direction="leftToRight">
              <x14:cfvo type="percent">
                <xm:f>0</xm:f>
              </x14:cfvo>
              <x14:cfvo type="num">
                <xm:f>1</xm:f>
              </x14:cfvo>
              <x14:negativeFillColor rgb="FFFF0000"/>
              <x14:axisColor rgb="FF000000"/>
            </x14:dataBar>
          </x14:cfRule>
          <xm:sqref>N486:N1048576 N3:N483</xm:sqref>
        </x14:conditionalFormatting>
        <x14:conditionalFormatting xmlns:xm="http://schemas.microsoft.com/office/excel/2006/main">
          <x14:cfRule type="dataBar" id="{76B36218-AD88-458A-833D-99204CE35C7D}">
            <x14:dataBar minLength="0" maxLength="100" gradient="0" direction="leftToRight">
              <x14:cfvo type="percent">
                <xm:f>0</xm:f>
              </x14:cfvo>
              <x14:cfvo type="num">
                <xm:f>1</xm:f>
              </x14:cfvo>
              <x14:negativeFillColor rgb="FFFF0000"/>
              <x14:axisColor rgb="FF000000"/>
            </x14:dataBar>
          </x14:cfRule>
          <xm:sqref>O3:O483</xm:sqref>
        </x14:conditionalFormatting>
        <x14:conditionalFormatting xmlns:xm="http://schemas.microsoft.com/office/excel/2006/main">
          <x14:cfRule type="dataBar" id="{64C66B63-6861-4A69-BEDF-57518A8B8C7F}">
            <x14:dataBar minLength="0" maxLength="100" gradient="0" direction="leftToRight">
              <x14:cfvo type="percent">
                <xm:f>0</xm:f>
              </x14:cfvo>
              <x14:cfvo type="num">
                <xm:f>1</xm:f>
              </x14:cfvo>
              <x14:negativeFillColor rgb="FFFF0000"/>
              <x14:axisColor rgb="FF000000"/>
            </x14:dataBar>
          </x14:cfRule>
          <xm:sqref>P486:P1048576 P3:P483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323F1-1629-4E18-AEE2-FAAF9AA9ADF4}">
  <dimension ref="A1:I111"/>
  <sheetViews>
    <sheetView topLeftCell="A2" workbookViewId="0">
      <selection activeCell="C2" sqref="C2"/>
    </sheetView>
  </sheetViews>
  <sheetFormatPr defaultRowHeight="16.5" x14ac:dyDescent="0.3"/>
  <cols>
    <col min="2" max="2" width="6.375" bestFit="1" customWidth="1"/>
    <col min="3" max="3" width="8" bestFit="1" customWidth="1"/>
    <col min="4" max="4" width="39.25" bestFit="1" customWidth="1"/>
    <col min="5" max="5" width="6.375" bestFit="1" customWidth="1"/>
    <col min="6" max="6" width="8" bestFit="1" customWidth="1"/>
    <col min="7" max="7" width="11.5" customWidth="1"/>
    <col min="8" max="8" width="13.125" bestFit="1" customWidth="1"/>
  </cols>
  <sheetData>
    <row r="1" spans="1:9" x14ac:dyDescent="0.3">
      <c r="G1" s="72">
        <f>SUM(G3:G111)</f>
        <v>199500.5199999999</v>
      </c>
      <c r="H1" s="201">
        <f>SUM(H3:H111)</f>
        <v>281227170</v>
      </c>
      <c r="I1">
        <f>H1/G1</f>
        <v>1409.6563257078235</v>
      </c>
    </row>
    <row r="2" spans="1:9" x14ac:dyDescent="0.3">
      <c r="A2" s="5" t="s">
        <v>2028</v>
      </c>
      <c r="B2" s="5" t="s">
        <v>7</v>
      </c>
      <c r="C2" s="5" t="s">
        <v>8</v>
      </c>
      <c r="D2" s="5" t="s">
        <v>9</v>
      </c>
      <c r="E2" s="185" t="s">
        <v>19</v>
      </c>
      <c r="F2" s="185" t="s">
        <v>20</v>
      </c>
      <c r="G2" s="5" t="s">
        <v>3891</v>
      </c>
      <c r="H2" s="5" t="s">
        <v>3892</v>
      </c>
    </row>
    <row r="3" spans="1:9" x14ac:dyDescent="0.3">
      <c r="A3" s="189">
        <v>1</v>
      </c>
      <c r="B3" s="9" t="s">
        <v>843</v>
      </c>
      <c r="C3" s="9">
        <v>1683199</v>
      </c>
      <c r="D3" s="10" t="s">
        <v>1069</v>
      </c>
      <c r="E3" s="10" t="s">
        <v>370</v>
      </c>
      <c r="F3" s="10" t="s">
        <v>371</v>
      </c>
      <c r="G3" s="202">
        <v>1830.28</v>
      </c>
      <c r="H3" s="203">
        <v>2580066</v>
      </c>
    </row>
    <row r="4" spans="1:9" x14ac:dyDescent="0.3">
      <c r="A4" s="189">
        <v>2</v>
      </c>
      <c r="B4" s="9" t="s">
        <v>843</v>
      </c>
      <c r="C4" s="9">
        <v>1683595</v>
      </c>
      <c r="D4" s="10" t="s">
        <v>3714</v>
      </c>
      <c r="E4" s="10" t="s">
        <v>3711</v>
      </c>
      <c r="F4" s="10" t="s">
        <v>3064</v>
      </c>
      <c r="G4" s="202">
        <v>1830.28</v>
      </c>
      <c r="H4" s="203">
        <v>2580066</v>
      </c>
    </row>
    <row r="5" spans="1:9" x14ac:dyDescent="0.3">
      <c r="A5" s="189">
        <v>3</v>
      </c>
      <c r="B5" s="9" t="s">
        <v>794</v>
      </c>
      <c r="C5" s="9">
        <v>1668904</v>
      </c>
      <c r="D5" s="10" t="s">
        <v>795</v>
      </c>
      <c r="E5" s="10" t="s">
        <v>355</v>
      </c>
      <c r="F5" s="10" t="s">
        <v>2610</v>
      </c>
      <c r="G5" s="202">
        <v>1830.28</v>
      </c>
      <c r="H5" s="203">
        <v>2580066</v>
      </c>
    </row>
    <row r="6" spans="1:9" x14ac:dyDescent="0.3">
      <c r="A6" s="189">
        <v>4</v>
      </c>
      <c r="B6" s="9" t="s">
        <v>637</v>
      </c>
      <c r="C6" s="9">
        <v>1660912</v>
      </c>
      <c r="D6" s="10" t="s">
        <v>902</v>
      </c>
      <c r="E6" s="10" t="s">
        <v>408</v>
      </c>
      <c r="F6" s="10" t="s">
        <v>2379</v>
      </c>
      <c r="G6" s="202">
        <v>1830.28</v>
      </c>
      <c r="H6" s="204">
        <v>2580065</v>
      </c>
    </row>
    <row r="7" spans="1:9" x14ac:dyDescent="0.3">
      <c r="A7" s="189">
        <v>5</v>
      </c>
      <c r="B7" s="9" t="s">
        <v>637</v>
      </c>
      <c r="C7" s="9">
        <v>1666297</v>
      </c>
      <c r="D7" s="10" t="s">
        <v>1077</v>
      </c>
      <c r="E7" s="10" t="s">
        <v>408</v>
      </c>
      <c r="F7" s="10" t="s">
        <v>2381</v>
      </c>
      <c r="G7" s="202">
        <v>1830.28</v>
      </c>
      <c r="H7" s="204">
        <v>2580065</v>
      </c>
    </row>
    <row r="8" spans="1:9" x14ac:dyDescent="0.3">
      <c r="A8" s="189">
        <v>6</v>
      </c>
      <c r="B8" s="9" t="s">
        <v>637</v>
      </c>
      <c r="C8" s="9">
        <v>1684314</v>
      </c>
      <c r="D8" s="10" t="s">
        <v>1108</v>
      </c>
      <c r="E8" s="10" t="s">
        <v>408</v>
      </c>
      <c r="F8" s="10" t="s">
        <v>2381</v>
      </c>
      <c r="G8" s="202">
        <v>1830.28</v>
      </c>
      <c r="H8" s="204">
        <v>2580065</v>
      </c>
    </row>
    <row r="9" spans="1:9" x14ac:dyDescent="0.3">
      <c r="A9" s="189">
        <v>7</v>
      </c>
      <c r="B9" s="9" t="s">
        <v>637</v>
      </c>
      <c r="C9" s="9">
        <v>1683461</v>
      </c>
      <c r="D9" s="10" t="s">
        <v>1179</v>
      </c>
      <c r="E9" s="10" t="s">
        <v>408</v>
      </c>
      <c r="F9" s="10" t="s">
        <v>2381</v>
      </c>
      <c r="G9" s="202">
        <v>1830.28</v>
      </c>
      <c r="H9" s="204">
        <v>2580065</v>
      </c>
    </row>
    <row r="10" spans="1:9" x14ac:dyDescent="0.3">
      <c r="A10" s="189">
        <v>8</v>
      </c>
      <c r="B10" s="9" t="s">
        <v>637</v>
      </c>
      <c r="C10" s="9">
        <v>1684341</v>
      </c>
      <c r="D10" s="10" t="s">
        <v>1184</v>
      </c>
      <c r="E10" s="10" t="s">
        <v>408</v>
      </c>
      <c r="F10" s="10" t="s">
        <v>2387</v>
      </c>
      <c r="G10" s="202">
        <v>1830.28</v>
      </c>
      <c r="H10" s="204">
        <v>2580065</v>
      </c>
    </row>
    <row r="11" spans="1:9" x14ac:dyDescent="0.3">
      <c r="A11" s="189">
        <v>9</v>
      </c>
      <c r="B11" s="9" t="s">
        <v>637</v>
      </c>
      <c r="C11" s="9">
        <v>1667049</v>
      </c>
      <c r="D11" s="10" t="s">
        <v>841</v>
      </c>
      <c r="E11" s="10" t="s">
        <v>570</v>
      </c>
      <c r="F11" s="10" t="s">
        <v>3786</v>
      </c>
      <c r="G11" s="202">
        <v>1830.28</v>
      </c>
      <c r="H11" s="204">
        <v>2580065</v>
      </c>
    </row>
    <row r="12" spans="1:9" x14ac:dyDescent="0.3">
      <c r="A12" s="189">
        <v>10</v>
      </c>
      <c r="B12" s="9" t="s">
        <v>637</v>
      </c>
      <c r="C12" s="9">
        <v>1683705</v>
      </c>
      <c r="D12" s="10" t="s">
        <v>905</v>
      </c>
      <c r="E12" s="10" t="s">
        <v>570</v>
      </c>
      <c r="F12" s="10" t="s">
        <v>2783</v>
      </c>
      <c r="G12" s="202">
        <v>1830.28</v>
      </c>
      <c r="H12" s="204">
        <v>2580065</v>
      </c>
    </row>
    <row r="13" spans="1:9" x14ac:dyDescent="0.3">
      <c r="A13" s="189">
        <v>11</v>
      </c>
      <c r="B13" s="9" t="s">
        <v>637</v>
      </c>
      <c r="C13" s="9">
        <v>1669150</v>
      </c>
      <c r="D13" s="10" t="s">
        <v>3230</v>
      </c>
      <c r="E13" s="10" t="s">
        <v>3231</v>
      </c>
      <c r="F13" s="10" t="s">
        <v>3233</v>
      </c>
      <c r="G13" s="202">
        <v>1830.28</v>
      </c>
      <c r="H13" s="204">
        <v>2580065</v>
      </c>
    </row>
    <row r="14" spans="1:9" x14ac:dyDescent="0.3">
      <c r="A14" s="189">
        <v>12</v>
      </c>
      <c r="B14" s="9" t="s">
        <v>794</v>
      </c>
      <c r="C14" s="9">
        <v>1660186</v>
      </c>
      <c r="D14" s="10" t="s">
        <v>1219</v>
      </c>
      <c r="E14" s="10" t="s">
        <v>2857</v>
      </c>
      <c r="F14" s="10" t="s">
        <v>2391</v>
      </c>
      <c r="G14" s="202">
        <v>1830.28</v>
      </c>
      <c r="H14" s="203">
        <v>2580066</v>
      </c>
    </row>
    <row r="15" spans="1:9" x14ac:dyDescent="0.3">
      <c r="A15" s="189">
        <v>13</v>
      </c>
      <c r="B15" s="9" t="s">
        <v>843</v>
      </c>
      <c r="C15" s="9">
        <v>1683698</v>
      </c>
      <c r="D15" s="10" t="s">
        <v>1072</v>
      </c>
      <c r="E15" s="10" t="s">
        <v>2723</v>
      </c>
      <c r="F15" s="10" t="s">
        <v>2903</v>
      </c>
      <c r="G15" s="202">
        <v>1830.28</v>
      </c>
      <c r="H15" s="204">
        <v>2580065</v>
      </c>
    </row>
    <row r="16" spans="1:9" x14ac:dyDescent="0.3">
      <c r="A16" s="189">
        <v>14</v>
      </c>
      <c r="B16" s="9" t="s">
        <v>843</v>
      </c>
      <c r="C16" s="9">
        <v>1684195</v>
      </c>
      <c r="D16" s="10" t="s">
        <v>1193</v>
      </c>
      <c r="E16" s="10" t="s">
        <v>2723</v>
      </c>
      <c r="F16" s="10" t="s">
        <v>2906</v>
      </c>
      <c r="G16" s="202">
        <v>1830.28</v>
      </c>
      <c r="H16" s="204">
        <v>2580065</v>
      </c>
    </row>
    <row r="17" spans="1:8" x14ac:dyDescent="0.3">
      <c r="A17" s="189">
        <v>15</v>
      </c>
      <c r="B17" s="9" t="s">
        <v>843</v>
      </c>
      <c r="C17" s="9">
        <v>1683474</v>
      </c>
      <c r="D17" s="10" t="s">
        <v>1249</v>
      </c>
      <c r="E17" s="10" t="s">
        <v>2723</v>
      </c>
      <c r="F17" s="10" t="s">
        <v>2705</v>
      </c>
      <c r="G17" s="202">
        <v>1830.28</v>
      </c>
      <c r="H17" s="204">
        <v>2580065</v>
      </c>
    </row>
    <row r="18" spans="1:8" x14ac:dyDescent="0.3">
      <c r="A18" s="189">
        <v>16</v>
      </c>
      <c r="B18" s="9" t="s">
        <v>656</v>
      </c>
      <c r="C18" s="9">
        <v>1667022</v>
      </c>
      <c r="D18" s="10" t="s">
        <v>1019</v>
      </c>
      <c r="E18" s="10" t="s">
        <v>2584</v>
      </c>
      <c r="F18" s="10" t="s">
        <v>2375</v>
      </c>
      <c r="G18" s="202">
        <v>1830.28</v>
      </c>
      <c r="H18" s="203">
        <v>2580066</v>
      </c>
    </row>
    <row r="19" spans="1:8" x14ac:dyDescent="0.3">
      <c r="A19" s="189">
        <v>17</v>
      </c>
      <c r="B19" s="9" t="s">
        <v>656</v>
      </c>
      <c r="C19" s="9">
        <v>1664317</v>
      </c>
      <c r="D19" s="10" t="s">
        <v>1167</v>
      </c>
      <c r="E19" s="10" t="s">
        <v>2584</v>
      </c>
      <c r="F19" s="10" t="s">
        <v>2384</v>
      </c>
      <c r="G19" s="202">
        <v>1830.28</v>
      </c>
      <c r="H19" s="203">
        <v>2580066</v>
      </c>
    </row>
    <row r="20" spans="1:8" x14ac:dyDescent="0.3">
      <c r="A20" s="189">
        <v>18</v>
      </c>
      <c r="B20" s="9" t="s">
        <v>613</v>
      </c>
      <c r="C20" s="9">
        <v>1660660</v>
      </c>
      <c r="D20" s="10" t="s">
        <v>819</v>
      </c>
      <c r="E20" s="10" t="s">
        <v>579</v>
      </c>
      <c r="F20" s="10" t="s">
        <v>2360</v>
      </c>
      <c r="G20" s="202">
        <v>1830.28</v>
      </c>
      <c r="H20" s="203">
        <v>2580066</v>
      </c>
    </row>
    <row r="21" spans="1:8" x14ac:dyDescent="0.3">
      <c r="A21" s="189">
        <v>19</v>
      </c>
      <c r="B21" s="9" t="s">
        <v>444</v>
      </c>
      <c r="C21" s="9">
        <v>1658192</v>
      </c>
      <c r="D21" s="10" t="s">
        <v>1010</v>
      </c>
      <c r="E21" s="10" t="s">
        <v>2785</v>
      </c>
      <c r="F21" s="10" t="s">
        <v>2394</v>
      </c>
      <c r="G21" s="202">
        <v>1830.28</v>
      </c>
      <c r="H21" s="203">
        <v>2580066</v>
      </c>
    </row>
    <row r="22" spans="1:8" x14ac:dyDescent="0.3">
      <c r="A22" s="189">
        <v>20</v>
      </c>
      <c r="B22" s="9" t="s">
        <v>444</v>
      </c>
      <c r="C22" s="9">
        <v>1657604</v>
      </c>
      <c r="D22" s="10" t="s">
        <v>1190</v>
      </c>
      <c r="E22" s="10" t="s">
        <v>292</v>
      </c>
      <c r="F22" s="10" t="s">
        <v>1720</v>
      </c>
      <c r="G22" s="202">
        <v>1830.28</v>
      </c>
      <c r="H22" s="203">
        <v>2580066</v>
      </c>
    </row>
    <row r="23" spans="1:8" x14ac:dyDescent="0.3">
      <c r="A23" s="189">
        <v>21</v>
      </c>
      <c r="B23" s="9" t="s">
        <v>637</v>
      </c>
      <c r="C23" s="9">
        <v>1670326</v>
      </c>
      <c r="D23" s="10" t="s">
        <v>811</v>
      </c>
      <c r="E23" s="10" t="s">
        <v>175</v>
      </c>
      <c r="F23" s="10" t="s">
        <v>2359</v>
      </c>
      <c r="G23" s="202">
        <v>1830.28</v>
      </c>
      <c r="H23" s="203">
        <v>2580066</v>
      </c>
    </row>
    <row r="24" spans="1:8" x14ac:dyDescent="0.3">
      <c r="A24" s="189">
        <v>22</v>
      </c>
      <c r="B24" s="9" t="s">
        <v>637</v>
      </c>
      <c r="C24" s="9">
        <v>1661712</v>
      </c>
      <c r="D24" s="10" t="s">
        <v>1016</v>
      </c>
      <c r="E24" s="10" t="s">
        <v>3022</v>
      </c>
      <c r="F24" s="10" t="s">
        <v>2584</v>
      </c>
      <c r="G24" s="202">
        <v>1830.28</v>
      </c>
      <c r="H24" s="203">
        <v>2580066</v>
      </c>
    </row>
    <row r="25" spans="1:8" x14ac:dyDescent="0.3">
      <c r="A25" s="189">
        <v>23</v>
      </c>
      <c r="B25" s="9" t="s">
        <v>444</v>
      </c>
      <c r="C25" s="9">
        <v>1679121</v>
      </c>
      <c r="D25" s="10" t="s">
        <v>942</v>
      </c>
      <c r="E25" s="10" t="s">
        <v>2828</v>
      </c>
      <c r="F25" s="10" t="s">
        <v>2830</v>
      </c>
      <c r="G25" s="202">
        <v>1830.28</v>
      </c>
      <c r="H25" s="203">
        <v>2580066</v>
      </c>
    </row>
    <row r="26" spans="1:8" x14ac:dyDescent="0.3">
      <c r="A26" s="189">
        <v>24</v>
      </c>
      <c r="B26" s="9" t="s">
        <v>784</v>
      </c>
      <c r="C26" s="9">
        <v>1683535</v>
      </c>
      <c r="D26" s="10" t="s">
        <v>883</v>
      </c>
      <c r="E26" s="10" t="s">
        <v>217</v>
      </c>
      <c r="F26" s="10" t="s">
        <v>218</v>
      </c>
      <c r="G26" s="202">
        <v>1830.28</v>
      </c>
      <c r="H26" s="203">
        <v>2580066</v>
      </c>
    </row>
    <row r="27" spans="1:8" x14ac:dyDescent="0.3">
      <c r="A27" s="189">
        <v>25</v>
      </c>
      <c r="B27" s="9" t="s">
        <v>784</v>
      </c>
      <c r="C27" s="9">
        <v>1662849</v>
      </c>
      <c r="D27" s="10" t="s">
        <v>1044</v>
      </c>
      <c r="E27" s="10" t="s">
        <v>217</v>
      </c>
      <c r="F27" s="10" t="s">
        <v>2887</v>
      </c>
      <c r="G27" s="202">
        <v>1830.28</v>
      </c>
      <c r="H27" s="203">
        <v>2580066</v>
      </c>
    </row>
    <row r="28" spans="1:8" x14ac:dyDescent="0.3">
      <c r="A28" s="189">
        <v>26</v>
      </c>
      <c r="B28" s="9" t="s">
        <v>426</v>
      </c>
      <c r="C28" s="9">
        <v>1659929</v>
      </c>
      <c r="D28" s="10" t="s">
        <v>823</v>
      </c>
      <c r="E28" s="10" t="s">
        <v>140</v>
      </c>
      <c r="F28" s="10" t="s">
        <v>141</v>
      </c>
      <c r="G28" s="202">
        <v>1830.28</v>
      </c>
      <c r="H28" s="203">
        <v>2580066</v>
      </c>
    </row>
    <row r="29" spans="1:8" x14ac:dyDescent="0.3">
      <c r="A29" s="189">
        <v>27</v>
      </c>
      <c r="B29" s="9" t="s">
        <v>426</v>
      </c>
      <c r="C29" s="9">
        <v>1686025</v>
      </c>
      <c r="D29" s="10" t="s">
        <v>1212</v>
      </c>
      <c r="E29" s="10" t="s">
        <v>140</v>
      </c>
      <c r="F29" s="10" t="s">
        <v>2366</v>
      </c>
      <c r="G29" s="202">
        <v>1830.28</v>
      </c>
      <c r="H29" s="203">
        <v>2580066</v>
      </c>
    </row>
    <row r="30" spans="1:8" x14ac:dyDescent="0.3">
      <c r="A30" s="189">
        <v>28</v>
      </c>
      <c r="B30" s="9" t="s">
        <v>444</v>
      </c>
      <c r="C30" s="9">
        <v>1654046</v>
      </c>
      <c r="D30" s="10" t="s">
        <v>1221</v>
      </c>
      <c r="E30" s="10" t="s">
        <v>584</v>
      </c>
      <c r="F30" s="10" t="s">
        <v>2981</v>
      </c>
      <c r="G30" s="202">
        <v>1830.28</v>
      </c>
      <c r="H30" s="203">
        <v>2580066</v>
      </c>
    </row>
    <row r="31" spans="1:8" x14ac:dyDescent="0.3">
      <c r="A31" s="189">
        <v>29</v>
      </c>
      <c r="B31" s="9" t="s">
        <v>656</v>
      </c>
      <c r="C31" s="9">
        <v>1667371</v>
      </c>
      <c r="D31" s="10" t="s">
        <v>801</v>
      </c>
      <c r="E31" s="10" t="s">
        <v>185</v>
      </c>
      <c r="F31" s="10" t="s">
        <v>100</v>
      </c>
      <c r="G31" s="202">
        <v>1830.28</v>
      </c>
      <c r="H31" s="203">
        <v>2580066</v>
      </c>
    </row>
    <row r="32" spans="1:8" x14ac:dyDescent="0.3">
      <c r="A32" s="189">
        <v>30</v>
      </c>
      <c r="B32" s="9" t="s">
        <v>656</v>
      </c>
      <c r="C32" s="9">
        <v>1688022</v>
      </c>
      <c r="D32" s="10" t="s">
        <v>1114</v>
      </c>
      <c r="E32" s="10" t="s">
        <v>185</v>
      </c>
      <c r="F32" s="10" t="s">
        <v>2375</v>
      </c>
      <c r="G32" s="202">
        <v>1830.28</v>
      </c>
      <c r="H32" s="203">
        <v>2580066</v>
      </c>
    </row>
    <row r="33" spans="1:8" x14ac:dyDescent="0.3">
      <c r="A33" s="189">
        <v>31</v>
      </c>
      <c r="B33" s="9" t="s">
        <v>434</v>
      </c>
      <c r="C33" s="9">
        <v>1662133</v>
      </c>
      <c r="D33" s="10" t="s">
        <v>1172</v>
      </c>
      <c r="E33" s="10" t="s">
        <v>39</v>
      </c>
      <c r="F33" s="10" t="s">
        <v>343</v>
      </c>
      <c r="G33" s="202">
        <v>1830.28</v>
      </c>
      <c r="H33" s="203">
        <v>2580066</v>
      </c>
    </row>
    <row r="34" spans="1:8" x14ac:dyDescent="0.3">
      <c r="A34" s="189">
        <v>32</v>
      </c>
      <c r="B34" s="9" t="s">
        <v>434</v>
      </c>
      <c r="C34" s="9">
        <v>1668671</v>
      </c>
      <c r="D34" s="10" t="s">
        <v>3104</v>
      </c>
      <c r="E34" s="10" t="s">
        <v>3106</v>
      </c>
      <c r="F34" s="10" t="s">
        <v>3108</v>
      </c>
      <c r="G34" s="202">
        <v>1830.28</v>
      </c>
      <c r="H34" s="203">
        <v>2580066</v>
      </c>
    </row>
    <row r="35" spans="1:8" x14ac:dyDescent="0.3">
      <c r="A35" s="189">
        <v>33</v>
      </c>
      <c r="B35" s="9" t="s">
        <v>784</v>
      </c>
      <c r="C35" s="9">
        <v>1685025</v>
      </c>
      <c r="D35" s="10" t="s">
        <v>1214</v>
      </c>
      <c r="E35" s="10" t="s">
        <v>2577</v>
      </c>
      <c r="F35" s="10" t="s">
        <v>41</v>
      </c>
      <c r="G35" s="202">
        <v>1830.28</v>
      </c>
      <c r="H35" s="203">
        <v>2580066</v>
      </c>
    </row>
    <row r="36" spans="1:8" x14ac:dyDescent="0.3">
      <c r="A36" s="189">
        <v>34</v>
      </c>
      <c r="B36" s="9" t="s">
        <v>843</v>
      </c>
      <c r="C36" s="9">
        <v>1683810</v>
      </c>
      <c r="D36" s="10" t="s">
        <v>1098</v>
      </c>
      <c r="E36" s="10" t="s">
        <v>102</v>
      </c>
      <c r="F36" s="10" t="s">
        <v>1762</v>
      </c>
      <c r="G36" s="202">
        <v>1830.28</v>
      </c>
      <c r="H36" s="203">
        <v>2580066</v>
      </c>
    </row>
    <row r="37" spans="1:8" x14ac:dyDescent="0.3">
      <c r="A37" s="189">
        <v>35</v>
      </c>
      <c r="B37" s="9" t="s">
        <v>843</v>
      </c>
      <c r="C37" s="9">
        <v>1657787</v>
      </c>
      <c r="D37" s="10" t="s">
        <v>1241</v>
      </c>
      <c r="E37" s="10" t="s">
        <v>102</v>
      </c>
      <c r="F37" s="10" t="s">
        <v>103</v>
      </c>
      <c r="G37" s="202">
        <v>1830.28</v>
      </c>
      <c r="H37" s="203">
        <v>2580066</v>
      </c>
    </row>
    <row r="38" spans="1:8" x14ac:dyDescent="0.3">
      <c r="A38" s="189">
        <v>36</v>
      </c>
      <c r="B38" s="9" t="s">
        <v>794</v>
      </c>
      <c r="C38" s="9">
        <v>1660759</v>
      </c>
      <c r="D38" s="10" t="s">
        <v>861</v>
      </c>
      <c r="E38" s="10" t="s">
        <v>294</v>
      </c>
      <c r="F38" s="10" t="s">
        <v>2719</v>
      </c>
      <c r="G38" s="202">
        <v>1830.28</v>
      </c>
      <c r="H38" s="203">
        <v>2580066</v>
      </c>
    </row>
    <row r="39" spans="1:8" x14ac:dyDescent="0.3">
      <c r="A39" s="189">
        <v>37</v>
      </c>
      <c r="B39" s="9" t="s">
        <v>426</v>
      </c>
      <c r="C39" s="9">
        <v>1684286</v>
      </c>
      <c r="D39" s="10" t="s">
        <v>998</v>
      </c>
      <c r="E39" s="10" t="s">
        <v>305</v>
      </c>
      <c r="F39" s="10" t="s">
        <v>3191</v>
      </c>
      <c r="G39" s="202">
        <v>1830.28</v>
      </c>
      <c r="H39" s="203">
        <v>2580066</v>
      </c>
    </row>
    <row r="40" spans="1:8" x14ac:dyDescent="0.3">
      <c r="A40" s="189">
        <v>38</v>
      </c>
      <c r="B40" s="9" t="s">
        <v>426</v>
      </c>
      <c r="C40" s="9">
        <v>1684287</v>
      </c>
      <c r="D40" s="10" t="s">
        <v>1112</v>
      </c>
      <c r="E40" s="10" t="s">
        <v>305</v>
      </c>
      <c r="F40" s="10" t="s">
        <v>3191</v>
      </c>
      <c r="G40" s="202">
        <v>1830.28</v>
      </c>
      <c r="H40" s="203">
        <v>2580066</v>
      </c>
    </row>
    <row r="41" spans="1:8" x14ac:dyDescent="0.3">
      <c r="A41" s="189">
        <v>39</v>
      </c>
      <c r="B41" s="9" t="s">
        <v>843</v>
      </c>
      <c r="C41" s="9">
        <v>1669178</v>
      </c>
      <c r="D41" s="10" t="s">
        <v>848</v>
      </c>
      <c r="E41" s="10" t="s">
        <v>174</v>
      </c>
      <c r="F41" s="10" t="s">
        <v>2705</v>
      </c>
      <c r="G41" s="202">
        <v>1830.28</v>
      </c>
      <c r="H41" s="203">
        <v>2580066</v>
      </c>
    </row>
    <row r="42" spans="1:8" x14ac:dyDescent="0.3">
      <c r="A42" s="189">
        <v>40</v>
      </c>
      <c r="B42" s="9" t="s">
        <v>426</v>
      </c>
      <c r="C42" s="9">
        <v>1664607</v>
      </c>
      <c r="D42" s="10" t="s">
        <v>888</v>
      </c>
      <c r="E42" s="10" t="s">
        <v>243</v>
      </c>
      <c r="F42" s="10" t="s">
        <v>319</v>
      </c>
      <c r="G42" s="202">
        <v>1830.28</v>
      </c>
      <c r="H42" s="203">
        <v>2580066</v>
      </c>
    </row>
    <row r="43" spans="1:8" x14ac:dyDescent="0.3">
      <c r="A43" s="189">
        <v>41</v>
      </c>
      <c r="B43" s="9" t="s">
        <v>426</v>
      </c>
      <c r="C43" s="9">
        <v>1683594</v>
      </c>
      <c r="D43" s="10" t="s">
        <v>1239</v>
      </c>
      <c r="E43" s="10" t="s">
        <v>243</v>
      </c>
      <c r="F43" s="10" t="s">
        <v>319</v>
      </c>
      <c r="G43" s="202">
        <v>1830.28</v>
      </c>
      <c r="H43" s="203">
        <v>2580066</v>
      </c>
    </row>
    <row r="44" spans="1:8" x14ac:dyDescent="0.3">
      <c r="A44" s="189">
        <v>42</v>
      </c>
      <c r="B44" s="9" t="s">
        <v>843</v>
      </c>
      <c r="C44" s="9">
        <v>1656724</v>
      </c>
      <c r="D44" s="10" t="s">
        <v>1198</v>
      </c>
      <c r="E44" s="10" t="s">
        <v>2765</v>
      </c>
      <c r="F44" s="10" t="s">
        <v>3027</v>
      </c>
      <c r="G44" s="202">
        <v>1830.28</v>
      </c>
      <c r="H44" s="203">
        <v>2580066</v>
      </c>
    </row>
    <row r="45" spans="1:8" x14ac:dyDescent="0.3">
      <c r="A45" s="189">
        <v>43</v>
      </c>
      <c r="B45" s="9" t="s">
        <v>794</v>
      </c>
      <c r="C45" s="9">
        <v>1668853</v>
      </c>
      <c r="D45" s="10" t="s">
        <v>800</v>
      </c>
      <c r="E45" s="10" t="s">
        <v>591</v>
      </c>
      <c r="F45" s="10" t="s">
        <v>2618</v>
      </c>
      <c r="G45" s="202">
        <v>1830.28</v>
      </c>
      <c r="H45" s="203">
        <v>2580066</v>
      </c>
    </row>
    <row r="46" spans="1:8" x14ac:dyDescent="0.3">
      <c r="A46" s="189">
        <v>44</v>
      </c>
      <c r="B46" s="9" t="s">
        <v>829</v>
      </c>
      <c r="C46" s="9">
        <v>1684010</v>
      </c>
      <c r="D46" s="10" t="s">
        <v>1148</v>
      </c>
      <c r="E46" s="10" t="s">
        <v>2800</v>
      </c>
      <c r="F46" s="10" t="s">
        <v>2941</v>
      </c>
      <c r="G46" s="202">
        <v>1830.28</v>
      </c>
      <c r="H46" s="203">
        <v>2580066</v>
      </c>
    </row>
    <row r="47" spans="1:8" x14ac:dyDescent="0.3">
      <c r="A47" s="189">
        <v>45</v>
      </c>
      <c r="B47" s="9" t="s">
        <v>656</v>
      </c>
      <c r="C47" s="9">
        <v>1683431</v>
      </c>
      <c r="D47" s="10" t="s">
        <v>658</v>
      </c>
      <c r="E47" s="10" t="s">
        <v>356</v>
      </c>
      <c r="F47" s="10" t="s">
        <v>3582</v>
      </c>
      <c r="G47" s="202">
        <v>1830.28</v>
      </c>
      <c r="H47" s="203">
        <v>2580066</v>
      </c>
    </row>
    <row r="48" spans="1:8" x14ac:dyDescent="0.3">
      <c r="A48" s="189">
        <v>46</v>
      </c>
      <c r="B48" s="9" t="s">
        <v>656</v>
      </c>
      <c r="C48" s="9">
        <v>1670502</v>
      </c>
      <c r="D48" s="10" t="s">
        <v>937</v>
      </c>
      <c r="E48" s="10" t="s">
        <v>356</v>
      </c>
      <c r="F48" s="10" t="s">
        <v>2691</v>
      </c>
      <c r="G48" s="202">
        <v>1830.28</v>
      </c>
      <c r="H48" s="203">
        <v>2580066</v>
      </c>
    </row>
    <row r="49" spans="1:8" x14ac:dyDescent="0.3">
      <c r="A49" s="189">
        <v>47</v>
      </c>
      <c r="B49" s="9" t="s">
        <v>843</v>
      </c>
      <c r="C49" s="9">
        <v>1661198</v>
      </c>
      <c r="D49" s="10" t="s">
        <v>919</v>
      </c>
      <c r="E49" s="10" t="s">
        <v>2806</v>
      </c>
      <c r="F49" s="10" t="s">
        <v>371</v>
      </c>
      <c r="G49" s="202">
        <v>1830.28</v>
      </c>
      <c r="H49" s="203">
        <v>2580066</v>
      </c>
    </row>
    <row r="50" spans="1:8" x14ac:dyDescent="0.3">
      <c r="A50" s="189">
        <v>48</v>
      </c>
      <c r="B50" s="9" t="s">
        <v>637</v>
      </c>
      <c r="C50" s="9">
        <v>1683436</v>
      </c>
      <c r="D50" s="10" t="s">
        <v>802</v>
      </c>
      <c r="E50" s="10" t="s">
        <v>363</v>
      </c>
      <c r="F50" s="10" t="s">
        <v>364</v>
      </c>
      <c r="G50" s="202">
        <v>1830.28</v>
      </c>
      <c r="H50" s="203">
        <v>2580066</v>
      </c>
    </row>
    <row r="51" spans="1:8" x14ac:dyDescent="0.3">
      <c r="A51" s="189">
        <v>49</v>
      </c>
      <c r="B51" s="9" t="s">
        <v>843</v>
      </c>
      <c r="C51" s="9">
        <v>1661221</v>
      </c>
      <c r="D51" s="10" t="s">
        <v>858</v>
      </c>
      <c r="E51" s="10" t="s">
        <v>2625</v>
      </c>
      <c r="F51" s="10" t="s">
        <v>103</v>
      </c>
      <c r="G51" s="202">
        <v>1830.28</v>
      </c>
      <c r="H51" s="203">
        <v>2580066</v>
      </c>
    </row>
    <row r="52" spans="1:8" x14ac:dyDescent="0.3">
      <c r="A52" s="189">
        <v>50</v>
      </c>
      <c r="B52" s="9" t="s">
        <v>794</v>
      </c>
      <c r="C52" s="9">
        <v>1668870</v>
      </c>
      <c r="D52" s="10" t="s">
        <v>797</v>
      </c>
      <c r="E52" s="10" t="s">
        <v>342</v>
      </c>
      <c r="F52" s="10" t="s">
        <v>2365</v>
      </c>
      <c r="G52" s="202">
        <v>1830.28</v>
      </c>
      <c r="H52" s="203">
        <v>2580066</v>
      </c>
    </row>
    <row r="53" spans="1:8" x14ac:dyDescent="0.3">
      <c r="A53" s="189">
        <v>51</v>
      </c>
      <c r="B53" s="9" t="s">
        <v>784</v>
      </c>
      <c r="C53" s="9">
        <v>1657096</v>
      </c>
      <c r="D53" s="10" t="s">
        <v>1092</v>
      </c>
      <c r="E53" s="10" t="s">
        <v>2638</v>
      </c>
      <c r="F53" s="10" t="s">
        <v>218</v>
      </c>
      <c r="G53" s="202">
        <v>1830.28</v>
      </c>
      <c r="H53" s="203">
        <v>2580066</v>
      </c>
    </row>
    <row r="54" spans="1:8" x14ac:dyDescent="0.3">
      <c r="A54" s="189">
        <v>52</v>
      </c>
      <c r="B54" s="9" t="s">
        <v>829</v>
      </c>
      <c r="C54" s="9">
        <v>1665498</v>
      </c>
      <c r="D54" s="10" t="s">
        <v>862</v>
      </c>
      <c r="E54" s="10" t="s">
        <v>311</v>
      </c>
      <c r="F54" s="10" t="s">
        <v>3199</v>
      </c>
      <c r="G54" s="202">
        <v>1830.28</v>
      </c>
      <c r="H54" s="204">
        <v>2580065</v>
      </c>
    </row>
    <row r="55" spans="1:8" x14ac:dyDescent="0.3">
      <c r="A55" s="189">
        <v>53</v>
      </c>
      <c r="B55" s="9" t="s">
        <v>829</v>
      </c>
      <c r="C55" s="9">
        <v>1688777</v>
      </c>
      <c r="D55" s="10" t="s">
        <v>944</v>
      </c>
      <c r="E55" s="10" t="s">
        <v>311</v>
      </c>
      <c r="F55" s="10" t="s">
        <v>312</v>
      </c>
      <c r="G55" s="202">
        <v>1830.28</v>
      </c>
      <c r="H55" s="204">
        <v>2580065</v>
      </c>
    </row>
    <row r="56" spans="1:8" x14ac:dyDescent="0.3">
      <c r="A56" s="189">
        <v>54</v>
      </c>
      <c r="B56" s="9" t="s">
        <v>829</v>
      </c>
      <c r="C56" s="9">
        <v>1683879</v>
      </c>
      <c r="D56" s="10" t="s">
        <v>1232</v>
      </c>
      <c r="E56" s="10" t="s">
        <v>311</v>
      </c>
      <c r="F56" s="10" t="s">
        <v>2990</v>
      </c>
      <c r="G56" s="202">
        <v>1830.28</v>
      </c>
      <c r="H56" s="204">
        <v>2580065</v>
      </c>
    </row>
    <row r="57" spans="1:8" x14ac:dyDescent="0.3">
      <c r="A57" s="189">
        <v>55</v>
      </c>
      <c r="B57" s="9" t="s">
        <v>784</v>
      </c>
      <c r="C57" s="9">
        <v>1672093</v>
      </c>
      <c r="D57" s="10" t="s">
        <v>865</v>
      </c>
      <c r="E57" s="10" t="s">
        <v>349</v>
      </c>
      <c r="F57" s="10" t="s">
        <v>2358</v>
      </c>
      <c r="G57" s="202">
        <v>1830.28</v>
      </c>
      <c r="H57" s="203">
        <v>2580066</v>
      </c>
    </row>
    <row r="58" spans="1:8" x14ac:dyDescent="0.3">
      <c r="A58" s="189">
        <v>56</v>
      </c>
      <c r="B58" s="9" t="s">
        <v>784</v>
      </c>
      <c r="C58" s="9">
        <v>1684316</v>
      </c>
      <c r="D58" s="10" t="s">
        <v>1129</v>
      </c>
      <c r="E58" s="10" t="s">
        <v>349</v>
      </c>
      <c r="F58" s="10" t="s">
        <v>176</v>
      </c>
      <c r="G58" s="202">
        <v>1830.28</v>
      </c>
      <c r="H58" s="203">
        <v>2580066</v>
      </c>
    </row>
    <row r="59" spans="1:8" x14ac:dyDescent="0.3">
      <c r="A59" s="189">
        <v>57</v>
      </c>
      <c r="B59" s="9" t="s">
        <v>47</v>
      </c>
      <c r="C59" s="9">
        <v>1668793</v>
      </c>
      <c r="D59" s="10" t="s">
        <v>611</v>
      </c>
      <c r="E59" s="10" t="s">
        <v>53</v>
      </c>
      <c r="F59" s="10" t="s">
        <v>54</v>
      </c>
      <c r="G59" s="202">
        <v>1830.28</v>
      </c>
      <c r="H59" s="203">
        <v>2580066</v>
      </c>
    </row>
    <row r="60" spans="1:8" x14ac:dyDescent="0.3">
      <c r="A60" s="189">
        <v>58</v>
      </c>
      <c r="B60" s="9" t="s">
        <v>613</v>
      </c>
      <c r="C60" s="9">
        <v>1661433</v>
      </c>
      <c r="D60" s="10" t="s">
        <v>915</v>
      </c>
      <c r="E60" s="10" t="s">
        <v>80</v>
      </c>
      <c r="F60" s="10" t="s">
        <v>2371</v>
      </c>
      <c r="G60" s="202">
        <v>1830.28</v>
      </c>
      <c r="H60" s="203">
        <v>2580066</v>
      </c>
    </row>
    <row r="61" spans="1:8" x14ac:dyDescent="0.3">
      <c r="A61" s="189">
        <v>59</v>
      </c>
      <c r="B61" s="9" t="s">
        <v>829</v>
      </c>
      <c r="C61" s="9">
        <v>1660170</v>
      </c>
      <c r="D61" s="10" t="s">
        <v>830</v>
      </c>
      <c r="E61" s="10" t="s">
        <v>149</v>
      </c>
      <c r="F61" s="10" t="s">
        <v>150</v>
      </c>
      <c r="G61" s="202">
        <v>1830.28</v>
      </c>
      <c r="H61" s="203">
        <v>2580066</v>
      </c>
    </row>
    <row r="62" spans="1:8" x14ac:dyDescent="0.3">
      <c r="A62" s="189">
        <v>60</v>
      </c>
      <c r="B62" s="9" t="s">
        <v>829</v>
      </c>
      <c r="C62" s="9">
        <v>1671940</v>
      </c>
      <c r="D62" s="10" t="s">
        <v>961</v>
      </c>
      <c r="E62" s="10" t="s">
        <v>149</v>
      </c>
      <c r="F62" s="10" t="s">
        <v>2848</v>
      </c>
      <c r="G62" s="202">
        <v>1830.28</v>
      </c>
      <c r="H62" s="203">
        <v>2580066</v>
      </c>
    </row>
    <row r="63" spans="1:8" x14ac:dyDescent="0.3">
      <c r="A63" s="189">
        <v>61</v>
      </c>
      <c r="B63" s="9" t="s">
        <v>843</v>
      </c>
      <c r="C63" s="9">
        <v>1661004</v>
      </c>
      <c r="D63" s="10" t="s">
        <v>870</v>
      </c>
      <c r="E63" s="10" t="s">
        <v>2740</v>
      </c>
      <c r="F63" s="10" t="s">
        <v>2742</v>
      </c>
      <c r="G63" s="202">
        <v>1830.28</v>
      </c>
      <c r="H63" s="203">
        <v>2580066</v>
      </c>
    </row>
    <row r="64" spans="1:8" x14ac:dyDescent="0.3">
      <c r="A64" s="189">
        <v>62</v>
      </c>
      <c r="B64" s="9" t="s">
        <v>426</v>
      </c>
      <c r="C64" s="9">
        <v>1669115</v>
      </c>
      <c r="D64" s="10" t="s">
        <v>833</v>
      </c>
      <c r="E64" s="10" t="s">
        <v>2686</v>
      </c>
      <c r="F64" s="10" t="s">
        <v>193</v>
      </c>
      <c r="G64" s="202">
        <v>1830.28</v>
      </c>
      <c r="H64" s="203">
        <v>2580066</v>
      </c>
    </row>
    <row r="65" spans="1:8" x14ac:dyDescent="0.3">
      <c r="A65" s="189">
        <v>63</v>
      </c>
      <c r="B65" s="9" t="s">
        <v>426</v>
      </c>
      <c r="C65" s="9">
        <v>1682750</v>
      </c>
      <c r="D65" s="10" t="s">
        <v>1025</v>
      </c>
      <c r="E65" s="10" t="s">
        <v>2754</v>
      </c>
      <c r="F65" s="10" t="s">
        <v>319</v>
      </c>
      <c r="G65" s="202">
        <v>1830.28</v>
      </c>
      <c r="H65" s="203">
        <v>2580066</v>
      </c>
    </row>
    <row r="66" spans="1:8" x14ac:dyDescent="0.3">
      <c r="A66" s="189">
        <v>64</v>
      </c>
      <c r="B66" s="9" t="s">
        <v>426</v>
      </c>
      <c r="C66" s="9">
        <v>1685492</v>
      </c>
      <c r="D66" s="10" t="s">
        <v>1289</v>
      </c>
      <c r="E66" s="10" t="s">
        <v>2754</v>
      </c>
      <c r="F66" s="10" t="s">
        <v>2746</v>
      </c>
      <c r="G66" s="202">
        <v>1830.28</v>
      </c>
      <c r="H66" s="203">
        <v>2580066</v>
      </c>
    </row>
    <row r="67" spans="1:8" x14ac:dyDescent="0.3">
      <c r="A67" s="189">
        <v>65</v>
      </c>
      <c r="B67" s="9" t="s">
        <v>426</v>
      </c>
      <c r="C67" s="9">
        <v>1684035</v>
      </c>
      <c r="D67" s="10" t="s">
        <v>3092</v>
      </c>
      <c r="E67" s="10" t="s">
        <v>3093</v>
      </c>
      <c r="F67" s="10" t="s">
        <v>3095</v>
      </c>
      <c r="G67" s="202">
        <v>1830.28</v>
      </c>
      <c r="H67" s="203">
        <v>2580066</v>
      </c>
    </row>
    <row r="68" spans="1:8" x14ac:dyDescent="0.3">
      <c r="A68" s="189">
        <v>66</v>
      </c>
      <c r="B68" s="9" t="s">
        <v>613</v>
      </c>
      <c r="C68" s="9">
        <v>1698103</v>
      </c>
      <c r="D68" s="10" t="s">
        <v>624</v>
      </c>
      <c r="E68" s="10" t="s">
        <v>330</v>
      </c>
      <c r="F68" s="10" t="s">
        <v>337</v>
      </c>
      <c r="G68" s="202">
        <v>1830.28</v>
      </c>
      <c r="H68" s="203">
        <v>2580066</v>
      </c>
    </row>
    <row r="69" spans="1:8" x14ac:dyDescent="0.3">
      <c r="A69" s="189">
        <v>67</v>
      </c>
      <c r="B69" s="9" t="s">
        <v>794</v>
      </c>
      <c r="C69" s="9">
        <v>1668840</v>
      </c>
      <c r="D69" s="10" t="s">
        <v>839</v>
      </c>
      <c r="E69" s="10" t="s">
        <v>2666</v>
      </c>
      <c r="F69" s="10" t="s">
        <v>3052</v>
      </c>
      <c r="G69" s="202">
        <v>1830.28</v>
      </c>
      <c r="H69" s="203">
        <v>2580066</v>
      </c>
    </row>
    <row r="70" spans="1:8" x14ac:dyDescent="0.3">
      <c r="A70" s="189">
        <v>68</v>
      </c>
      <c r="B70" s="9" t="s">
        <v>444</v>
      </c>
      <c r="C70" s="9">
        <v>1659927</v>
      </c>
      <c r="D70" s="10" t="s">
        <v>913</v>
      </c>
      <c r="E70" s="10" t="s">
        <v>283</v>
      </c>
      <c r="F70" s="10" t="s">
        <v>284</v>
      </c>
      <c r="G70" s="202">
        <v>1830.28</v>
      </c>
      <c r="H70" s="203">
        <v>2580066</v>
      </c>
    </row>
    <row r="71" spans="1:8" x14ac:dyDescent="0.3">
      <c r="A71" s="189">
        <v>69</v>
      </c>
      <c r="B71" s="9" t="s">
        <v>444</v>
      </c>
      <c r="C71" s="9">
        <v>1682797</v>
      </c>
      <c r="D71" s="10" t="s">
        <v>1262</v>
      </c>
      <c r="E71" s="10" t="s">
        <v>283</v>
      </c>
      <c r="F71" s="10" t="s">
        <v>2981</v>
      </c>
      <c r="G71" s="202">
        <v>1830.28</v>
      </c>
      <c r="H71" s="203">
        <v>2580066</v>
      </c>
    </row>
    <row r="72" spans="1:8" x14ac:dyDescent="0.3">
      <c r="A72" s="189">
        <v>70</v>
      </c>
      <c r="B72" s="9" t="s">
        <v>656</v>
      </c>
      <c r="C72" s="9">
        <v>1663086</v>
      </c>
      <c r="D72" s="10" t="s">
        <v>805</v>
      </c>
      <c r="E72" s="10" t="s">
        <v>94</v>
      </c>
      <c r="F72" s="10" t="s">
        <v>2375</v>
      </c>
      <c r="G72" s="202">
        <v>1830.28</v>
      </c>
      <c r="H72" s="203">
        <v>2580066</v>
      </c>
    </row>
    <row r="73" spans="1:8" x14ac:dyDescent="0.3">
      <c r="A73" s="189">
        <v>71</v>
      </c>
      <c r="B73" s="9" t="s">
        <v>426</v>
      </c>
      <c r="C73" s="9">
        <v>1670157</v>
      </c>
      <c r="D73" s="10" t="s">
        <v>873</v>
      </c>
      <c r="E73" s="10" t="s">
        <v>2744</v>
      </c>
      <c r="F73" s="10" t="s">
        <v>2746</v>
      </c>
      <c r="G73" s="202">
        <v>1830.28</v>
      </c>
      <c r="H73" s="203">
        <v>2580066</v>
      </c>
    </row>
    <row r="74" spans="1:8" x14ac:dyDescent="0.3">
      <c r="A74" s="189">
        <v>72</v>
      </c>
      <c r="B74" s="9" t="s">
        <v>784</v>
      </c>
      <c r="C74" s="9">
        <v>1666520</v>
      </c>
      <c r="D74" s="10" t="s">
        <v>789</v>
      </c>
      <c r="E74" s="10" t="s">
        <v>2602</v>
      </c>
      <c r="F74" s="10" t="s">
        <v>2358</v>
      </c>
      <c r="G74" s="202">
        <v>1830.28</v>
      </c>
      <c r="H74" s="203">
        <v>2580066</v>
      </c>
    </row>
    <row r="75" spans="1:8" x14ac:dyDescent="0.3">
      <c r="A75" s="189">
        <v>73</v>
      </c>
      <c r="B75" s="9" t="s">
        <v>784</v>
      </c>
      <c r="C75" s="9">
        <v>1688003</v>
      </c>
      <c r="D75" s="10" t="s">
        <v>1157</v>
      </c>
      <c r="E75" s="10" t="s">
        <v>2602</v>
      </c>
      <c r="F75" s="10" t="s">
        <v>2386</v>
      </c>
      <c r="G75" s="202">
        <v>1830.28</v>
      </c>
      <c r="H75" s="203">
        <v>2580066</v>
      </c>
    </row>
    <row r="76" spans="1:8" x14ac:dyDescent="0.3">
      <c r="A76" s="189">
        <v>74</v>
      </c>
      <c r="B76" s="9" t="s">
        <v>434</v>
      </c>
      <c r="C76" s="9">
        <v>1658093</v>
      </c>
      <c r="D76" s="10" t="s">
        <v>651</v>
      </c>
      <c r="E76" s="10" t="s">
        <v>160</v>
      </c>
      <c r="F76" s="10" t="s">
        <v>161</v>
      </c>
      <c r="G76" s="202">
        <v>1830.28</v>
      </c>
      <c r="H76" s="203">
        <v>2580066</v>
      </c>
    </row>
    <row r="77" spans="1:8" x14ac:dyDescent="0.3">
      <c r="A77" s="189">
        <v>75</v>
      </c>
      <c r="B77" s="9" t="s">
        <v>637</v>
      </c>
      <c r="C77" s="9">
        <v>1660422</v>
      </c>
      <c r="D77" s="10" t="s">
        <v>1035</v>
      </c>
      <c r="E77" s="10" t="s">
        <v>191</v>
      </c>
      <c r="F77" s="10" t="s">
        <v>2381</v>
      </c>
      <c r="G77" s="202">
        <v>1830.28</v>
      </c>
      <c r="H77" s="204">
        <v>2580065</v>
      </c>
    </row>
    <row r="78" spans="1:8" x14ac:dyDescent="0.3">
      <c r="A78" s="189">
        <v>76</v>
      </c>
      <c r="B78" s="9" t="s">
        <v>637</v>
      </c>
      <c r="C78" s="9">
        <v>1683385</v>
      </c>
      <c r="D78" s="10" t="s">
        <v>1070</v>
      </c>
      <c r="E78" s="10" t="s">
        <v>191</v>
      </c>
      <c r="F78" s="10" t="s">
        <v>2374</v>
      </c>
      <c r="G78" s="202">
        <v>1830.28</v>
      </c>
      <c r="H78" s="204">
        <v>2580065</v>
      </c>
    </row>
    <row r="79" spans="1:8" x14ac:dyDescent="0.3">
      <c r="A79" s="189">
        <v>77</v>
      </c>
      <c r="B79" s="9" t="s">
        <v>637</v>
      </c>
      <c r="C79" s="9">
        <v>1684617</v>
      </c>
      <c r="D79" s="10" t="s">
        <v>1153</v>
      </c>
      <c r="E79" s="10" t="s">
        <v>191</v>
      </c>
      <c r="F79" s="10" t="s">
        <v>2697</v>
      </c>
      <c r="G79" s="202">
        <v>1830.28</v>
      </c>
      <c r="H79" s="204">
        <v>2580065</v>
      </c>
    </row>
    <row r="80" spans="1:8" x14ac:dyDescent="0.3">
      <c r="A80" s="189">
        <v>78</v>
      </c>
      <c r="B80" s="9" t="s">
        <v>794</v>
      </c>
      <c r="C80" s="9">
        <v>1684859</v>
      </c>
      <c r="D80" s="10" t="s">
        <v>1133</v>
      </c>
      <c r="E80" s="10" t="s">
        <v>81</v>
      </c>
      <c r="F80" s="10" t="s">
        <v>2391</v>
      </c>
      <c r="G80" s="202">
        <v>1830.28</v>
      </c>
      <c r="H80" s="203">
        <v>2580066</v>
      </c>
    </row>
    <row r="81" spans="1:8" x14ac:dyDescent="0.3">
      <c r="A81" s="189">
        <v>79</v>
      </c>
      <c r="B81" s="9" t="s">
        <v>434</v>
      </c>
      <c r="C81" s="9">
        <v>1698943</v>
      </c>
      <c r="D81" s="10" t="s">
        <v>877</v>
      </c>
      <c r="E81" s="10" t="s">
        <v>208</v>
      </c>
      <c r="F81" s="10" t="s">
        <v>2750</v>
      </c>
      <c r="G81" s="202">
        <v>1830.28</v>
      </c>
      <c r="H81" s="203">
        <v>2580066</v>
      </c>
    </row>
    <row r="82" spans="1:8" x14ac:dyDescent="0.3">
      <c r="A82" s="189">
        <v>80</v>
      </c>
      <c r="B82" s="9" t="s">
        <v>434</v>
      </c>
      <c r="C82" s="9">
        <v>1669402</v>
      </c>
      <c r="D82" s="10" t="s">
        <v>909</v>
      </c>
      <c r="E82" s="10" t="s">
        <v>208</v>
      </c>
      <c r="F82" s="10" t="s">
        <v>3512</v>
      </c>
      <c r="G82" s="202">
        <v>1830.28</v>
      </c>
      <c r="H82" s="203">
        <v>2580066</v>
      </c>
    </row>
    <row r="83" spans="1:8" x14ac:dyDescent="0.3">
      <c r="A83" s="189">
        <v>81</v>
      </c>
      <c r="B83" s="9" t="s">
        <v>434</v>
      </c>
      <c r="C83" s="9">
        <v>1662134</v>
      </c>
      <c r="D83" s="10" t="s">
        <v>991</v>
      </c>
      <c r="E83" s="10" t="s">
        <v>208</v>
      </c>
      <c r="F83" s="10" t="s">
        <v>2373</v>
      </c>
      <c r="G83" s="202">
        <v>1830.28</v>
      </c>
      <c r="H83" s="203">
        <v>2580066</v>
      </c>
    </row>
    <row r="84" spans="1:8" x14ac:dyDescent="0.3">
      <c r="A84" s="189">
        <v>82</v>
      </c>
      <c r="B84" s="9" t="s">
        <v>434</v>
      </c>
      <c r="C84" s="9">
        <v>1684186</v>
      </c>
      <c r="D84" s="10" t="s">
        <v>825</v>
      </c>
      <c r="E84" s="10" t="s">
        <v>575</v>
      </c>
      <c r="F84" s="10" t="s">
        <v>232</v>
      </c>
      <c r="G84" s="202">
        <v>1830.28</v>
      </c>
      <c r="H84" s="203">
        <v>2580066</v>
      </c>
    </row>
    <row r="85" spans="1:8" x14ac:dyDescent="0.3">
      <c r="A85" s="189">
        <v>83</v>
      </c>
      <c r="B85" s="9" t="s">
        <v>829</v>
      </c>
      <c r="C85" s="9">
        <v>1683556</v>
      </c>
      <c r="D85" s="10" t="s">
        <v>1027</v>
      </c>
      <c r="E85" s="10" t="s">
        <v>130</v>
      </c>
      <c r="F85" s="10" t="s">
        <v>2726</v>
      </c>
      <c r="G85" s="202">
        <v>1830.28</v>
      </c>
      <c r="H85" s="203">
        <v>2580066</v>
      </c>
    </row>
    <row r="86" spans="1:8" x14ac:dyDescent="0.3">
      <c r="A86" s="189">
        <v>84</v>
      </c>
      <c r="B86" s="9" t="s">
        <v>444</v>
      </c>
      <c r="C86" s="9">
        <v>1657550</v>
      </c>
      <c r="D86" s="10" t="s">
        <v>893</v>
      </c>
      <c r="E86" s="10" t="s">
        <v>512</v>
      </c>
      <c r="F86" s="10" t="s">
        <v>2369</v>
      </c>
      <c r="G86" s="202">
        <v>1830.28</v>
      </c>
      <c r="H86" s="204">
        <v>2580065</v>
      </c>
    </row>
    <row r="87" spans="1:8" x14ac:dyDescent="0.3">
      <c r="A87" s="189">
        <v>85</v>
      </c>
      <c r="B87" s="9" t="s">
        <v>444</v>
      </c>
      <c r="C87" s="9">
        <v>1657536</v>
      </c>
      <c r="D87" s="10" t="s">
        <v>968</v>
      </c>
      <c r="E87" s="10" t="s">
        <v>512</v>
      </c>
      <c r="F87" s="10" t="s">
        <v>2369</v>
      </c>
      <c r="G87" s="202">
        <v>1830.28</v>
      </c>
      <c r="H87" s="204">
        <v>2580065</v>
      </c>
    </row>
    <row r="88" spans="1:8" x14ac:dyDescent="0.3">
      <c r="A88" s="189">
        <v>86</v>
      </c>
      <c r="B88" s="9" t="s">
        <v>444</v>
      </c>
      <c r="C88" s="9">
        <v>1682798</v>
      </c>
      <c r="D88" s="10" t="s">
        <v>1257</v>
      </c>
      <c r="E88" s="10" t="s">
        <v>512</v>
      </c>
      <c r="F88" s="10" t="s">
        <v>2392</v>
      </c>
      <c r="G88" s="202">
        <v>1830.28</v>
      </c>
      <c r="H88" s="204">
        <v>2580065</v>
      </c>
    </row>
    <row r="89" spans="1:8" x14ac:dyDescent="0.3">
      <c r="A89" s="189">
        <v>87</v>
      </c>
      <c r="B89" s="9" t="s">
        <v>434</v>
      </c>
      <c r="C89" s="9">
        <v>1660760</v>
      </c>
      <c r="D89" s="10" t="s">
        <v>831</v>
      </c>
      <c r="E89" s="10" t="s">
        <v>231</v>
      </c>
      <c r="F89" s="10" t="s">
        <v>232</v>
      </c>
      <c r="G89" s="202">
        <v>1830.28</v>
      </c>
      <c r="H89" s="203">
        <v>2580066</v>
      </c>
    </row>
    <row r="90" spans="1:8" x14ac:dyDescent="0.3">
      <c r="A90" s="189">
        <v>88</v>
      </c>
      <c r="B90" s="9" t="s">
        <v>656</v>
      </c>
      <c r="C90" s="9">
        <v>1689472</v>
      </c>
      <c r="D90" s="10" t="s">
        <v>970</v>
      </c>
      <c r="E90" s="10" t="s">
        <v>230</v>
      </c>
      <c r="F90" s="10" t="s">
        <v>96</v>
      </c>
      <c r="G90" s="202">
        <v>1830.28</v>
      </c>
      <c r="H90" s="203">
        <v>2580066</v>
      </c>
    </row>
    <row r="91" spans="1:8" x14ac:dyDescent="0.3">
      <c r="A91" s="189">
        <v>89</v>
      </c>
      <c r="B91" s="9" t="s">
        <v>656</v>
      </c>
      <c r="C91" s="9">
        <v>1684254</v>
      </c>
      <c r="D91" s="10" t="s">
        <v>1150</v>
      </c>
      <c r="E91" s="10" t="s">
        <v>230</v>
      </c>
      <c r="F91" s="10" t="s">
        <v>2657</v>
      </c>
      <c r="G91" s="202">
        <v>1830.28</v>
      </c>
      <c r="H91" s="203">
        <v>2580066</v>
      </c>
    </row>
    <row r="92" spans="1:8" x14ac:dyDescent="0.3">
      <c r="A92" s="189">
        <v>90</v>
      </c>
      <c r="B92" s="9" t="s">
        <v>656</v>
      </c>
      <c r="C92" s="9">
        <v>1661228</v>
      </c>
      <c r="D92" s="10" t="s">
        <v>1200</v>
      </c>
      <c r="E92" s="10" t="s">
        <v>2664</v>
      </c>
      <c r="F92" s="10" t="s">
        <v>3125</v>
      </c>
      <c r="G92" s="202">
        <v>1830.28</v>
      </c>
      <c r="H92" s="203">
        <v>2580066</v>
      </c>
    </row>
    <row r="93" spans="1:8" x14ac:dyDescent="0.3">
      <c r="A93" s="189">
        <v>91</v>
      </c>
      <c r="B93" s="9" t="s">
        <v>784</v>
      </c>
      <c r="C93" s="9">
        <v>1684358</v>
      </c>
      <c r="D93" s="10" t="s">
        <v>1131</v>
      </c>
      <c r="E93" s="10" t="s">
        <v>2932</v>
      </c>
      <c r="F93" s="10" t="s">
        <v>2589</v>
      </c>
      <c r="G93" s="202">
        <v>1830.28</v>
      </c>
      <c r="H93" s="203">
        <v>2580066</v>
      </c>
    </row>
    <row r="94" spans="1:8" x14ac:dyDescent="0.3">
      <c r="A94" s="189">
        <v>92</v>
      </c>
      <c r="B94" s="9" t="s">
        <v>656</v>
      </c>
      <c r="C94" s="9">
        <v>1671868</v>
      </c>
      <c r="D94" s="10" t="s">
        <v>1006</v>
      </c>
      <c r="E94" s="10" t="s">
        <v>2870</v>
      </c>
      <c r="F94" s="10" t="s">
        <v>100</v>
      </c>
      <c r="G94" s="202">
        <v>1830.28</v>
      </c>
      <c r="H94" s="203">
        <v>2580066</v>
      </c>
    </row>
    <row r="95" spans="1:8" x14ac:dyDescent="0.3">
      <c r="A95" s="189">
        <v>93</v>
      </c>
      <c r="B95" s="9" t="s">
        <v>434</v>
      </c>
      <c r="C95" s="9">
        <v>1687118</v>
      </c>
      <c r="D95" s="10" t="s">
        <v>925</v>
      </c>
      <c r="E95" s="10" t="s">
        <v>336</v>
      </c>
      <c r="F95" s="10" t="s">
        <v>3662</v>
      </c>
      <c r="G95" s="202">
        <v>1830.28</v>
      </c>
      <c r="H95" s="203">
        <v>2580066</v>
      </c>
    </row>
    <row r="96" spans="1:8" x14ac:dyDescent="0.3">
      <c r="A96" s="189">
        <v>94</v>
      </c>
      <c r="B96" s="9" t="s">
        <v>434</v>
      </c>
      <c r="C96" s="9">
        <v>1663370</v>
      </c>
      <c r="D96" s="10" t="s">
        <v>1173</v>
      </c>
      <c r="E96" s="10" t="s">
        <v>336</v>
      </c>
      <c r="F96" s="10" t="s">
        <v>2810</v>
      </c>
      <c r="G96" s="202">
        <v>1830.28</v>
      </c>
      <c r="H96" s="203">
        <v>2580066</v>
      </c>
    </row>
    <row r="97" spans="1:8" x14ac:dyDescent="0.3">
      <c r="A97" s="189">
        <v>95</v>
      </c>
      <c r="B97" s="9" t="s">
        <v>784</v>
      </c>
      <c r="C97" s="9">
        <v>1657107</v>
      </c>
      <c r="D97" s="10" t="s">
        <v>828</v>
      </c>
      <c r="E97" s="10" t="s">
        <v>409</v>
      </c>
      <c r="F97" s="10" t="s">
        <v>218</v>
      </c>
      <c r="G97" s="202">
        <v>1830.28</v>
      </c>
      <c r="H97" s="204">
        <v>2580065</v>
      </c>
    </row>
    <row r="98" spans="1:8" x14ac:dyDescent="0.3">
      <c r="A98" s="189">
        <v>96</v>
      </c>
      <c r="B98" s="9" t="s">
        <v>784</v>
      </c>
      <c r="C98" s="9">
        <v>1667534</v>
      </c>
      <c r="D98" s="10" t="s">
        <v>868</v>
      </c>
      <c r="E98" s="10" t="s">
        <v>409</v>
      </c>
      <c r="F98" s="10" t="s">
        <v>2734</v>
      </c>
      <c r="G98" s="202">
        <v>1830.28</v>
      </c>
      <c r="H98" s="204">
        <v>2580065</v>
      </c>
    </row>
    <row r="99" spans="1:8" x14ac:dyDescent="0.3">
      <c r="A99" s="189">
        <v>97</v>
      </c>
      <c r="B99" s="9" t="s">
        <v>784</v>
      </c>
      <c r="C99" s="9">
        <v>1684057</v>
      </c>
      <c r="D99" s="10" t="s">
        <v>1101</v>
      </c>
      <c r="E99" s="10" t="s">
        <v>409</v>
      </c>
      <c r="F99" s="10" t="s">
        <v>410</v>
      </c>
      <c r="G99" s="202">
        <v>1830.28</v>
      </c>
      <c r="H99" s="204">
        <v>2580065</v>
      </c>
    </row>
    <row r="100" spans="1:8" x14ac:dyDescent="0.3">
      <c r="A100" s="189">
        <v>98</v>
      </c>
      <c r="B100" s="9" t="s">
        <v>784</v>
      </c>
      <c r="C100" s="9">
        <v>1684336</v>
      </c>
      <c r="D100" s="10" t="s">
        <v>1636</v>
      </c>
      <c r="E100" s="10" t="s">
        <v>409</v>
      </c>
      <c r="F100" s="10" t="s">
        <v>2589</v>
      </c>
      <c r="G100" s="202">
        <v>1830.28</v>
      </c>
      <c r="H100" s="204">
        <v>2580065</v>
      </c>
    </row>
    <row r="101" spans="1:8" x14ac:dyDescent="0.3">
      <c r="A101" s="189">
        <v>99</v>
      </c>
      <c r="B101" s="9" t="s">
        <v>637</v>
      </c>
      <c r="C101" s="9">
        <v>1669406</v>
      </c>
      <c r="D101" s="10" t="s">
        <v>793</v>
      </c>
      <c r="E101" s="10" t="s">
        <v>2575</v>
      </c>
      <c r="F101" s="10" t="s">
        <v>371</v>
      </c>
      <c r="G101" s="202">
        <v>1830.28</v>
      </c>
      <c r="H101" s="203">
        <v>2580066</v>
      </c>
    </row>
    <row r="102" spans="1:8" x14ac:dyDescent="0.3">
      <c r="A102" s="189">
        <v>100</v>
      </c>
      <c r="B102" s="9" t="s">
        <v>637</v>
      </c>
      <c r="C102" s="9">
        <v>1684270</v>
      </c>
      <c r="D102" s="10" t="s">
        <v>1106</v>
      </c>
      <c r="E102" s="10" t="s">
        <v>2575</v>
      </c>
      <c r="F102" s="10" t="s">
        <v>1703</v>
      </c>
      <c r="G102" s="202">
        <v>1830.28</v>
      </c>
      <c r="H102" s="203">
        <v>2580066</v>
      </c>
    </row>
    <row r="103" spans="1:8" x14ac:dyDescent="0.3">
      <c r="A103" s="189">
        <v>101</v>
      </c>
      <c r="B103" s="9" t="s">
        <v>794</v>
      </c>
      <c r="C103" s="9">
        <v>1684738</v>
      </c>
      <c r="D103" s="10" t="s">
        <v>1110</v>
      </c>
      <c r="E103" s="10" t="s">
        <v>3101</v>
      </c>
      <c r="F103" s="10" t="s">
        <v>3014</v>
      </c>
      <c r="G103" s="202">
        <v>1830.28</v>
      </c>
      <c r="H103" s="203">
        <v>2580066</v>
      </c>
    </row>
    <row r="104" spans="1:8" x14ac:dyDescent="0.3">
      <c r="A104" s="189">
        <v>102</v>
      </c>
      <c r="B104" s="9" t="s">
        <v>637</v>
      </c>
      <c r="C104" s="9">
        <v>1683891</v>
      </c>
      <c r="D104" s="10" t="s">
        <v>639</v>
      </c>
      <c r="E104" s="10" t="s">
        <v>216</v>
      </c>
      <c r="F104" s="10" t="s">
        <v>2533</v>
      </c>
      <c r="G104" s="202">
        <v>1830.28</v>
      </c>
      <c r="H104" s="203">
        <v>2580066</v>
      </c>
    </row>
    <row r="105" spans="1:8" x14ac:dyDescent="0.3">
      <c r="A105" s="189">
        <v>103</v>
      </c>
      <c r="B105" s="9" t="s">
        <v>784</v>
      </c>
      <c r="C105" s="9">
        <v>1669411</v>
      </c>
      <c r="D105" s="10" t="s">
        <v>785</v>
      </c>
      <c r="E105" s="10" t="s">
        <v>40</v>
      </c>
      <c r="F105" s="10" t="s">
        <v>41</v>
      </c>
      <c r="G105" s="202">
        <v>1830.28</v>
      </c>
      <c r="H105" s="203">
        <v>2580066</v>
      </c>
    </row>
    <row r="106" spans="1:8" x14ac:dyDescent="0.3">
      <c r="A106" s="189">
        <v>104</v>
      </c>
      <c r="B106" s="9" t="s">
        <v>829</v>
      </c>
      <c r="C106" s="9">
        <v>1688359</v>
      </c>
      <c r="D106" s="10" t="s">
        <v>1186</v>
      </c>
      <c r="E106" s="10" t="s">
        <v>2964</v>
      </c>
      <c r="F106" s="10" t="s">
        <v>312</v>
      </c>
      <c r="G106" s="202">
        <v>1830.28</v>
      </c>
      <c r="H106" s="203">
        <v>2580066</v>
      </c>
    </row>
    <row r="107" spans="1:8" x14ac:dyDescent="0.3">
      <c r="A107" s="189">
        <v>105</v>
      </c>
      <c r="B107" s="9" t="s">
        <v>829</v>
      </c>
      <c r="C107" s="9">
        <v>1683484</v>
      </c>
      <c r="D107" s="10" t="s">
        <v>3524</v>
      </c>
      <c r="E107" s="10" t="s">
        <v>3525</v>
      </c>
      <c r="F107" s="10" t="s">
        <v>3526</v>
      </c>
      <c r="G107" s="202">
        <v>1830.28</v>
      </c>
      <c r="H107" s="203">
        <v>2580066</v>
      </c>
    </row>
    <row r="108" spans="1:8" x14ac:dyDescent="0.3">
      <c r="A108" s="189">
        <v>106</v>
      </c>
      <c r="B108" s="9" t="s">
        <v>426</v>
      </c>
      <c r="C108" s="9">
        <v>1685841</v>
      </c>
      <c r="D108" s="10" t="s">
        <v>1234</v>
      </c>
      <c r="E108" s="10" t="s">
        <v>282</v>
      </c>
      <c r="F108" s="10" t="s">
        <v>2366</v>
      </c>
      <c r="G108" s="202">
        <v>1830.28</v>
      </c>
      <c r="H108" s="203">
        <v>2580066</v>
      </c>
    </row>
    <row r="109" spans="1:8" x14ac:dyDescent="0.3">
      <c r="A109" s="189">
        <v>107</v>
      </c>
      <c r="B109" s="9" t="s">
        <v>656</v>
      </c>
      <c r="C109" s="9">
        <v>1671288</v>
      </c>
      <c r="D109" s="10" t="s">
        <v>929</v>
      </c>
      <c r="E109" s="10" t="s">
        <v>2518</v>
      </c>
      <c r="F109" s="10" t="s">
        <v>2691</v>
      </c>
      <c r="G109" s="202">
        <v>1830.28</v>
      </c>
      <c r="H109" s="203">
        <v>2580066</v>
      </c>
    </row>
    <row r="110" spans="1:8" x14ac:dyDescent="0.3">
      <c r="A110" s="189">
        <v>108</v>
      </c>
      <c r="B110" s="9" t="s">
        <v>434</v>
      </c>
      <c r="C110" s="9">
        <v>1666343</v>
      </c>
      <c r="D110" s="10" t="s">
        <v>850</v>
      </c>
      <c r="E110" s="10" t="s">
        <v>2709</v>
      </c>
      <c r="F110" s="10" t="s">
        <v>2372</v>
      </c>
      <c r="G110" s="202">
        <v>1830.28</v>
      </c>
      <c r="H110" s="203">
        <v>2580066</v>
      </c>
    </row>
    <row r="111" spans="1:8" x14ac:dyDescent="0.3">
      <c r="A111" s="189">
        <v>109</v>
      </c>
      <c r="B111" s="9" t="s">
        <v>434</v>
      </c>
      <c r="C111" s="9">
        <v>1659469</v>
      </c>
      <c r="D111" s="10" t="s">
        <v>1223</v>
      </c>
      <c r="E111" s="10" t="s">
        <v>2709</v>
      </c>
      <c r="F111" s="10" t="s">
        <v>2378</v>
      </c>
      <c r="G111" s="202">
        <v>1830.28</v>
      </c>
      <c r="H111" s="203">
        <v>2580066</v>
      </c>
    </row>
  </sheetData>
  <autoFilter ref="A2:H111" xr:uid="{908323F1-1629-4E18-AEE2-FAAF9AA9ADF4}"/>
  <phoneticPr fontId="7" type="noConversion"/>
  <pageMargins left="0.7" right="0.7" top="0.75" bottom="0.75" header="0.3" footer="0.3"/>
  <customProperties>
    <customPr name="OrphanNamesChecke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1058C-054E-44CD-ABCB-B0708726FED3}">
  <sheetPr codeName="Sheet13">
    <tabColor theme="1"/>
  </sheetPr>
  <dimension ref="A1"/>
  <sheetViews>
    <sheetView workbookViewId="0"/>
  </sheetViews>
  <sheetFormatPr defaultRowHeight="16.5" x14ac:dyDescent="0.3"/>
  <sheetData/>
  <phoneticPr fontId="7" type="noConversion"/>
  <pageMargins left="0.7" right="0.7" top="0.75" bottom="0.75" header="0.3" footer="0.3"/>
  <customProperties>
    <customPr name="OrphanNamesChecke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22E0-54D9-480A-8968-8454F6FD1842}">
  <sheetPr codeName="Sheet1" filterMode="1"/>
  <dimension ref="A2:AK96"/>
  <sheetViews>
    <sheetView topLeftCell="K1" workbookViewId="0">
      <selection activeCell="S6" sqref="S6"/>
    </sheetView>
  </sheetViews>
  <sheetFormatPr defaultRowHeight="16.5" x14ac:dyDescent="0.3"/>
  <cols>
    <col min="1" max="1" width="4" bestFit="1" customWidth="1"/>
    <col min="2" max="2" width="6.375" bestFit="1" customWidth="1"/>
    <col min="3" max="3" width="8" customWidth="1"/>
    <col min="4" max="4" width="30.75" bestFit="1" customWidth="1"/>
    <col min="5" max="5" width="10.25" customWidth="1"/>
    <col min="6" max="6" width="22.875" customWidth="1"/>
    <col min="7" max="8" width="9.625" customWidth="1"/>
    <col min="9" max="9" width="16.375" customWidth="1"/>
    <col min="10" max="10" width="27.125" customWidth="1"/>
    <col min="11" max="11" width="17.375" customWidth="1"/>
    <col min="12" max="12" width="12.625" customWidth="1"/>
    <col min="13" max="19" width="13.375" customWidth="1"/>
    <col min="20" max="20" width="12.5" hidden="1" customWidth="1"/>
    <col min="21" max="21" width="24" customWidth="1"/>
    <col min="22" max="22" width="36.5" hidden="1" customWidth="1"/>
    <col min="23" max="23" width="11.625" customWidth="1"/>
    <col min="24" max="27" width="17.625" customWidth="1"/>
    <col min="28" max="28" width="11.625" customWidth="1"/>
    <col min="33" max="33" width="11.625" customWidth="1"/>
  </cols>
  <sheetData>
    <row r="2" spans="1:37" x14ac:dyDescent="0.3">
      <c r="T2" s="1">
        <f>COUNTA(T6:T213)</f>
        <v>9</v>
      </c>
      <c r="W2">
        <f t="shared" ref="W2:AB2" si="0">COUNTA(W6:W100)</f>
        <v>52</v>
      </c>
      <c r="X2">
        <f t="shared" si="0"/>
        <v>50</v>
      </c>
      <c r="Y2">
        <f t="shared" si="0"/>
        <v>43</v>
      </c>
      <c r="Z2">
        <f t="shared" si="0"/>
        <v>40</v>
      </c>
      <c r="AA2">
        <f t="shared" si="0"/>
        <v>36</v>
      </c>
      <c r="AB2">
        <f t="shared" si="0"/>
        <v>31</v>
      </c>
      <c r="AC2">
        <f>COUNTA(AC6:AC100)</f>
        <v>27</v>
      </c>
      <c r="AD2">
        <f>COUNTA(AD6:AD100)</f>
        <v>27</v>
      </c>
      <c r="AE2">
        <f>COUNTA(AE6:AE100)</f>
        <v>27</v>
      </c>
      <c r="AF2">
        <f>COUNTA(AF6:AF100)</f>
        <v>27</v>
      </c>
      <c r="AG2">
        <f>COUNTIF(AG6:AG70,"V")</f>
        <v>44</v>
      </c>
      <c r="AH2">
        <f>COUNTIF(AH6:AH70,"V")</f>
        <v>44</v>
      </c>
      <c r="AI2">
        <f>COUNTIF(AI6:AI70,"V")</f>
        <v>39</v>
      </c>
      <c r="AJ2">
        <f>COUNTIF(AJ6:AJ70,"V")</f>
        <v>40</v>
      </c>
    </row>
    <row r="3" spans="1:37" ht="17.25" thickBot="1" x14ac:dyDescent="0.35">
      <c r="A3" s="16" t="s">
        <v>0</v>
      </c>
      <c r="B3" s="17"/>
      <c r="C3" s="17"/>
      <c r="D3" s="17"/>
      <c r="E3" s="17"/>
      <c r="F3" s="17"/>
      <c r="G3" s="17"/>
      <c r="H3" s="17"/>
      <c r="I3" s="17"/>
      <c r="J3" s="17"/>
      <c r="K3" s="17"/>
      <c r="L3" s="18"/>
      <c r="M3" s="17" t="s">
        <v>1</v>
      </c>
      <c r="N3" s="17"/>
      <c r="O3" s="17"/>
      <c r="P3" s="17"/>
      <c r="Q3" s="17"/>
      <c r="R3" s="17"/>
      <c r="S3" s="17"/>
      <c r="T3" s="16" t="s">
        <v>2</v>
      </c>
      <c r="U3" s="17"/>
      <c r="V3" s="17"/>
      <c r="W3" s="40" t="s">
        <v>466</v>
      </c>
      <c r="X3" s="41"/>
      <c r="Y3" s="41"/>
      <c r="Z3" s="41"/>
      <c r="AA3" s="11"/>
      <c r="AB3" s="49" t="s">
        <v>467</v>
      </c>
      <c r="AC3" s="50"/>
      <c r="AD3" s="50"/>
      <c r="AE3" s="50"/>
      <c r="AF3" s="50"/>
      <c r="AG3" s="52" t="s">
        <v>509</v>
      </c>
      <c r="AH3" s="51"/>
      <c r="AI3" s="51"/>
      <c r="AJ3" s="101" t="s">
        <v>605</v>
      </c>
      <c r="AK3" s="102"/>
    </row>
    <row r="4" spans="1:37" x14ac:dyDescent="0.3">
      <c r="A4" s="19"/>
      <c r="B4" s="20"/>
      <c r="C4" s="20"/>
      <c r="D4" s="20"/>
      <c r="E4" s="20"/>
      <c r="F4" s="20"/>
      <c r="G4" s="20"/>
      <c r="H4" s="20"/>
      <c r="I4" s="20"/>
      <c r="J4" s="20"/>
      <c r="K4" s="20"/>
      <c r="L4" s="21"/>
      <c r="M4" s="20"/>
      <c r="N4" s="20"/>
      <c r="O4" s="20"/>
      <c r="P4" s="20"/>
      <c r="Q4" s="20"/>
      <c r="R4" s="20"/>
      <c r="S4" s="20"/>
      <c r="T4" s="19"/>
      <c r="U4" s="20"/>
      <c r="V4" s="20"/>
      <c r="W4" s="42"/>
      <c r="X4" s="43"/>
      <c r="Y4" s="43"/>
      <c r="Z4" s="43"/>
      <c r="AA4" s="44"/>
      <c r="AB4" s="13"/>
      <c r="AC4" s="15" t="s">
        <v>3</v>
      </c>
      <c r="AD4" s="13"/>
      <c r="AE4" s="23" t="s">
        <v>4</v>
      </c>
      <c r="AF4" s="12" t="s">
        <v>5</v>
      </c>
      <c r="AG4" s="52" t="s">
        <v>503</v>
      </c>
      <c r="AH4" s="51"/>
      <c r="AI4" s="51"/>
      <c r="AJ4" s="103"/>
      <c r="AK4" s="4"/>
    </row>
    <row r="5" spans="1:37" s="6" customFormat="1" ht="27" x14ac:dyDescent="0.3">
      <c r="A5" s="4" t="s">
        <v>6</v>
      </c>
      <c r="B5" s="4" t="s">
        <v>7</v>
      </c>
      <c r="C5" s="4" t="s">
        <v>8</v>
      </c>
      <c r="D5" s="4" t="s">
        <v>9</v>
      </c>
      <c r="E5" s="4" t="s">
        <v>10</v>
      </c>
      <c r="F5" s="4" t="s">
        <v>11</v>
      </c>
      <c r="G5" s="4" t="s">
        <v>12</v>
      </c>
      <c r="H5" s="4"/>
      <c r="I5" s="4" t="s">
        <v>13</v>
      </c>
      <c r="J5" s="4" t="s">
        <v>14</v>
      </c>
      <c r="K5" s="4" t="s">
        <v>15</v>
      </c>
      <c r="L5" s="5" t="s">
        <v>16</v>
      </c>
      <c r="M5" s="4" t="s">
        <v>17</v>
      </c>
      <c r="N5" s="4" t="s">
        <v>18</v>
      </c>
      <c r="O5" s="4" t="s">
        <v>19</v>
      </c>
      <c r="P5" s="4" t="s">
        <v>20</v>
      </c>
      <c r="Q5" s="4" t="s">
        <v>21</v>
      </c>
      <c r="R5" s="4" t="s">
        <v>22</v>
      </c>
      <c r="S5" s="4" t="s">
        <v>22</v>
      </c>
      <c r="T5" s="5" t="s">
        <v>23</v>
      </c>
      <c r="U5" s="22" t="s">
        <v>24</v>
      </c>
      <c r="V5" s="4" t="s">
        <v>25</v>
      </c>
      <c r="W5" s="25" t="s">
        <v>486</v>
      </c>
      <c r="X5" s="25" t="s">
        <v>493</v>
      </c>
      <c r="Y5" s="25" t="s">
        <v>494</v>
      </c>
      <c r="Z5" s="25" t="s">
        <v>495</v>
      </c>
      <c r="AA5" s="25" t="s">
        <v>496</v>
      </c>
      <c r="AB5" s="22" t="s">
        <v>468</v>
      </c>
      <c r="AC5" s="14" t="s">
        <v>26</v>
      </c>
      <c r="AD5" s="25" t="s">
        <v>27</v>
      </c>
      <c r="AE5" s="24" t="s">
        <v>28</v>
      </c>
      <c r="AF5" s="25" t="s">
        <v>29</v>
      </c>
      <c r="AG5" s="5" t="s">
        <v>501</v>
      </c>
      <c r="AH5" s="5" t="s">
        <v>505</v>
      </c>
      <c r="AI5" s="5" t="s">
        <v>508</v>
      </c>
      <c r="AJ5" s="5" t="s">
        <v>609</v>
      </c>
      <c r="AK5" s="5" t="s">
        <v>610</v>
      </c>
    </row>
    <row r="6" spans="1:37" ht="16.5" customHeight="1" x14ac:dyDescent="0.3">
      <c r="A6" s="26">
        <v>1</v>
      </c>
      <c r="B6" s="7" t="s">
        <v>30</v>
      </c>
      <c r="C6" s="7">
        <v>1529846</v>
      </c>
      <c r="D6" s="3" t="s">
        <v>31</v>
      </c>
      <c r="E6" s="7">
        <v>1000314822</v>
      </c>
      <c r="F6" s="3" t="s">
        <v>32</v>
      </c>
      <c r="G6" s="7" t="s">
        <v>33</v>
      </c>
      <c r="H6" s="7" t="s">
        <v>510</v>
      </c>
      <c r="I6" s="7" t="s">
        <v>34</v>
      </c>
      <c r="J6" s="3" t="s">
        <v>35</v>
      </c>
      <c r="K6" s="3" t="s">
        <v>36</v>
      </c>
      <c r="L6" s="9" t="s">
        <v>37</v>
      </c>
      <c r="M6" s="7" t="s">
        <v>38</v>
      </c>
      <c r="N6" s="7" t="s">
        <v>39</v>
      </c>
      <c r="O6" s="7" t="s">
        <v>40</v>
      </c>
      <c r="P6" s="7" t="s">
        <v>41</v>
      </c>
      <c r="Q6" s="7" t="s">
        <v>42</v>
      </c>
      <c r="R6" s="7" t="s">
        <v>43</v>
      </c>
      <c r="S6" s="7" t="s">
        <v>44</v>
      </c>
      <c r="T6" s="9" t="s">
        <v>45</v>
      </c>
      <c r="U6" s="8"/>
      <c r="V6" s="33"/>
      <c r="W6" s="9" t="s">
        <v>46</v>
      </c>
      <c r="X6" s="9" t="s">
        <v>46</v>
      </c>
      <c r="Y6" s="9" t="s">
        <v>461</v>
      </c>
      <c r="Z6" s="9" t="s">
        <v>461</v>
      </c>
      <c r="AA6" s="9" t="s">
        <v>461</v>
      </c>
      <c r="AB6" s="45" t="s">
        <v>46</v>
      </c>
      <c r="AC6" s="9" t="s">
        <v>461</v>
      </c>
      <c r="AD6" s="9" t="s">
        <v>461</v>
      </c>
      <c r="AE6" s="9" t="s">
        <v>461</v>
      </c>
      <c r="AF6" s="9" t="s">
        <v>461</v>
      </c>
      <c r="AG6" s="45" t="str">
        <f t="shared" ref="AG6:AG37" si="1">IF(OR(Z6="V",AB6="V"),"V","")</f>
        <v>V</v>
      </c>
      <c r="AH6" s="45" t="s">
        <v>46</v>
      </c>
      <c r="AI6" s="54" t="s">
        <v>46</v>
      </c>
      <c r="AJ6" s="45" t="s">
        <v>461</v>
      </c>
      <c r="AK6" s="45"/>
    </row>
    <row r="7" spans="1:37" ht="16.5" customHeight="1" x14ac:dyDescent="0.3">
      <c r="A7" s="27">
        <v>2</v>
      </c>
      <c r="B7" s="28" t="s">
        <v>47</v>
      </c>
      <c r="C7" s="28">
        <v>1527608</v>
      </c>
      <c r="D7" s="29" t="s">
        <v>48</v>
      </c>
      <c r="E7" s="28">
        <v>1000316445</v>
      </c>
      <c r="F7" s="29" t="s">
        <v>49</v>
      </c>
      <c r="G7" s="28" t="s">
        <v>33</v>
      </c>
      <c r="H7" s="7" t="s">
        <v>510</v>
      </c>
      <c r="I7" s="28" t="s">
        <v>34</v>
      </c>
      <c r="J7" s="29" t="s">
        <v>50</v>
      </c>
      <c r="K7" s="29" t="s">
        <v>36</v>
      </c>
      <c r="L7" s="9" t="s">
        <v>37</v>
      </c>
      <c r="M7" s="28" t="s">
        <v>51</v>
      </c>
      <c r="N7" s="28" t="s">
        <v>52</v>
      </c>
      <c r="O7" s="28" t="s">
        <v>53</v>
      </c>
      <c r="P7" s="28" t="s">
        <v>54</v>
      </c>
      <c r="Q7" s="28" t="s">
        <v>55</v>
      </c>
      <c r="R7" s="28" t="s">
        <v>56</v>
      </c>
      <c r="S7" s="28" t="s">
        <v>57</v>
      </c>
      <c r="T7" s="9" t="s">
        <v>45</v>
      </c>
      <c r="U7" s="9"/>
      <c r="V7" s="34"/>
      <c r="W7" s="9" t="s">
        <v>46</v>
      </c>
      <c r="X7" s="9" t="s">
        <v>46</v>
      </c>
      <c r="Y7" s="9" t="s">
        <v>461</v>
      </c>
      <c r="Z7" s="9" t="s">
        <v>461</v>
      </c>
      <c r="AA7" s="9" t="s">
        <v>461</v>
      </c>
      <c r="AB7" s="45" t="s">
        <v>46</v>
      </c>
      <c r="AC7" s="9" t="s">
        <v>46</v>
      </c>
      <c r="AD7" s="9" t="s">
        <v>461</v>
      </c>
      <c r="AE7" s="9" t="s">
        <v>461</v>
      </c>
      <c r="AF7" s="9" t="s">
        <v>461</v>
      </c>
      <c r="AG7" s="45" t="str">
        <f t="shared" si="1"/>
        <v>V</v>
      </c>
      <c r="AH7" s="45" t="s">
        <v>46</v>
      </c>
      <c r="AI7" s="45" t="s">
        <v>46</v>
      </c>
      <c r="AJ7" s="45" t="s">
        <v>461</v>
      </c>
      <c r="AK7" s="45"/>
    </row>
    <row r="8" spans="1:37" ht="16.5" hidden="1" customHeight="1" x14ac:dyDescent="0.3">
      <c r="A8" s="30">
        <v>3</v>
      </c>
      <c r="B8" s="9" t="s">
        <v>58</v>
      </c>
      <c r="C8" s="9">
        <v>1528382</v>
      </c>
      <c r="D8" s="10" t="s">
        <v>59</v>
      </c>
      <c r="E8" s="9">
        <v>1000316329</v>
      </c>
      <c r="F8" s="10" t="s">
        <v>60</v>
      </c>
      <c r="G8" s="9" t="s">
        <v>33</v>
      </c>
      <c r="H8" s="9"/>
      <c r="I8" s="9" t="s">
        <v>61</v>
      </c>
      <c r="J8" s="10" t="s">
        <v>62</v>
      </c>
      <c r="K8" s="10"/>
      <c r="L8" s="31"/>
      <c r="M8" s="28"/>
      <c r="N8" s="9"/>
      <c r="O8" s="9"/>
      <c r="P8" s="9"/>
      <c r="Q8" s="9"/>
      <c r="R8" s="31"/>
      <c r="S8" s="31"/>
      <c r="T8" s="9"/>
      <c r="U8" s="9" t="s">
        <v>63</v>
      </c>
      <c r="V8" s="35" t="s">
        <v>64</v>
      </c>
      <c r="W8" s="31"/>
      <c r="X8" s="31" t="s">
        <v>461</v>
      </c>
      <c r="Y8" s="31"/>
      <c r="Z8" s="31"/>
      <c r="AA8" s="31"/>
      <c r="AB8" s="46"/>
      <c r="AC8" s="31"/>
      <c r="AD8" s="31"/>
      <c r="AE8" s="31"/>
      <c r="AF8" s="31"/>
      <c r="AG8" s="45" t="str">
        <f t="shared" si="1"/>
        <v/>
      </c>
      <c r="AH8" s="46"/>
      <c r="AI8" s="46"/>
      <c r="AJ8" s="45"/>
      <c r="AK8" s="45"/>
    </row>
    <row r="9" spans="1:37" ht="16.5" customHeight="1" x14ac:dyDescent="0.3">
      <c r="A9" s="26">
        <v>4</v>
      </c>
      <c r="B9" s="7" t="s">
        <v>65</v>
      </c>
      <c r="C9" s="7">
        <v>1531176</v>
      </c>
      <c r="D9" s="3" t="s">
        <v>66</v>
      </c>
      <c r="E9" s="7">
        <v>1000316406</v>
      </c>
      <c r="F9" s="3" t="s">
        <v>67</v>
      </c>
      <c r="G9" s="7" t="s">
        <v>33</v>
      </c>
      <c r="H9" s="7" t="s">
        <v>510</v>
      </c>
      <c r="I9" s="7" t="s">
        <v>34</v>
      </c>
      <c r="J9" s="3" t="s">
        <v>68</v>
      </c>
      <c r="K9" s="3" t="s">
        <v>36</v>
      </c>
      <c r="L9" s="9" t="s">
        <v>69</v>
      </c>
      <c r="M9" s="7" t="s">
        <v>70</v>
      </c>
      <c r="N9" s="7" t="s">
        <v>52</v>
      </c>
      <c r="O9" s="7" t="s">
        <v>71</v>
      </c>
      <c r="P9" s="7" t="s">
        <v>72</v>
      </c>
      <c r="Q9" s="7" t="s">
        <v>73</v>
      </c>
      <c r="R9" s="7"/>
      <c r="S9" s="7"/>
      <c r="T9" s="9"/>
      <c r="U9" s="8" t="s">
        <v>498</v>
      </c>
      <c r="V9" s="33" t="s">
        <v>497</v>
      </c>
      <c r="W9" s="9" t="s">
        <v>461</v>
      </c>
      <c r="X9" s="31" t="s">
        <v>461</v>
      </c>
      <c r="Y9" s="9" t="s">
        <v>461</v>
      </c>
      <c r="Z9" s="9" t="s">
        <v>461</v>
      </c>
      <c r="AA9" s="9" t="s">
        <v>461</v>
      </c>
      <c r="AB9" s="45"/>
      <c r="AC9" s="9"/>
      <c r="AD9" s="9"/>
      <c r="AE9" s="9"/>
      <c r="AF9" s="31"/>
      <c r="AG9" s="45" t="str">
        <f t="shared" si="1"/>
        <v>V</v>
      </c>
      <c r="AH9" s="45" t="s">
        <v>46</v>
      </c>
      <c r="AI9" s="45" t="s">
        <v>46</v>
      </c>
      <c r="AJ9" s="45" t="s">
        <v>461</v>
      </c>
      <c r="AK9" s="45"/>
    </row>
    <row r="10" spans="1:37" ht="16.5" customHeight="1" x14ac:dyDescent="0.3">
      <c r="A10" s="26">
        <v>5</v>
      </c>
      <c r="B10" s="7" t="s">
        <v>74</v>
      </c>
      <c r="C10" s="7">
        <v>1526468</v>
      </c>
      <c r="D10" s="3" t="s">
        <v>75</v>
      </c>
      <c r="E10" s="7">
        <v>1000317467</v>
      </c>
      <c r="F10" s="3" t="s">
        <v>76</v>
      </c>
      <c r="G10" s="7" t="s">
        <v>33</v>
      </c>
      <c r="H10" s="7" t="s">
        <v>510</v>
      </c>
      <c r="I10" s="7" t="s">
        <v>34</v>
      </c>
      <c r="J10" s="3" t="s">
        <v>77</v>
      </c>
      <c r="K10" s="3" t="s">
        <v>78</v>
      </c>
      <c r="L10" s="9"/>
      <c r="M10" s="7" t="s">
        <v>79</v>
      </c>
      <c r="N10" s="7" t="s">
        <v>80</v>
      </c>
      <c r="O10" s="7" t="s">
        <v>81</v>
      </c>
      <c r="P10" s="7" t="s">
        <v>82</v>
      </c>
      <c r="Q10" s="7" t="s">
        <v>83</v>
      </c>
      <c r="R10" s="7" t="s">
        <v>84</v>
      </c>
      <c r="S10" s="7" t="s">
        <v>85</v>
      </c>
      <c r="T10" s="9"/>
      <c r="U10" s="8" t="s">
        <v>498</v>
      </c>
      <c r="V10" s="38" t="s">
        <v>616</v>
      </c>
      <c r="W10" s="9" t="s">
        <v>461</v>
      </c>
      <c r="X10" s="9" t="s">
        <v>461</v>
      </c>
      <c r="Y10" s="9" t="s">
        <v>461</v>
      </c>
      <c r="Z10" s="9" t="s">
        <v>461</v>
      </c>
      <c r="AA10" s="9" t="s">
        <v>461</v>
      </c>
      <c r="AB10" s="45"/>
      <c r="AC10" s="9"/>
      <c r="AD10" s="9"/>
      <c r="AE10" s="9"/>
      <c r="AF10" s="9"/>
      <c r="AG10" s="45" t="str">
        <f t="shared" si="1"/>
        <v>V</v>
      </c>
      <c r="AH10" s="45" t="s">
        <v>46</v>
      </c>
      <c r="AI10" s="45" t="s">
        <v>46</v>
      </c>
      <c r="AJ10" s="45" t="s">
        <v>461</v>
      </c>
      <c r="AK10" s="45"/>
    </row>
    <row r="11" spans="1:37" ht="16.5" customHeight="1" x14ac:dyDescent="0.3">
      <c r="A11" s="26">
        <v>6</v>
      </c>
      <c r="B11" s="7" t="s">
        <v>86</v>
      </c>
      <c r="C11" s="7">
        <v>1516473</v>
      </c>
      <c r="D11" s="3" t="s">
        <v>87</v>
      </c>
      <c r="E11" s="7">
        <v>1000325538</v>
      </c>
      <c r="F11" s="3" t="s">
        <v>88</v>
      </c>
      <c r="G11" s="7" t="s">
        <v>33</v>
      </c>
      <c r="H11" s="7" t="s">
        <v>510</v>
      </c>
      <c r="I11" s="7" t="s">
        <v>89</v>
      </c>
      <c r="J11" s="3" t="s">
        <v>90</v>
      </c>
      <c r="K11" s="3" t="s">
        <v>91</v>
      </c>
      <c r="L11" s="9" t="s">
        <v>37</v>
      </c>
      <c r="M11" s="7" t="s">
        <v>92</v>
      </c>
      <c r="N11" s="7" t="s">
        <v>93</v>
      </c>
      <c r="O11" s="7" t="s">
        <v>94</v>
      </c>
      <c r="P11" s="7" t="s">
        <v>95</v>
      </c>
      <c r="Q11" s="7" t="s">
        <v>96</v>
      </c>
      <c r="R11" s="7"/>
      <c r="S11" s="7"/>
      <c r="T11" s="9"/>
      <c r="U11" s="8"/>
      <c r="V11" s="33"/>
      <c r="W11" s="9" t="s">
        <v>46</v>
      </c>
      <c r="X11" s="31" t="s">
        <v>461</v>
      </c>
      <c r="Y11" s="9" t="s">
        <v>461</v>
      </c>
      <c r="Z11" s="9" t="s">
        <v>461</v>
      </c>
      <c r="AA11" s="9" t="s">
        <v>461</v>
      </c>
      <c r="AB11" s="45" t="s">
        <v>46</v>
      </c>
      <c r="AC11" s="9" t="s">
        <v>46</v>
      </c>
      <c r="AD11" s="9" t="s">
        <v>461</v>
      </c>
      <c r="AE11" s="9" t="s">
        <v>461</v>
      </c>
      <c r="AF11" s="31" t="s">
        <v>461</v>
      </c>
      <c r="AG11" s="45" t="str">
        <f t="shared" si="1"/>
        <v>V</v>
      </c>
      <c r="AH11" s="45" t="s">
        <v>46</v>
      </c>
      <c r="AI11" s="55" t="s">
        <v>46</v>
      </c>
      <c r="AJ11" s="45" t="s">
        <v>461</v>
      </c>
      <c r="AK11" s="45"/>
    </row>
    <row r="12" spans="1:37" ht="16.5" customHeight="1" x14ac:dyDescent="0.3">
      <c r="A12" s="30">
        <v>7</v>
      </c>
      <c r="B12" s="9" t="s">
        <v>47</v>
      </c>
      <c r="C12" s="9">
        <v>1511883</v>
      </c>
      <c r="D12" s="10" t="s">
        <v>97</v>
      </c>
      <c r="E12" s="9">
        <v>1000326122</v>
      </c>
      <c r="F12" s="10" t="s">
        <v>98</v>
      </c>
      <c r="G12" s="9" t="s">
        <v>33</v>
      </c>
      <c r="H12" s="7" t="s">
        <v>510</v>
      </c>
      <c r="I12" s="9" t="s">
        <v>34</v>
      </c>
      <c r="J12" s="10" t="s">
        <v>99</v>
      </c>
      <c r="K12" s="10" t="s">
        <v>36</v>
      </c>
      <c r="L12" s="9" t="s">
        <v>69</v>
      </c>
      <c r="M12" s="28" t="s">
        <v>100</v>
      </c>
      <c r="N12" s="9" t="s">
        <v>101</v>
      </c>
      <c r="O12" s="9" t="s">
        <v>102</v>
      </c>
      <c r="P12" s="9" t="s">
        <v>103</v>
      </c>
      <c r="Q12" s="9" t="s">
        <v>104</v>
      </c>
      <c r="R12" s="9" t="s">
        <v>105</v>
      </c>
      <c r="S12" s="9" t="s">
        <v>608</v>
      </c>
      <c r="T12" s="9"/>
      <c r="U12" s="8" t="s">
        <v>455</v>
      </c>
      <c r="V12" s="36" t="s">
        <v>460</v>
      </c>
      <c r="W12" s="39" t="s">
        <v>461</v>
      </c>
      <c r="X12" s="39" t="s">
        <v>461</v>
      </c>
      <c r="Y12" s="39" t="s">
        <v>461</v>
      </c>
      <c r="Z12" s="39" t="s">
        <v>461</v>
      </c>
      <c r="AA12" s="39"/>
      <c r="AB12" s="47"/>
      <c r="AC12" s="9"/>
      <c r="AD12" s="9"/>
      <c r="AE12" s="9"/>
      <c r="AF12" s="39"/>
      <c r="AG12" s="45" t="str">
        <f t="shared" si="1"/>
        <v>V</v>
      </c>
      <c r="AH12" s="45" t="s">
        <v>46</v>
      </c>
      <c r="AI12" s="45" t="s">
        <v>46</v>
      </c>
      <c r="AJ12" s="45" t="s">
        <v>461</v>
      </c>
      <c r="AK12" s="45"/>
    </row>
    <row r="13" spans="1:37" ht="16.5" hidden="1" customHeight="1" x14ac:dyDescent="0.3">
      <c r="A13" s="30">
        <v>8</v>
      </c>
      <c r="B13" s="9" t="s">
        <v>30</v>
      </c>
      <c r="C13" s="9">
        <v>1517865</v>
      </c>
      <c r="D13" s="10" t="s">
        <v>107</v>
      </c>
      <c r="E13" s="9">
        <v>1000605595</v>
      </c>
      <c r="F13" s="10" t="s">
        <v>108</v>
      </c>
      <c r="G13" s="9" t="s">
        <v>109</v>
      </c>
      <c r="H13" s="9"/>
      <c r="I13" s="9" t="s">
        <v>110</v>
      </c>
      <c r="J13" s="10" t="s">
        <v>465</v>
      </c>
      <c r="K13" s="10"/>
      <c r="L13" s="31"/>
      <c r="M13" s="28"/>
      <c r="N13" s="9"/>
      <c r="O13" s="9"/>
      <c r="P13" s="9"/>
      <c r="Q13" s="9"/>
      <c r="R13" s="31"/>
      <c r="S13" s="31"/>
      <c r="T13" s="9"/>
      <c r="U13" s="9" t="s">
        <v>63</v>
      </c>
      <c r="V13" s="35" t="s">
        <v>111</v>
      </c>
      <c r="W13" s="31"/>
      <c r="X13" s="31" t="s">
        <v>461</v>
      </c>
      <c r="Y13" s="31"/>
      <c r="Z13" s="31"/>
      <c r="AA13" s="31"/>
      <c r="AB13" s="46"/>
      <c r="AC13" s="31"/>
      <c r="AD13" s="31"/>
      <c r="AE13" s="31"/>
      <c r="AF13" s="31"/>
      <c r="AG13" s="45" t="str">
        <f t="shared" si="1"/>
        <v/>
      </c>
      <c r="AH13" s="46"/>
      <c r="AI13" s="46"/>
      <c r="AJ13" s="45"/>
      <c r="AK13" s="45"/>
    </row>
    <row r="14" spans="1:37" ht="16.5" hidden="1" customHeight="1" x14ac:dyDescent="0.3">
      <c r="A14" s="30">
        <v>9</v>
      </c>
      <c r="B14" s="9" t="s">
        <v>86</v>
      </c>
      <c r="C14" s="9">
        <v>1531800</v>
      </c>
      <c r="D14" s="10" t="s">
        <v>112</v>
      </c>
      <c r="E14" s="9">
        <v>1000317447</v>
      </c>
      <c r="F14" s="10" t="s">
        <v>113</v>
      </c>
      <c r="G14" s="9" t="s">
        <v>33</v>
      </c>
      <c r="H14" s="9"/>
      <c r="I14" s="9" t="s">
        <v>34</v>
      </c>
      <c r="J14" s="10" t="s">
        <v>114</v>
      </c>
      <c r="K14" s="10"/>
      <c r="L14" s="31"/>
      <c r="M14" s="28"/>
      <c r="N14" s="9"/>
      <c r="O14" s="9"/>
      <c r="P14" s="9"/>
      <c r="Q14" s="9"/>
      <c r="R14" s="31"/>
      <c r="S14" s="31"/>
      <c r="T14" s="9"/>
      <c r="U14" s="9" t="s">
        <v>63</v>
      </c>
      <c r="V14" s="35" t="s">
        <v>115</v>
      </c>
      <c r="W14" s="31"/>
      <c r="X14" s="31" t="s">
        <v>461</v>
      </c>
      <c r="Y14" s="31"/>
      <c r="Z14" s="31"/>
      <c r="AA14" s="31"/>
      <c r="AB14" s="46"/>
      <c r="AC14" s="31"/>
      <c r="AD14" s="31"/>
      <c r="AE14" s="31"/>
      <c r="AF14" s="31"/>
      <c r="AG14" s="45" t="str">
        <f t="shared" si="1"/>
        <v/>
      </c>
      <c r="AH14" s="46"/>
      <c r="AI14" s="46"/>
      <c r="AJ14" s="45"/>
      <c r="AK14" s="45"/>
    </row>
    <row r="15" spans="1:37" ht="16.5" hidden="1" customHeight="1" x14ac:dyDescent="0.3">
      <c r="A15" s="30">
        <v>10</v>
      </c>
      <c r="B15" s="9" t="s">
        <v>116</v>
      </c>
      <c r="C15" s="9">
        <v>1517937</v>
      </c>
      <c r="D15" s="10" t="s">
        <v>117</v>
      </c>
      <c r="E15" s="9">
        <v>1000315311</v>
      </c>
      <c r="F15" s="10" t="s">
        <v>118</v>
      </c>
      <c r="G15" s="9" t="s">
        <v>33</v>
      </c>
      <c r="H15" s="9"/>
      <c r="I15" s="9" t="s">
        <v>89</v>
      </c>
      <c r="J15" s="10" t="s">
        <v>119</v>
      </c>
      <c r="K15" s="10"/>
      <c r="L15" s="9"/>
      <c r="M15" s="28"/>
      <c r="N15" s="9"/>
      <c r="O15" s="9"/>
      <c r="P15" s="9"/>
      <c r="Q15" s="9"/>
      <c r="R15" s="9"/>
      <c r="S15" s="9"/>
      <c r="T15" s="9"/>
      <c r="U15" s="9" t="s">
        <v>63</v>
      </c>
      <c r="V15" s="36" t="s">
        <v>617</v>
      </c>
      <c r="W15" s="9"/>
      <c r="X15" s="9" t="s">
        <v>461</v>
      </c>
      <c r="Y15" s="9"/>
      <c r="Z15" s="9"/>
      <c r="AA15" s="9"/>
      <c r="AB15" s="45"/>
      <c r="AC15" s="9"/>
      <c r="AD15" s="9"/>
      <c r="AE15" s="9"/>
      <c r="AF15" s="9"/>
      <c r="AG15" s="45" t="str">
        <f t="shared" si="1"/>
        <v/>
      </c>
      <c r="AH15" s="45"/>
      <c r="AI15" s="45"/>
      <c r="AJ15" s="45"/>
      <c r="AK15" s="45"/>
    </row>
    <row r="16" spans="1:37" ht="16.5" hidden="1" customHeight="1" x14ac:dyDescent="0.3">
      <c r="A16" s="30">
        <v>11</v>
      </c>
      <c r="B16" s="9" t="s">
        <v>74</v>
      </c>
      <c r="C16" s="9">
        <v>1519379</v>
      </c>
      <c r="D16" s="10" t="s">
        <v>120</v>
      </c>
      <c r="E16" s="9">
        <v>1000325981</v>
      </c>
      <c r="F16" s="10" t="s">
        <v>121</v>
      </c>
      <c r="G16" s="9" t="s">
        <v>33</v>
      </c>
      <c r="H16" s="9"/>
      <c r="I16" s="9" t="s">
        <v>34</v>
      </c>
      <c r="J16" s="10" t="s">
        <v>464</v>
      </c>
      <c r="K16" s="10"/>
      <c r="L16" s="9"/>
      <c r="M16" s="28"/>
      <c r="N16" s="9"/>
      <c r="O16" s="9"/>
      <c r="P16" s="9"/>
      <c r="Q16" s="9"/>
      <c r="R16" s="9"/>
      <c r="S16" s="9"/>
      <c r="T16" s="9"/>
      <c r="U16" s="9" t="s">
        <v>63</v>
      </c>
      <c r="V16" s="36" t="s">
        <v>618</v>
      </c>
      <c r="W16" s="9"/>
      <c r="X16" s="9" t="s">
        <v>461</v>
      </c>
      <c r="Y16" s="9"/>
      <c r="Z16" s="9"/>
      <c r="AA16" s="9"/>
      <c r="AB16" s="45"/>
      <c r="AC16" s="9"/>
      <c r="AD16" s="9"/>
      <c r="AE16" s="9"/>
      <c r="AF16" s="9"/>
      <c r="AG16" s="45" t="str">
        <f t="shared" si="1"/>
        <v/>
      </c>
      <c r="AH16" s="45"/>
      <c r="AI16" s="45"/>
      <c r="AJ16" s="45"/>
      <c r="AK16" s="45"/>
    </row>
    <row r="17" spans="1:37" ht="16.5" customHeight="1" x14ac:dyDescent="0.3">
      <c r="A17" s="30">
        <v>12</v>
      </c>
      <c r="B17" s="9" t="s">
        <v>122</v>
      </c>
      <c r="C17" s="9">
        <v>1527322</v>
      </c>
      <c r="D17" s="10" t="s">
        <v>123</v>
      </c>
      <c r="E17" s="9">
        <v>1000316262</v>
      </c>
      <c r="F17" s="10" t="s">
        <v>124</v>
      </c>
      <c r="G17" s="9" t="s">
        <v>33</v>
      </c>
      <c r="H17" s="7" t="s">
        <v>510</v>
      </c>
      <c r="I17" s="9" t="s">
        <v>125</v>
      </c>
      <c r="J17" s="10" t="s">
        <v>126</v>
      </c>
      <c r="K17" s="10" t="s">
        <v>127</v>
      </c>
      <c r="L17" s="9" t="s">
        <v>128</v>
      </c>
      <c r="M17" s="28" t="s">
        <v>70</v>
      </c>
      <c r="N17" s="9" t="s">
        <v>129</v>
      </c>
      <c r="O17" s="9" t="s">
        <v>130</v>
      </c>
      <c r="P17" s="9" t="s">
        <v>131</v>
      </c>
      <c r="Q17" s="9" t="s">
        <v>132</v>
      </c>
      <c r="R17" s="9" t="s">
        <v>133</v>
      </c>
      <c r="S17" s="9" t="s">
        <v>134</v>
      </c>
      <c r="T17" s="9"/>
      <c r="U17" s="8" t="s">
        <v>500</v>
      </c>
      <c r="V17" s="36" t="s">
        <v>460</v>
      </c>
      <c r="W17" s="9" t="s">
        <v>46</v>
      </c>
      <c r="X17" s="39" t="s">
        <v>461</v>
      </c>
      <c r="Y17" s="39" t="s">
        <v>461</v>
      </c>
      <c r="Z17" s="39" t="s">
        <v>461</v>
      </c>
      <c r="AA17" s="39" t="s">
        <v>461</v>
      </c>
      <c r="AB17" s="45"/>
      <c r="AC17" s="9"/>
      <c r="AD17" s="9"/>
      <c r="AE17" s="9"/>
      <c r="AF17" s="39"/>
      <c r="AG17" s="45" t="str">
        <f t="shared" si="1"/>
        <v>V</v>
      </c>
      <c r="AH17" s="45" t="s">
        <v>46</v>
      </c>
      <c r="AI17" s="45" t="s">
        <v>46</v>
      </c>
      <c r="AJ17" s="45" t="s">
        <v>461</v>
      </c>
      <c r="AK17" s="45"/>
    </row>
    <row r="18" spans="1:37" ht="16.5" customHeight="1" x14ac:dyDescent="0.3">
      <c r="A18" s="26">
        <v>13</v>
      </c>
      <c r="B18" s="7" t="s">
        <v>116</v>
      </c>
      <c r="C18" s="7">
        <v>1515048</v>
      </c>
      <c r="D18" s="3" t="s">
        <v>135</v>
      </c>
      <c r="E18" s="7">
        <v>1000326018</v>
      </c>
      <c r="F18" s="3" t="s">
        <v>136</v>
      </c>
      <c r="G18" s="7" t="s">
        <v>33</v>
      </c>
      <c r="H18" s="7" t="s">
        <v>510</v>
      </c>
      <c r="I18" s="7" t="s">
        <v>34</v>
      </c>
      <c r="J18" s="3" t="s">
        <v>137</v>
      </c>
      <c r="K18" s="3" t="s">
        <v>138</v>
      </c>
      <c r="L18" s="9"/>
      <c r="M18" s="7" t="s">
        <v>100</v>
      </c>
      <c r="N18" s="7" t="s">
        <v>139</v>
      </c>
      <c r="O18" s="7" t="s">
        <v>140</v>
      </c>
      <c r="P18" s="7" t="s">
        <v>141</v>
      </c>
      <c r="Q18" s="7" t="s">
        <v>142</v>
      </c>
      <c r="R18" s="7" t="s">
        <v>450</v>
      </c>
      <c r="S18" s="7"/>
      <c r="T18" s="9" t="s">
        <v>45</v>
      </c>
      <c r="U18" s="8"/>
      <c r="V18" s="33"/>
      <c r="W18" s="9" t="s">
        <v>46</v>
      </c>
      <c r="X18" s="9" t="s">
        <v>461</v>
      </c>
      <c r="Y18" s="9" t="s">
        <v>461</v>
      </c>
      <c r="Z18" s="39" t="s">
        <v>461</v>
      </c>
      <c r="AA18" s="9" t="s">
        <v>461</v>
      </c>
      <c r="AB18" s="45" t="s">
        <v>46</v>
      </c>
      <c r="AC18" s="9" t="s">
        <v>46</v>
      </c>
      <c r="AD18" s="9" t="s">
        <v>461</v>
      </c>
      <c r="AE18" s="9" t="s">
        <v>461</v>
      </c>
      <c r="AF18" s="9" t="s">
        <v>461</v>
      </c>
      <c r="AG18" s="45" t="str">
        <f t="shared" si="1"/>
        <v>V</v>
      </c>
      <c r="AH18" s="45" t="s">
        <v>46</v>
      </c>
      <c r="AI18" s="45" t="s">
        <v>46</v>
      </c>
      <c r="AJ18" s="45" t="s">
        <v>461</v>
      </c>
      <c r="AK18" s="45"/>
    </row>
    <row r="19" spans="1:37" ht="16.5" customHeight="1" x14ac:dyDescent="0.3">
      <c r="A19" s="26">
        <v>14</v>
      </c>
      <c r="B19" s="7" t="s">
        <v>122</v>
      </c>
      <c r="C19" s="7">
        <v>1523946</v>
      </c>
      <c r="D19" s="3" t="s">
        <v>143</v>
      </c>
      <c r="E19" s="7">
        <v>1000315188</v>
      </c>
      <c r="F19" s="3" t="s">
        <v>144</v>
      </c>
      <c r="G19" s="7" t="s">
        <v>33</v>
      </c>
      <c r="H19" s="7" t="s">
        <v>510</v>
      </c>
      <c r="I19" s="7" t="s">
        <v>110</v>
      </c>
      <c r="J19" s="3" t="s">
        <v>504</v>
      </c>
      <c r="K19" s="3" t="s">
        <v>145</v>
      </c>
      <c r="L19" s="9" t="s">
        <v>146</v>
      </c>
      <c r="M19" s="7" t="s">
        <v>147</v>
      </c>
      <c r="N19" s="7" t="s">
        <v>148</v>
      </c>
      <c r="O19" s="7" t="s">
        <v>149</v>
      </c>
      <c r="P19" s="7" t="s">
        <v>150</v>
      </c>
      <c r="Q19" s="7" t="s">
        <v>151</v>
      </c>
      <c r="R19" s="7" t="s">
        <v>152</v>
      </c>
      <c r="S19" s="7" t="s">
        <v>153</v>
      </c>
      <c r="T19" s="9"/>
      <c r="U19" s="8"/>
      <c r="V19" s="33"/>
      <c r="W19" s="9" t="s">
        <v>46</v>
      </c>
      <c r="X19" s="39" t="s">
        <v>461</v>
      </c>
      <c r="Y19" s="39" t="s">
        <v>461</v>
      </c>
      <c r="Z19" s="39" t="s">
        <v>461</v>
      </c>
      <c r="AA19" s="39" t="s">
        <v>461</v>
      </c>
      <c r="AB19" s="45" t="s">
        <v>46</v>
      </c>
      <c r="AC19" s="9" t="s">
        <v>461</v>
      </c>
      <c r="AD19" s="9" t="s">
        <v>461</v>
      </c>
      <c r="AE19" s="9" t="s">
        <v>461</v>
      </c>
      <c r="AF19" s="39" t="s">
        <v>461</v>
      </c>
      <c r="AG19" s="45" t="str">
        <f t="shared" si="1"/>
        <v>V</v>
      </c>
      <c r="AH19" s="45" t="s">
        <v>46</v>
      </c>
      <c r="AI19" s="45" t="s">
        <v>46</v>
      </c>
      <c r="AJ19" s="45" t="s">
        <v>461</v>
      </c>
      <c r="AK19" s="45"/>
    </row>
    <row r="20" spans="1:37" ht="16.5" customHeight="1" x14ac:dyDescent="0.3">
      <c r="A20" s="30">
        <v>15</v>
      </c>
      <c r="B20" s="9" t="s">
        <v>154</v>
      </c>
      <c r="C20" s="9">
        <v>1512425</v>
      </c>
      <c r="D20" s="10" t="s">
        <v>155</v>
      </c>
      <c r="E20" s="9">
        <v>1000316943</v>
      </c>
      <c r="F20" s="10" t="s">
        <v>156</v>
      </c>
      <c r="G20" s="9" t="s">
        <v>33</v>
      </c>
      <c r="H20" s="7" t="s">
        <v>510</v>
      </c>
      <c r="I20" s="9" t="s">
        <v>34</v>
      </c>
      <c r="J20" s="10" t="s">
        <v>157</v>
      </c>
      <c r="K20" s="10" t="s">
        <v>127</v>
      </c>
      <c r="L20" s="9" t="s">
        <v>37</v>
      </c>
      <c r="M20" s="28" t="s">
        <v>158</v>
      </c>
      <c r="N20" s="9" t="s">
        <v>159</v>
      </c>
      <c r="O20" s="9" t="s">
        <v>160</v>
      </c>
      <c r="P20" s="9" t="s">
        <v>161</v>
      </c>
      <c r="Q20" s="9" t="s">
        <v>162</v>
      </c>
      <c r="R20" s="9" t="s">
        <v>163</v>
      </c>
      <c r="S20" s="9" t="s">
        <v>164</v>
      </c>
      <c r="T20" s="9" t="s">
        <v>45</v>
      </c>
      <c r="U20" s="9"/>
      <c r="V20" s="36"/>
      <c r="W20" s="9" t="s">
        <v>46</v>
      </c>
      <c r="X20" s="9" t="s">
        <v>461</v>
      </c>
      <c r="Y20" s="9" t="s">
        <v>461</v>
      </c>
      <c r="Z20" s="39" t="s">
        <v>461</v>
      </c>
      <c r="AA20" s="9" t="s">
        <v>461</v>
      </c>
      <c r="AB20" s="45" t="s">
        <v>46</v>
      </c>
      <c r="AC20" s="9" t="s">
        <v>461</v>
      </c>
      <c r="AD20" s="9" t="s">
        <v>461</v>
      </c>
      <c r="AE20" s="9" t="s">
        <v>461</v>
      </c>
      <c r="AF20" s="9" t="s">
        <v>461</v>
      </c>
      <c r="AG20" s="45" t="str">
        <f t="shared" si="1"/>
        <v>V</v>
      </c>
      <c r="AH20" s="45" t="s">
        <v>46</v>
      </c>
      <c r="AI20" s="55"/>
      <c r="AJ20" s="45" t="s">
        <v>46</v>
      </c>
      <c r="AK20" s="45"/>
    </row>
    <row r="21" spans="1:37" ht="16.5" hidden="1" customHeight="1" x14ac:dyDescent="0.3">
      <c r="A21" s="30">
        <v>16</v>
      </c>
      <c r="B21" s="9" t="s">
        <v>74</v>
      </c>
      <c r="C21" s="9">
        <v>1531294</v>
      </c>
      <c r="D21" s="10" t="s">
        <v>165</v>
      </c>
      <c r="E21" s="9">
        <v>1000317454</v>
      </c>
      <c r="F21" s="10" t="s">
        <v>166</v>
      </c>
      <c r="G21" s="9" t="s">
        <v>33</v>
      </c>
      <c r="H21" s="9"/>
      <c r="I21" s="9" t="s">
        <v>34</v>
      </c>
      <c r="J21" s="10" t="s">
        <v>167</v>
      </c>
      <c r="K21" s="10"/>
      <c r="L21" s="31"/>
      <c r="M21" s="28"/>
      <c r="N21" s="9"/>
      <c r="O21" s="9"/>
      <c r="P21" s="9"/>
      <c r="Q21" s="9"/>
      <c r="R21" s="31"/>
      <c r="S21" s="31"/>
      <c r="T21" s="9"/>
      <c r="U21" s="9" t="s">
        <v>63</v>
      </c>
      <c r="V21" s="35" t="s">
        <v>168</v>
      </c>
      <c r="W21" s="31"/>
      <c r="X21" s="31" t="s">
        <v>461</v>
      </c>
      <c r="Y21" s="31"/>
      <c r="Z21" s="31"/>
      <c r="AA21" s="31"/>
      <c r="AB21" s="46"/>
      <c r="AC21" s="31"/>
      <c r="AD21" s="31"/>
      <c r="AE21" s="31"/>
      <c r="AF21" s="31"/>
      <c r="AG21" s="45" t="str">
        <f t="shared" si="1"/>
        <v/>
      </c>
      <c r="AH21" s="46"/>
      <c r="AI21" s="46"/>
      <c r="AJ21" s="45"/>
      <c r="AK21" s="45"/>
    </row>
    <row r="22" spans="1:37" ht="16.5" hidden="1" customHeight="1" x14ac:dyDescent="0.3">
      <c r="A22" s="26">
        <v>17</v>
      </c>
      <c r="B22" s="8" t="s">
        <v>30</v>
      </c>
      <c r="C22" s="8">
        <v>1529567</v>
      </c>
      <c r="D22" s="2" t="s">
        <v>169</v>
      </c>
      <c r="E22" s="8">
        <v>1001143819</v>
      </c>
      <c r="F22" s="2" t="s">
        <v>170</v>
      </c>
      <c r="G22" s="8" t="s">
        <v>33</v>
      </c>
      <c r="H22" s="8"/>
      <c r="I22" s="8" t="s">
        <v>34</v>
      </c>
      <c r="J22" s="2" t="s">
        <v>171</v>
      </c>
      <c r="K22" s="2" t="s">
        <v>172</v>
      </c>
      <c r="L22" s="9"/>
      <c r="M22" s="7" t="s">
        <v>173</v>
      </c>
      <c r="N22" s="8" t="s">
        <v>174</v>
      </c>
      <c r="O22" s="8" t="s">
        <v>175</v>
      </c>
      <c r="P22" s="8" t="s">
        <v>176</v>
      </c>
      <c r="Q22" s="8" t="s">
        <v>177</v>
      </c>
      <c r="R22" s="8"/>
      <c r="S22" s="8"/>
      <c r="T22" s="9"/>
      <c r="U22" s="8" t="s">
        <v>178</v>
      </c>
      <c r="V22" s="37" t="s">
        <v>179</v>
      </c>
      <c r="W22" s="9"/>
      <c r="X22" s="9" t="s">
        <v>461</v>
      </c>
      <c r="Y22" s="9" t="s">
        <v>461</v>
      </c>
      <c r="Z22" s="9"/>
      <c r="AA22" s="9"/>
      <c r="AB22" s="45"/>
      <c r="AC22" s="39"/>
      <c r="AD22" s="9"/>
      <c r="AE22" s="9"/>
      <c r="AF22" s="9"/>
      <c r="AG22" s="45" t="str">
        <f t="shared" si="1"/>
        <v/>
      </c>
      <c r="AH22" s="45"/>
      <c r="AI22" s="45"/>
      <c r="AJ22" s="45"/>
      <c r="AK22" s="45"/>
    </row>
    <row r="23" spans="1:37" ht="16.5" customHeight="1" x14ac:dyDescent="0.3">
      <c r="A23" s="30">
        <v>18</v>
      </c>
      <c r="B23" s="9" t="s">
        <v>86</v>
      </c>
      <c r="C23" s="9">
        <v>1530311</v>
      </c>
      <c r="D23" s="10" t="s">
        <v>180</v>
      </c>
      <c r="E23" s="9">
        <v>1001345756</v>
      </c>
      <c r="F23" s="10" t="s">
        <v>181</v>
      </c>
      <c r="G23" s="9" t="s">
        <v>33</v>
      </c>
      <c r="H23" s="7" t="s">
        <v>510</v>
      </c>
      <c r="I23" s="9" t="s">
        <v>34</v>
      </c>
      <c r="J23" s="10" t="s">
        <v>182</v>
      </c>
      <c r="K23" s="10" t="s">
        <v>36</v>
      </c>
      <c r="L23" s="9" t="s">
        <v>183</v>
      </c>
      <c r="M23" s="28" t="s">
        <v>184</v>
      </c>
      <c r="N23" s="9" t="s">
        <v>160</v>
      </c>
      <c r="O23" s="9" t="s">
        <v>185</v>
      </c>
      <c r="P23" s="31" t="s">
        <v>451</v>
      </c>
      <c r="Q23" s="9" t="s">
        <v>186</v>
      </c>
      <c r="R23" s="9" t="s">
        <v>187</v>
      </c>
      <c r="S23" s="9" t="s">
        <v>188</v>
      </c>
      <c r="T23" s="9"/>
      <c r="U23" s="9"/>
      <c r="V23" s="36"/>
      <c r="W23" s="9" t="s">
        <v>46</v>
      </c>
      <c r="X23" s="9" t="s">
        <v>461</v>
      </c>
      <c r="Y23" s="9" t="s">
        <v>461</v>
      </c>
      <c r="Z23" s="39" t="s">
        <v>461</v>
      </c>
      <c r="AA23" s="9" t="s">
        <v>461</v>
      </c>
      <c r="AB23" s="45" t="s">
        <v>46</v>
      </c>
      <c r="AC23" s="9" t="s">
        <v>461</v>
      </c>
      <c r="AD23" s="9" t="s">
        <v>461</v>
      </c>
      <c r="AE23" s="9" t="s">
        <v>461</v>
      </c>
      <c r="AF23" s="9" t="s">
        <v>461</v>
      </c>
      <c r="AG23" s="45" t="str">
        <f t="shared" si="1"/>
        <v>V</v>
      </c>
      <c r="AH23" s="45" t="s">
        <v>46</v>
      </c>
      <c r="AI23" s="45" t="s">
        <v>46</v>
      </c>
      <c r="AJ23" s="45" t="s">
        <v>46</v>
      </c>
      <c r="AK23" s="45"/>
    </row>
    <row r="24" spans="1:37" ht="16.5" customHeight="1" x14ac:dyDescent="0.3">
      <c r="A24" s="27">
        <v>19</v>
      </c>
      <c r="B24" s="28" t="s">
        <v>116</v>
      </c>
      <c r="C24" s="28">
        <v>1528166</v>
      </c>
      <c r="D24" s="29" t="s">
        <v>189</v>
      </c>
      <c r="E24" s="28">
        <v>1000317405</v>
      </c>
      <c r="F24" s="29" t="s">
        <v>190</v>
      </c>
      <c r="G24" s="28" t="s">
        <v>33</v>
      </c>
      <c r="H24" s="7" t="s">
        <v>510</v>
      </c>
      <c r="I24" s="28" t="s">
        <v>61</v>
      </c>
      <c r="J24" s="29" t="s">
        <v>62</v>
      </c>
      <c r="K24" s="29" t="s">
        <v>91</v>
      </c>
      <c r="L24" s="9"/>
      <c r="M24" s="28" t="s">
        <v>79</v>
      </c>
      <c r="N24" s="28" t="s">
        <v>191</v>
      </c>
      <c r="O24" s="28" t="s">
        <v>192</v>
      </c>
      <c r="P24" s="28" t="s">
        <v>193</v>
      </c>
      <c r="Q24" s="28" t="s">
        <v>194</v>
      </c>
      <c r="R24" s="28" t="s">
        <v>195</v>
      </c>
      <c r="S24" s="28" t="s">
        <v>196</v>
      </c>
      <c r="T24" s="9"/>
      <c r="U24" s="9"/>
      <c r="V24" s="34"/>
      <c r="W24" s="9" t="s">
        <v>46</v>
      </c>
      <c r="X24" s="9" t="s">
        <v>461</v>
      </c>
      <c r="Y24" s="9" t="s">
        <v>461</v>
      </c>
      <c r="Z24" s="39" t="s">
        <v>461</v>
      </c>
      <c r="AA24" s="9" t="s">
        <v>461</v>
      </c>
      <c r="AB24" s="45" t="s">
        <v>46</v>
      </c>
      <c r="AC24" s="9" t="s">
        <v>46</v>
      </c>
      <c r="AD24" s="9" t="s">
        <v>46</v>
      </c>
      <c r="AE24" s="9" t="s">
        <v>46</v>
      </c>
      <c r="AF24" s="9" t="s">
        <v>461</v>
      </c>
      <c r="AG24" s="45" t="str">
        <f t="shared" si="1"/>
        <v>V</v>
      </c>
      <c r="AH24" s="45" t="s">
        <v>46</v>
      </c>
      <c r="AI24" s="57" t="s">
        <v>46</v>
      </c>
      <c r="AJ24" s="45" t="s">
        <v>461</v>
      </c>
      <c r="AK24" s="45"/>
    </row>
    <row r="25" spans="1:37" ht="16.5" hidden="1" customHeight="1" x14ac:dyDescent="0.3">
      <c r="A25" s="30">
        <v>20</v>
      </c>
      <c r="B25" s="9" t="s">
        <v>154</v>
      </c>
      <c r="C25" s="9">
        <v>1527025</v>
      </c>
      <c r="D25" s="10" t="s">
        <v>197</v>
      </c>
      <c r="E25" s="9">
        <v>1000317103</v>
      </c>
      <c r="F25" s="10" t="s">
        <v>198</v>
      </c>
      <c r="G25" s="9" t="s">
        <v>33</v>
      </c>
      <c r="H25" s="9"/>
      <c r="I25" s="9" t="s">
        <v>34</v>
      </c>
      <c r="J25" s="10" t="s">
        <v>199</v>
      </c>
      <c r="K25" s="10"/>
      <c r="L25" s="9"/>
      <c r="M25" s="28"/>
      <c r="N25" s="9"/>
      <c r="O25" s="9"/>
      <c r="P25" s="9"/>
      <c r="Q25" s="9"/>
      <c r="R25" s="9"/>
      <c r="S25" s="9"/>
      <c r="T25" s="9"/>
      <c r="U25" s="9" t="s">
        <v>63</v>
      </c>
      <c r="V25" s="36" t="s">
        <v>618</v>
      </c>
      <c r="W25" s="9"/>
      <c r="X25" s="9" t="s">
        <v>461</v>
      </c>
      <c r="Y25" s="9"/>
      <c r="Z25" s="9"/>
      <c r="AA25" s="9"/>
      <c r="AB25" s="45"/>
      <c r="AC25" s="9"/>
      <c r="AD25" s="9"/>
      <c r="AE25" s="9"/>
      <c r="AF25" s="9"/>
      <c r="AG25" s="45" t="str">
        <f t="shared" si="1"/>
        <v/>
      </c>
      <c r="AH25" s="45"/>
      <c r="AI25" s="45"/>
      <c r="AJ25" s="45"/>
      <c r="AK25" s="45"/>
    </row>
    <row r="26" spans="1:37" ht="16.5" hidden="1" customHeight="1" x14ac:dyDescent="0.3">
      <c r="A26" s="30">
        <v>21</v>
      </c>
      <c r="B26" s="9" t="s">
        <v>58</v>
      </c>
      <c r="C26" s="9">
        <v>1519955</v>
      </c>
      <c r="D26" s="10" t="s">
        <v>200</v>
      </c>
      <c r="E26" s="9">
        <v>1000811746</v>
      </c>
      <c r="F26" s="10" t="s">
        <v>201</v>
      </c>
      <c r="G26" s="9" t="s">
        <v>33</v>
      </c>
      <c r="H26" s="9"/>
      <c r="I26" s="9" t="s">
        <v>61</v>
      </c>
      <c r="J26" s="10" t="s">
        <v>202</v>
      </c>
      <c r="K26" s="10"/>
      <c r="L26" s="31"/>
      <c r="M26" s="28"/>
      <c r="N26" s="9"/>
      <c r="O26" s="9"/>
      <c r="P26" s="9"/>
      <c r="Q26" s="9"/>
      <c r="R26" s="31"/>
      <c r="S26" s="31"/>
      <c r="T26" s="9"/>
      <c r="U26" s="9" t="s">
        <v>63</v>
      </c>
      <c r="V26" s="35" t="s">
        <v>619</v>
      </c>
      <c r="W26" s="31"/>
      <c r="X26" s="31" t="s">
        <v>461</v>
      </c>
      <c r="Y26" s="31"/>
      <c r="Z26" s="31"/>
      <c r="AA26" s="31"/>
      <c r="AB26" s="46"/>
      <c r="AC26" s="31"/>
      <c r="AD26" s="31"/>
      <c r="AE26" s="31"/>
      <c r="AF26" s="31"/>
      <c r="AG26" s="45" t="str">
        <f t="shared" si="1"/>
        <v/>
      </c>
      <c r="AH26" s="46"/>
      <c r="AI26" s="46"/>
      <c r="AJ26" s="45"/>
      <c r="AK26" s="45"/>
    </row>
    <row r="27" spans="1:37" ht="16.5" customHeight="1" x14ac:dyDescent="0.3">
      <c r="A27" s="26">
        <v>22</v>
      </c>
      <c r="B27" s="7" t="s">
        <v>154</v>
      </c>
      <c r="C27" s="7">
        <v>1514244</v>
      </c>
      <c r="D27" s="3" t="s">
        <v>203</v>
      </c>
      <c r="E27" s="7">
        <v>1000953509</v>
      </c>
      <c r="F27" s="3" t="s">
        <v>204</v>
      </c>
      <c r="G27" s="7" t="s">
        <v>33</v>
      </c>
      <c r="H27" s="7" t="s">
        <v>510</v>
      </c>
      <c r="I27" s="7" t="s">
        <v>34</v>
      </c>
      <c r="J27" s="3" t="s">
        <v>205</v>
      </c>
      <c r="K27" s="3" t="s">
        <v>206</v>
      </c>
      <c r="L27" s="9" t="s">
        <v>183</v>
      </c>
      <c r="M27" s="7" t="s">
        <v>92</v>
      </c>
      <c r="N27" s="7" t="s">
        <v>207</v>
      </c>
      <c r="O27" s="7" t="s">
        <v>208</v>
      </c>
      <c r="P27" s="7" t="s">
        <v>209</v>
      </c>
      <c r="Q27" s="7" t="s">
        <v>210</v>
      </c>
      <c r="R27" s="7" t="s">
        <v>211</v>
      </c>
      <c r="S27" s="7" t="s">
        <v>212</v>
      </c>
      <c r="T27" s="9"/>
      <c r="U27" s="8"/>
      <c r="V27" s="33"/>
      <c r="W27" s="9" t="s">
        <v>46</v>
      </c>
      <c r="X27" s="9" t="s">
        <v>461</v>
      </c>
      <c r="Y27" s="9" t="s">
        <v>461</v>
      </c>
      <c r="Z27" s="9" t="s">
        <v>461</v>
      </c>
      <c r="AA27" s="9" t="s">
        <v>461</v>
      </c>
      <c r="AB27" s="45" t="s">
        <v>46</v>
      </c>
      <c r="AC27" s="9" t="s">
        <v>46</v>
      </c>
      <c r="AD27" s="9" t="s">
        <v>461</v>
      </c>
      <c r="AE27" s="9" t="s">
        <v>461</v>
      </c>
      <c r="AF27" s="9" t="s">
        <v>461</v>
      </c>
      <c r="AG27" s="45" t="str">
        <f t="shared" si="1"/>
        <v>V</v>
      </c>
      <c r="AH27" s="45" t="s">
        <v>46</v>
      </c>
      <c r="AI27" s="45" t="s">
        <v>46</v>
      </c>
      <c r="AJ27" s="45" t="s">
        <v>461</v>
      </c>
      <c r="AK27" s="45"/>
    </row>
    <row r="28" spans="1:37" ht="16.5" customHeight="1" x14ac:dyDescent="0.3">
      <c r="A28" s="26">
        <v>23</v>
      </c>
      <c r="B28" s="7" t="s">
        <v>30</v>
      </c>
      <c r="C28" s="7">
        <v>1546791</v>
      </c>
      <c r="D28" s="3" t="s">
        <v>213</v>
      </c>
      <c r="E28" s="7">
        <v>1000326195</v>
      </c>
      <c r="F28" s="3" t="s">
        <v>214</v>
      </c>
      <c r="G28" s="7" t="s">
        <v>109</v>
      </c>
      <c r="H28" s="7" t="s">
        <v>510</v>
      </c>
      <c r="I28" s="7" t="s">
        <v>89</v>
      </c>
      <c r="J28" s="3" t="s">
        <v>215</v>
      </c>
      <c r="K28" s="3" t="s">
        <v>91</v>
      </c>
      <c r="L28" s="9"/>
      <c r="M28" s="7" t="s">
        <v>184</v>
      </c>
      <c r="N28" s="7" t="s">
        <v>216</v>
      </c>
      <c r="O28" s="7" t="s">
        <v>217</v>
      </c>
      <c r="P28" s="7" t="s">
        <v>218</v>
      </c>
      <c r="Q28" s="7" t="s">
        <v>219</v>
      </c>
      <c r="R28" s="7" t="s">
        <v>220</v>
      </c>
      <c r="S28" s="7" t="s">
        <v>221</v>
      </c>
      <c r="T28" s="9" t="s">
        <v>45</v>
      </c>
      <c r="U28" s="8"/>
      <c r="V28" s="33"/>
      <c r="W28" s="9" t="s">
        <v>46</v>
      </c>
      <c r="X28" s="9" t="s">
        <v>461</v>
      </c>
      <c r="Y28" s="9" t="s">
        <v>461</v>
      </c>
      <c r="Z28" s="9" t="s">
        <v>461</v>
      </c>
      <c r="AA28" s="9" t="s">
        <v>461</v>
      </c>
      <c r="AB28" s="45" t="s">
        <v>46</v>
      </c>
      <c r="AC28" s="9" t="s">
        <v>461</v>
      </c>
      <c r="AD28" s="9" t="s">
        <v>461</v>
      </c>
      <c r="AE28" s="9" t="s">
        <v>461</v>
      </c>
      <c r="AF28" s="9" t="s">
        <v>461</v>
      </c>
      <c r="AG28" s="45" t="str">
        <f t="shared" si="1"/>
        <v>V</v>
      </c>
      <c r="AH28" s="45" t="s">
        <v>46</v>
      </c>
      <c r="AI28" s="53" t="s">
        <v>46</v>
      </c>
      <c r="AJ28" s="45" t="s">
        <v>461</v>
      </c>
      <c r="AK28" s="45"/>
    </row>
    <row r="29" spans="1:37" ht="16.5" customHeight="1" x14ac:dyDescent="0.3">
      <c r="A29" s="26">
        <v>24</v>
      </c>
      <c r="B29" s="7" t="s">
        <v>86</v>
      </c>
      <c r="C29" s="7">
        <v>1522493</v>
      </c>
      <c r="D29" s="3" t="s">
        <v>222</v>
      </c>
      <c r="E29" s="7">
        <v>1000326228</v>
      </c>
      <c r="F29" s="3" t="s">
        <v>223</v>
      </c>
      <c r="G29" s="7" t="s">
        <v>33</v>
      </c>
      <c r="H29" s="7" t="s">
        <v>510</v>
      </c>
      <c r="I29" s="7" t="s">
        <v>34</v>
      </c>
      <c r="J29" s="3" t="s">
        <v>224</v>
      </c>
      <c r="K29" s="3" t="s">
        <v>172</v>
      </c>
      <c r="L29" s="9"/>
      <c r="M29" s="7" t="s">
        <v>147</v>
      </c>
      <c r="N29" s="7" t="s">
        <v>130</v>
      </c>
      <c r="O29" s="7" t="s">
        <v>225</v>
      </c>
      <c r="P29" s="7" t="s">
        <v>226</v>
      </c>
      <c r="Q29" s="7" t="s">
        <v>227</v>
      </c>
      <c r="R29" s="7"/>
      <c r="S29" s="7"/>
      <c r="T29" s="9"/>
      <c r="U29" s="8"/>
      <c r="V29" s="33"/>
      <c r="W29" s="9" t="s">
        <v>46</v>
      </c>
      <c r="X29" s="9" t="s">
        <v>461</v>
      </c>
      <c r="Y29" s="9" t="s">
        <v>461</v>
      </c>
      <c r="Z29" s="9" t="s">
        <v>461</v>
      </c>
      <c r="AA29" s="9" t="s">
        <v>461</v>
      </c>
      <c r="AB29" s="45" t="s">
        <v>46</v>
      </c>
      <c r="AC29" s="39"/>
      <c r="AD29" s="9"/>
      <c r="AE29" s="9"/>
      <c r="AF29" s="9"/>
      <c r="AG29" s="45" t="str">
        <f t="shared" si="1"/>
        <v>V</v>
      </c>
      <c r="AH29" s="45" t="s">
        <v>46</v>
      </c>
      <c r="AI29" s="45" t="s">
        <v>46</v>
      </c>
      <c r="AJ29" s="45" t="s">
        <v>461</v>
      </c>
      <c r="AK29" s="45"/>
    </row>
    <row r="30" spans="1:37" ht="16.5" customHeight="1" x14ac:dyDescent="0.3">
      <c r="A30" s="26">
        <v>25</v>
      </c>
      <c r="B30" s="7" t="s">
        <v>154</v>
      </c>
      <c r="C30" s="7">
        <v>1514071</v>
      </c>
      <c r="D30" s="3" t="s">
        <v>228</v>
      </c>
      <c r="E30" s="7">
        <v>1000325863</v>
      </c>
      <c r="F30" s="3" t="s">
        <v>229</v>
      </c>
      <c r="G30" s="7" t="s">
        <v>33</v>
      </c>
      <c r="H30" s="7" t="s">
        <v>510</v>
      </c>
      <c r="I30" s="7" t="s">
        <v>89</v>
      </c>
      <c r="J30" s="3" t="s">
        <v>126</v>
      </c>
      <c r="K30" s="3" t="s">
        <v>127</v>
      </c>
      <c r="L30" s="9" t="s">
        <v>37</v>
      </c>
      <c r="M30" s="7" t="s">
        <v>70</v>
      </c>
      <c r="N30" s="7" t="s">
        <v>230</v>
      </c>
      <c r="O30" s="7" t="s">
        <v>231</v>
      </c>
      <c r="P30" s="7" t="s">
        <v>232</v>
      </c>
      <c r="Q30" s="7" t="s">
        <v>233</v>
      </c>
      <c r="R30" s="7"/>
      <c r="S30" s="7"/>
      <c r="T30" s="9"/>
      <c r="U30" s="8"/>
      <c r="V30" s="33"/>
      <c r="W30" s="9" t="s">
        <v>46</v>
      </c>
      <c r="X30" s="9" t="s">
        <v>461</v>
      </c>
      <c r="Y30" s="9" t="s">
        <v>461</v>
      </c>
      <c r="Z30" s="9" t="s">
        <v>461</v>
      </c>
      <c r="AA30" s="9" t="s">
        <v>461</v>
      </c>
      <c r="AB30" s="45" t="s">
        <v>46</v>
      </c>
      <c r="AC30" s="9" t="s">
        <v>46</v>
      </c>
      <c r="AD30" s="9" t="s">
        <v>461</v>
      </c>
      <c r="AE30" s="9" t="s">
        <v>461</v>
      </c>
      <c r="AF30" s="9" t="s">
        <v>461</v>
      </c>
      <c r="AG30" s="45" t="str">
        <f t="shared" si="1"/>
        <v>V</v>
      </c>
      <c r="AH30" s="45" t="s">
        <v>46</v>
      </c>
      <c r="AI30" s="45" t="s">
        <v>46</v>
      </c>
      <c r="AJ30" s="45" t="s">
        <v>461</v>
      </c>
      <c r="AK30" s="45"/>
    </row>
    <row r="31" spans="1:37" ht="16.5" hidden="1" customHeight="1" x14ac:dyDescent="0.3">
      <c r="A31" s="26">
        <v>26</v>
      </c>
      <c r="B31" s="7" t="s">
        <v>65</v>
      </c>
      <c r="C31" s="7">
        <v>1547353</v>
      </c>
      <c r="D31" s="3" t="s">
        <v>234</v>
      </c>
      <c r="E31" s="7">
        <v>1000314474</v>
      </c>
      <c r="F31" s="3" t="s">
        <v>235</v>
      </c>
      <c r="G31" s="7" t="s">
        <v>33</v>
      </c>
      <c r="H31" s="7"/>
      <c r="I31" s="7" t="s">
        <v>89</v>
      </c>
      <c r="J31" s="3" t="s">
        <v>236</v>
      </c>
      <c r="K31" s="3" t="s">
        <v>127</v>
      </c>
      <c r="L31" s="9"/>
      <c r="M31" s="7" t="s">
        <v>147</v>
      </c>
      <c r="N31" s="7" t="s">
        <v>237</v>
      </c>
      <c r="O31" s="7" t="s">
        <v>80</v>
      </c>
      <c r="P31" s="7" t="s">
        <v>238</v>
      </c>
      <c r="Q31" s="7" t="s">
        <v>239</v>
      </c>
      <c r="R31" s="7"/>
      <c r="S31" s="7"/>
      <c r="T31" s="9"/>
      <c r="U31" s="8" t="s">
        <v>178</v>
      </c>
      <c r="V31" s="37" t="s">
        <v>463</v>
      </c>
      <c r="W31" s="9"/>
      <c r="X31" s="9" t="s">
        <v>461</v>
      </c>
      <c r="Y31" s="9" t="s">
        <v>461</v>
      </c>
      <c r="Z31" s="9"/>
      <c r="AA31" s="9"/>
      <c r="AB31" s="45"/>
      <c r="AC31" s="39"/>
      <c r="AD31" s="9"/>
      <c r="AE31" s="9"/>
      <c r="AF31" s="9"/>
      <c r="AG31" s="45" t="str">
        <f t="shared" si="1"/>
        <v/>
      </c>
      <c r="AH31" s="45"/>
      <c r="AI31" s="45"/>
      <c r="AJ31" s="45"/>
      <c r="AK31" s="45"/>
    </row>
    <row r="32" spans="1:37" ht="16.5" customHeight="1" x14ac:dyDescent="0.3">
      <c r="A32" s="26">
        <v>27</v>
      </c>
      <c r="B32" s="7" t="s">
        <v>65</v>
      </c>
      <c r="C32" s="7">
        <v>1513980</v>
      </c>
      <c r="D32" s="3" t="s">
        <v>240</v>
      </c>
      <c r="E32" s="7">
        <v>1000317490</v>
      </c>
      <c r="F32" s="3" t="s">
        <v>241</v>
      </c>
      <c r="G32" s="7" t="s">
        <v>33</v>
      </c>
      <c r="H32" s="7" t="s">
        <v>510</v>
      </c>
      <c r="I32" s="7" t="s">
        <v>34</v>
      </c>
      <c r="J32" s="3" t="s">
        <v>242</v>
      </c>
      <c r="K32" s="3" t="s">
        <v>138</v>
      </c>
      <c r="L32" s="9" t="s">
        <v>69</v>
      </c>
      <c r="M32" s="7" t="s">
        <v>147</v>
      </c>
      <c r="N32" s="7" t="s">
        <v>243</v>
      </c>
      <c r="O32" s="7" t="s">
        <v>244</v>
      </c>
      <c r="P32" s="7" t="s">
        <v>245</v>
      </c>
      <c r="Q32" s="7" t="s">
        <v>246</v>
      </c>
      <c r="R32" s="7" t="s">
        <v>247</v>
      </c>
      <c r="S32" s="7" t="s">
        <v>248</v>
      </c>
      <c r="T32" s="9"/>
      <c r="U32" s="8" t="s">
        <v>462</v>
      </c>
      <c r="V32" s="36" t="s">
        <v>620</v>
      </c>
      <c r="W32" s="9" t="s">
        <v>461</v>
      </c>
      <c r="X32" s="9" t="s">
        <v>461</v>
      </c>
      <c r="Y32" s="9" t="s">
        <v>461</v>
      </c>
      <c r="Z32" s="9" t="s">
        <v>461</v>
      </c>
      <c r="AA32" s="9"/>
      <c r="AB32" s="45"/>
      <c r="AC32" s="9"/>
      <c r="AD32" s="9"/>
      <c r="AE32" s="9"/>
      <c r="AF32" s="9"/>
      <c r="AG32" s="45" t="str">
        <f t="shared" si="1"/>
        <v>V</v>
      </c>
      <c r="AH32" s="45" t="s">
        <v>46</v>
      </c>
      <c r="AI32" s="45" t="s">
        <v>46</v>
      </c>
      <c r="AJ32" s="45" t="s">
        <v>461</v>
      </c>
      <c r="AK32" s="45"/>
    </row>
    <row r="33" spans="1:37" ht="16.5" customHeight="1" x14ac:dyDescent="0.3">
      <c r="A33" s="26">
        <v>28</v>
      </c>
      <c r="B33" s="7" t="s">
        <v>122</v>
      </c>
      <c r="C33" s="7">
        <v>1550289</v>
      </c>
      <c r="D33" s="3" t="s">
        <v>249</v>
      </c>
      <c r="E33" s="7">
        <v>1000501994</v>
      </c>
      <c r="F33" s="3" t="s">
        <v>250</v>
      </c>
      <c r="G33" s="7" t="s">
        <v>33</v>
      </c>
      <c r="H33" s="7" t="s">
        <v>510</v>
      </c>
      <c r="I33" s="7" t="s">
        <v>34</v>
      </c>
      <c r="J33" s="3" t="s">
        <v>251</v>
      </c>
      <c r="K33" s="3" t="s">
        <v>36</v>
      </c>
      <c r="L33" s="9"/>
      <c r="M33" s="7" t="s">
        <v>70</v>
      </c>
      <c r="N33" s="7" t="s">
        <v>252</v>
      </c>
      <c r="O33" s="7" t="s">
        <v>253</v>
      </c>
      <c r="P33" s="7" t="s">
        <v>254</v>
      </c>
      <c r="Q33" s="7" t="s">
        <v>255</v>
      </c>
      <c r="R33" s="7" t="s">
        <v>256</v>
      </c>
      <c r="S33" s="7" t="s">
        <v>257</v>
      </c>
      <c r="T33" s="9"/>
      <c r="U33" s="8"/>
      <c r="V33" s="33"/>
      <c r="W33" s="9" t="s">
        <v>46</v>
      </c>
      <c r="X33" s="9" t="s">
        <v>461</v>
      </c>
      <c r="Y33" s="9" t="s">
        <v>461</v>
      </c>
      <c r="Z33" s="9" t="s">
        <v>461</v>
      </c>
      <c r="AA33" s="9" t="s">
        <v>461</v>
      </c>
      <c r="AB33" s="45"/>
      <c r="AC33" s="9"/>
      <c r="AD33" s="9"/>
      <c r="AE33" s="9"/>
      <c r="AF33" s="9"/>
      <c r="AG33" s="45" t="str">
        <f t="shared" si="1"/>
        <v>V</v>
      </c>
      <c r="AH33" s="45" t="s">
        <v>46</v>
      </c>
      <c r="AI33" s="45" t="s">
        <v>46</v>
      </c>
      <c r="AJ33" s="45" t="s">
        <v>461</v>
      </c>
      <c r="AK33" s="45"/>
    </row>
    <row r="34" spans="1:37" ht="16.5" customHeight="1" x14ac:dyDescent="0.3">
      <c r="A34" s="26">
        <v>29</v>
      </c>
      <c r="B34" s="7" t="s">
        <v>116</v>
      </c>
      <c r="C34" s="7">
        <v>1514621</v>
      </c>
      <c r="D34" s="3" t="s">
        <v>258</v>
      </c>
      <c r="E34" s="7">
        <v>1000315256</v>
      </c>
      <c r="F34" s="3" t="s">
        <v>259</v>
      </c>
      <c r="G34" s="7" t="s">
        <v>33</v>
      </c>
      <c r="H34" s="7" t="s">
        <v>510</v>
      </c>
      <c r="I34" s="7" t="s">
        <v>34</v>
      </c>
      <c r="J34" s="3" t="s">
        <v>260</v>
      </c>
      <c r="K34" s="3" t="s">
        <v>138</v>
      </c>
      <c r="L34" s="9"/>
      <c r="M34" s="7" t="s">
        <v>70</v>
      </c>
      <c r="N34" s="7" t="s">
        <v>93</v>
      </c>
      <c r="O34" s="7" t="s">
        <v>148</v>
      </c>
      <c r="P34" s="7" t="s">
        <v>261</v>
      </c>
      <c r="Q34" s="7" t="s">
        <v>262</v>
      </c>
      <c r="R34" s="7" t="s">
        <v>263</v>
      </c>
      <c r="S34" s="7" t="s">
        <v>264</v>
      </c>
      <c r="T34" s="9"/>
      <c r="U34" s="8"/>
      <c r="V34" s="33"/>
      <c r="W34" s="9" t="s">
        <v>46</v>
      </c>
      <c r="X34" s="9" t="s">
        <v>461</v>
      </c>
      <c r="Y34" s="9" t="s">
        <v>461</v>
      </c>
      <c r="Z34" s="9" t="s">
        <v>461</v>
      </c>
      <c r="AA34" s="9" t="s">
        <v>461</v>
      </c>
      <c r="AB34" s="45" t="s">
        <v>46</v>
      </c>
      <c r="AC34" s="9" t="s">
        <v>46</v>
      </c>
      <c r="AD34" s="9" t="s">
        <v>461</v>
      </c>
      <c r="AE34" s="9" t="s">
        <v>461</v>
      </c>
      <c r="AF34" s="9" t="s">
        <v>461</v>
      </c>
      <c r="AG34" s="45" t="str">
        <f t="shared" si="1"/>
        <v>V</v>
      </c>
      <c r="AH34" s="45" t="s">
        <v>46</v>
      </c>
      <c r="AI34" s="45" t="s">
        <v>46</v>
      </c>
      <c r="AJ34" s="45" t="s">
        <v>461</v>
      </c>
      <c r="AK34" s="45"/>
    </row>
    <row r="35" spans="1:37" ht="16.5" customHeight="1" x14ac:dyDescent="0.3">
      <c r="A35" s="26">
        <v>30</v>
      </c>
      <c r="B35" s="7" t="s">
        <v>154</v>
      </c>
      <c r="C35" s="7">
        <v>1514486</v>
      </c>
      <c r="D35" s="3" t="s">
        <v>265</v>
      </c>
      <c r="E35" s="7">
        <v>1001215348</v>
      </c>
      <c r="F35" s="3" t="s">
        <v>266</v>
      </c>
      <c r="G35" s="7" t="s">
        <v>33</v>
      </c>
      <c r="H35" s="7" t="s">
        <v>510</v>
      </c>
      <c r="I35" s="7" t="s">
        <v>34</v>
      </c>
      <c r="J35" s="3" t="s">
        <v>267</v>
      </c>
      <c r="K35" s="3" t="s">
        <v>36</v>
      </c>
      <c r="L35" s="9" t="s">
        <v>128</v>
      </c>
      <c r="M35" s="7" t="s">
        <v>268</v>
      </c>
      <c r="N35" s="7" t="s">
        <v>253</v>
      </c>
      <c r="O35" s="7" t="s">
        <v>208</v>
      </c>
      <c r="P35" s="7" t="s">
        <v>209</v>
      </c>
      <c r="Q35" s="7" t="s">
        <v>269</v>
      </c>
      <c r="R35" s="7" t="s">
        <v>270</v>
      </c>
      <c r="S35" s="7" t="s">
        <v>271</v>
      </c>
      <c r="T35" s="9"/>
      <c r="U35" s="8"/>
      <c r="V35" s="33"/>
      <c r="W35" s="9" t="s">
        <v>46</v>
      </c>
      <c r="X35" s="9" t="s">
        <v>461</v>
      </c>
      <c r="Y35" s="9" t="s">
        <v>461</v>
      </c>
      <c r="Z35" s="9" t="s">
        <v>461</v>
      </c>
      <c r="AA35" s="9" t="s">
        <v>461</v>
      </c>
      <c r="AB35" s="45" t="s">
        <v>46</v>
      </c>
      <c r="AC35" s="9" t="s">
        <v>46</v>
      </c>
      <c r="AD35" s="9" t="s">
        <v>461</v>
      </c>
      <c r="AE35" s="9" t="s">
        <v>461</v>
      </c>
      <c r="AF35" s="9" t="s">
        <v>461</v>
      </c>
      <c r="AG35" s="45" t="str">
        <f t="shared" si="1"/>
        <v>V</v>
      </c>
      <c r="AH35" s="45" t="s">
        <v>46</v>
      </c>
      <c r="AI35" s="45" t="s">
        <v>46</v>
      </c>
      <c r="AJ35" s="45" t="s">
        <v>461</v>
      </c>
      <c r="AK35" s="45"/>
    </row>
    <row r="36" spans="1:37" ht="16.5" customHeight="1" x14ac:dyDescent="0.3">
      <c r="A36" s="26">
        <v>31</v>
      </c>
      <c r="B36" s="7" t="s">
        <v>58</v>
      </c>
      <c r="C36" s="7">
        <v>1536028</v>
      </c>
      <c r="D36" s="3" t="s">
        <v>272</v>
      </c>
      <c r="E36" s="7">
        <v>1000734708</v>
      </c>
      <c r="F36" s="3" t="s">
        <v>273</v>
      </c>
      <c r="G36" s="7" t="s">
        <v>109</v>
      </c>
      <c r="H36" s="7" t="s">
        <v>510</v>
      </c>
      <c r="I36" s="7" t="s">
        <v>34</v>
      </c>
      <c r="J36" s="3" t="s">
        <v>274</v>
      </c>
      <c r="K36" s="3" t="s">
        <v>36</v>
      </c>
      <c r="L36" s="9"/>
      <c r="M36" s="7" t="s">
        <v>184</v>
      </c>
      <c r="N36" s="7" t="s">
        <v>275</v>
      </c>
      <c r="O36" s="7" t="s">
        <v>276</v>
      </c>
      <c r="P36" s="7" t="s">
        <v>277</v>
      </c>
      <c r="Q36" s="7" t="s">
        <v>278</v>
      </c>
      <c r="R36" s="7"/>
      <c r="S36" s="7"/>
      <c r="T36" s="9"/>
      <c r="U36" s="8"/>
      <c r="V36" s="33"/>
      <c r="W36" s="9" t="s">
        <v>46</v>
      </c>
      <c r="X36" s="9" t="s">
        <v>461</v>
      </c>
      <c r="Y36" s="9" t="s">
        <v>461</v>
      </c>
      <c r="Z36" s="9" t="s">
        <v>461</v>
      </c>
      <c r="AA36" s="9" t="s">
        <v>461</v>
      </c>
      <c r="AB36" s="45"/>
      <c r="AC36" s="9"/>
      <c r="AD36" s="9"/>
      <c r="AE36" s="9"/>
      <c r="AF36" s="9"/>
      <c r="AG36" s="45" t="str">
        <f t="shared" si="1"/>
        <v>V</v>
      </c>
      <c r="AH36" s="45" t="s">
        <v>46</v>
      </c>
      <c r="AI36" s="45" t="s">
        <v>46</v>
      </c>
      <c r="AJ36" s="45" t="s">
        <v>461</v>
      </c>
      <c r="AK36" s="45"/>
    </row>
    <row r="37" spans="1:37" ht="16.5" customHeight="1" x14ac:dyDescent="0.3">
      <c r="A37" s="26">
        <v>32</v>
      </c>
      <c r="B37" s="7" t="s">
        <v>58</v>
      </c>
      <c r="C37" s="7">
        <v>1515113</v>
      </c>
      <c r="D37" s="3" t="s">
        <v>279</v>
      </c>
      <c r="E37" s="7">
        <v>1000326244</v>
      </c>
      <c r="F37" s="3" t="s">
        <v>280</v>
      </c>
      <c r="G37" s="7" t="s">
        <v>33</v>
      </c>
      <c r="H37" s="7" t="s">
        <v>510</v>
      </c>
      <c r="I37" s="7" t="s">
        <v>34</v>
      </c>
      <c r="J37" s="3" t="s">
        <v>281</v>
      </c>
      <c r="K37" s="3" t="s">
        <v>36</v>
      </c>
      <c r="L37" s="9" t="s">
        <v>128</v>
      </c>
      <c r="M37" s="7" t="s">
        <v>158</v>
      </c>
      <c r="N37" s="7" t="s">
        <v>282</v>
      </c>
      <c r="O37" s="7" t="s">
        <v>283</v>
      </c>
      <c r="P37" s="7" t="s">
        <v>284</v>
      </c>
      <c r="Q37" s="7" t="s">
        <v>285</v>
      </c>
      <c r="R37" s="7" t="s">
        <v>286</v>
      </c>
      <c r="S37" s="7" t="s">
        <v>287</v>
      </c>
      <c r="T37" s="9"/>
      <c r="U37" s="8"/>
      <c r="V37" s="33"/>
      <c r="W37" s="9" t="s">
        <v>46</v>
      </c>
      <c r="X37" s="9" t="s">
        <v>461</v>
      </c>
      <c r="Y37" s="9" t="s">
        <v>461</v>
      </c>
      <c r="Z37" s="9" t="s">
        <v>461</v>
      </c>
      <c r="AA37" s="9" t="s">
        <v>461</v>
      </c>
      <c r="AB37" s="45" t="s">
        <v>46</v>
      </c>
      <c r="AC37" s="9" t="s">
        <v>46</v>
      </c>
      <c r="AD37" s="9" t="s">
        <v>461</v>
      </c>
      <c r="AE37" s="9" t="s">
        <v>461</v>
      </c>
      <c r="AF37" s="9" t="s">
        <v>461</v>
      </c>
      <c r="AG37" s="45" t="str">
        <f t="shared" si="1"/>
        <v>V</v>
      </c>
      <c r="AH37" s="45" t="s">
        <v>46</v>
      </c>
      <c r="AI37" s="45" t="s">
        <v>46</v>
      </c>
      <c r="AJ37" s="45" t="s">
        <v>461</v>
      </c>
      <c r="AK37" s="45"/>
    </row>
    <row r="38" spans="1:37" ht="16.5" customHeight="1" x14ac:dyDescent="0.3">
      <c r="A38" s="30">
        <v>33</v>
      </c>
      <c r="B38" s="9" t="s">
        <v>122</v>
      </c>
      <c r="C38" s="9">
        <v>1527570</v>
      </c>
      <c r="D38" s="10" t="s">
        <v>288</v>
      </c>
      <c r="E38" s="9">
        <v>1000316823</v>
      </c>
      <c r="F38" s="10" t="s">
        <v>289</v>
      </c>
      <c r="G38" s="9" t="s">
        <v>33</v>
      </c>
      <c r="H38" s="7" t="s">
        <v>510</v>
      </c>
      <c r="I38" s="9" t="s">
        <v>34</v>
      </c>
      <c r="J38" s="10" t="s">
        <v>290</v>
      </c>
      <c r="K38" s="10" t="s">
        <v>172</v>
      </c>
      <c r="L38" s="9" t="s">
        <v>128</v>
      </c>
      <c r="M38" s="28" t="s">
        <v>291</v>
      </c>
      <c r="N38" s="9" t="s">
        <v>292</v>
      </c>
      <c r="O38" s="9" t="s">
        <v>237</v>
      </c>
      <c r="P38" s="9" t="s">
        <v>293</v>
      </c>
      <c r="Q38" s="9" t="s">
        <v>294</v>
      </c>
      <c r="R38" s="9"/>
      <c r="S38" s="9"/>
      <c r="T38" s="9"/>
      <c r="U38" s="8" t="s">
        <v>498</v>
      </c>
      <c r="V38" s="36" t="s">
        <v>499</v>
      </c>
      <c r="W38" s="9" t="s">
        <v>461</v>
      </c>
      <c r="X38" s="9" t="s">
        <v>461</v>
      </c>
      <c r="Y38" s="9" t="s">
        <v>461</v>
      </c>
      <c r="Z38" s="9" t="s">
        <v>461</v>
      </c>
      <c r="AA38" s="9" t="s">
        <v>461</v>
      </c>
      <c r="AB38" s="48"/>
      <c r="AC38" s="9"/>
      <c r="AD38" s="9"/>
      <c r="AE38" s="9"/>
      <c r="AF38" s="9"/>
      <c r="AG38" s="45" t="str">
        <f t="shared" ref="AG38:AG70" si="2">IF(OR(Z38="V",AB38="V"),"V","")</f>
        <v>V</v>
      </c>
      <c r="AH38" s="45" t="s">
        <v>46</v>
      </c>
      <c r="AI38" s="45" t="s">
        <v>46</v>
      </c>
      <c r="AJ38" s="45" t="s">
        <v>461</v>
      </c>
      <c r="AK38" s="45"/>
    </row>
    <row r="39" spans="1:37" ht="16.5" hidden="1" customHeight="1" x14ac:dyDescent="0.3">
      <c r="A39" s="30">
        <v>34</v>
      </c>
      <c r="B39" s="9" t="s">
        <v>116</v>
      </c>
      <c r="C39" s="9">
        <v>1518174</v>
      </c>
      <c r="D39" s="10" t="s">
        <v>295</v>
      </c>
      <c r="E39" s="9">
        <v>1001161053</v>
      </c>
      <c r="F39" s="10" t="s">
        <v>296</v>
      </c>
      <c r="G39" s="9" t="s">
        <v>33</v>
      </c>
      <c r="H39" s="9"/>
      <c r="I39" s="9" t="s">
        <v>34</v>
      </c>
      <c r="J39" s="10" t="s">
        <v>34</v>
      </c>
      <c r="K39" s="10"/>
      <c r="L39" s="31"/>
      <c r="M39" s="28"/>
      <c r="N39" s="9"/>
      <c r="O39" s="9"/>
      <c r="P39" s="9"/>
      <c r="Q39" s="9"/>
      <c r="R39" s="31"/>
      <c r="S39" s="31"/>
      <c r="T39" s="9"/>
      <c r="U39" s="9" t="s">
        <v>63</v>
      </c>
      <c r="V39" s="35"/>
      <c r="W39" s="31"/>
      <c r="X39" s="31" t="s">
        <v>461</v>
      </c>
      <c r="Y39" s="31"/>
      <c r="Z39" s="31"/>
      <c r="AA39" s="31"/>
      <c r="AB39" s="46"/>
      <c r="AC39" s="31"/>
      <c r="AD39" s="31"/>
      <c r="AE39" s="31"/>
      <c r="AF39" s="31"/>
      <c r="AG39" s="45" t="str">
        <f t="shared" si="2"/>
        <v/>
      </c>
      <c r="AH39" s="46"/>
      <c r="AI39" s="46"/>
      <c r="AJ39" s="45"/>
      <c r="AK39" s="45"/>
    </row>
    <row r="40" spans="1:37" ht="16.5" hidden="1" customHeight="1" x14ac:dyDescent="0.3">
      <c r="A40" s="30">
        <v>35</v>
      </c>
      <c r="B40" s="9" t="s">
        <v>74</v>
      </c>
      <c r="C40" s="9">
        <v>1522049</v>
      </c>
      <c r="D40" s="10" t="s">
        <v>297</v>
      </c>
      <c r="E40" s="9">
        <v>1000315000</v>
      </c>
      <c r="F40" s="10" t="s">
        <v>298</v>
      </c>
      <c r="G40" s="9" t="s">
        <v>33</v>
      </c>
      <c r="H40" s="9"/>
      <c r="I40" s="9" t="s">
        <v>34</v>
      </c>
      <c r="J40" s="10" t="s">
        <v>224</v>
      </c>
      <c r="K40" s="10"/>
      <c r="L40" s="9"/>
      <c r="M40" s="28"/>
      <c r="N40" s="9"/>
      <c r="O40" s="9"/>
      <c r="P40" s="9"/>
      <c r="Q40" s="9"/>
      <c r="R40" s="9"/>
      <c r="S40" s="9"/>
      <c r="T40" s="9"/>
      <c r="U40" s="9" t="s">
        <v>63</v>
      </c>
      <c r="V40" s="36" t="s">
        <v>621</v>
      </c>
      <c r="W40" s="9"/>
      <c r="X40" s="9" t="s">
        <v>461</v>
      </c>
      <c r="Y40" s="9"/>
      <c r="Z40" s="9"/>
      <c r="AA40" s="9"/>
      <c r="AB40" s="45"/>
      <c r="AC40" s="9"/>
      <c r="AD40" s="9"/>
      <c r="AE40" s="9"/>
      <c r="AF40" s="9"/>
      <c r="AG40" s="45" t="str">
        <f t="shared" si="2"/>
        <v/>
      </c>
      <c r="AH40" s="45"/>
      <c r="AI40" s="45"/>
      <c r="AJ40" s="45"/>
      <c r="AK40" s="45"/>
    </row>
    <row r="41" spans="1:37" ht="16.5" customHeight="1" x14ac:dyDescent="0.3">
      <c r="A41" s="26">
        <v>36</v>
      </c>
      <c r="B41" s="7" t="s">
        <v>47</v>
      </c>
      <c r="C41" s="7">
        <v>1511896</v>
      </c>
      <c r="D41" s="3" t="s">
        <v>299</v>
      </c>
      <c r="E41" s="7">
        <v>1000323554</v>
      </c>
      <c r="F41" s="3" t="s">
        <v>300</v>
      </c>
      <c r="G41" s="7" t="s">
        <v>109</v>
      </c>
      <c r="H41" s="7" t="s">
        <v>510</v>
      </c>
      <c r="I41" s="7" t="s">
        <v>34</v>
      </c>
      <c r="J41" s="3" t="s">
        <v>34</v>
      </c>
      <c r="K41" s="3" t="s">
        <v>36</v>
      </c>
      <c r="L41" s="9" t="s">
        <v>183</v>
      </c>
      <c r="M41" s="7" t="s">
        <v>92</v>
      </c>
      <c r="N41" s="7" t="s">
        <v>40</v>
      </c>
      <c r="O41" s="7" t="s">
        <v>53</v>
      </c>
      <c r="P41" s="7" t="s">
        <v>103</v>
      </c>
      <c r="Q41" s="7" t="s">
        <v>301</v>
      </c>
      <c r="R41" s="7" t="s">
        <v>106</v>
      </c>
      <c r="S41" s="7"/>
      <c r="T41" s="9"/>
      <c r="U41" s="8" t="s">
        <v>456</v>
      </c>
      <c r="V41" s="33" t="s">
        <v>457</v>
      </c>
      <c r="W41" s="9" t="s">
        <v>461</v>
      </c>
      <c r="X41" s="9" t="s">
        <v>461</v>
      </c>
      <c r="Y41" s="9" t="s">
        <v>461</v>
      </c>
      <c r="Z41" s="9" t="s">
        <v>461</v>
      </c>
      <c r="AA41" s="9"/>
      <c r="AB41" s="45"/>
      <c r="AC41" s="9"/>
      <c r="AD41" s="9"/>
      <c r="AE41" s="9"/>
      <c r="AF41" s="9"/>
      <c r="AG41" s="45" t="str">
        <f t="shared" si="2"/>
        <v>V</v>
      </c>
      <c r="AH41" s="45" t="s">
        <v>46</v>
      </c>
      <c r="AI41" s="45" t="s">
        <v>46</v>
      </c>
      <c r="AJ41" s="45" t="s">
        <v>461</v>
      </c>
      <c r="AK41" s="45"/>
    </row>
    <row r="42" spans="1:37" ht="16.5" customHeight="1" x14ac:dyDescent="0.3">
      <c r="A42" s="30">
        <v>37</v>
      </c>
      <c r="B42" s="9" t="s">
        <v>122</v>
      </c>
      <c r="C42" s="9">
        <v>1547363</v>
      </c>
      <c r="D42" s="10" t="s">
        <v>302</v>
      </c>
      <c r="E42" s="9">
        <v>1000682279</v>
      </c>
      <c r="F42" s="10" t="s">
        <v>303</v>
      </c>
      <c r="G42" s="9" t="s">
        <v>33</v>
      </c>
      <c r="H42" s="7" t="s">
        <v>510</v>
      </c>
      <c r="I42" s="9" t="s">
        <v>89</v>
      </c>
      <c r="J42" s="10" t="s">
        <v>304</v>
      </c>
      <c r="K42" s="10" t="s">
        <v>91</v>
      </c>
      <c r="L42" s="9" t="s">
        <v>146</v>
      </c>
      <c r="M42" s="28" t="s">
        <v>158</v>
      </c>
      <c r="N42" s="9" t="s">
        <v>305</v>
      </c>
      <c r="O42" s="9" t="s">
        <v>149</v>
      </c>
      <c r="P42" s="9" t="s">
        <v>306</v>
      </c>
      <c r="Q42" s="9" t="s">
        <v>307</v>
      </c>
      <c r="R42" s="9"/>
      <c r="S42" s="9"/>
      <c r="T42" s="9"/>
      <c r="U42" s="9"/>
      <c r="V42" s="36"/>
      <c r="W42" s="9" t="s">
        <v>46</v>
      </c>
      <c r="X42" s="9" t="s">
        <v>461</v>
      </c>
      <c r="Y42" s="9" t="s">
        <v>461</v>
      </c>
      <c r="Z42" s="9" t="s">
        <v>461</v>
      </c>
      <c r="AA42" s="9" t="s">
        <v>461</v>
      </c>
      <c r="AB42" s="45" t="s">
        <v>46</v>
      </c>
      <c r="AC42" s="9"/>
      <c r="AD42" s="9"/>
      <c r="AE42" s="9"/>
      <c r="AF42" s="9"/>
      <c r="AG42" s="45" t="str">
        <f t="shared" si="2"/>
        <v>V</v>
      </c>
      <c r="AH42" s="45" t="s">
        <v>46</v>
      </c>
      <c r="AI42" s="57"/>
      <c r="AJ42" s="45" t="s">
        <v>607</v>
      </c>
      <c r="AK42" s="45"/>
    </row>
    <row r="43" spans="1:37" ht="16.5" customHeight="1" x14ac:dyDescent="0.3">
      <c r="A43" s="26">
        <v>38</v>
      </c>
      <c r="B43" s="7" t="s">
        <v>122</v>
      </c>
      <c r="C43" s="7">
        <v>1545810</v>
      </c>
      <c r="D43" s="3" t="s">
        <v>308</v>
      </c>
      <c r="E43" s="7">
        <v>1001330099</v>
      </c>
      <c r="F43" s="3" t="s">
        <v>309</v>
      </c>
      <c r="G43" s="7" t="s">
        <v>33</v>
      </c>
      <c r="H43" s="7" t="s">
        <v>510</v>
      </c>
      <c r="I43" s="7" t="s">
        <v>310</v>
      </c>
      <c r="J43" s="3" t="s">
        <v>62</v>
      </c>
      <c r="K43" s="3" t="s">
        <v>91</v>
      </c>
      <c r="L43" s="9"/>
      <c r="M43" s="7" t="s">
        <v>173</v>
      </c>
      <c r="N43" s="7" t="s">
        <v>148</v>
      </c>
      <c r="O43" s="7" t="s">
        <v>311</v>
      </c>
      <c r="P43" s="7" t="s">
        <v>312</v>
      </c>
      <c r="Q43" s="7" t="s">
        <v>313</v>
      </c>
      <c r="R43" s="7" t="s">
        <v>314</v>
      </c>
      <c r="S43" s="7" t="s">
        <v>315</v>
      </c>
      <c r="T43" s="9"/>
      <c r="U43" s="8"/>
      <c r="V43" s="33"/>
      <c r="W43" s="9" t="s">
        <v>46</v>
      </c>
      <c r="X43" s="9" t="s">
        <v>461</v>
      </c>
      <c r="Y43" s="9" t="s">
        <v>461</v>
      </c>
      <c r="Z43" s="9"/>
      <c r="AA43" s="9" t="s">
        <v>461</v>
      </c>
      <c r="AB43" s="9" t="s">
        <v>461</v>
      </c>
      <c r="AC43" s="9" t="s">
        <v>461</v>
      </c>
      <c r="AD43" s="9" t="s">
        <v>461</v>
      </c>
      <c r="AE43" s="9" t="s">
        <v>461</v>
      </c>
      <c r="AF43" s="9" t="s">
        <v>461</v>
      </c>
      <c r="AG43" s="45" t="str">
        <f t="shared" si="2"/>
        <v>V</v>
      </c>
      <c r="AH43" s="45" t="s">
        <v>461</v>
      </c>
      <c r="AI43" s="45" t="s">
        <v>46</v>
      </c>
      <c r="AJ43" s="45" t="s">
        <v>607</v>
      </c>
      <c r="AK43" s="45"/>
    </row>
    <row r="44" spans="1:37" ht="16.5" customHeight="1" x14ac:dyDescent="0.3">
      <c r="A44" s="27">
        <v>39</v>
      </c>
      <c r="B44" s="28" t="s">
        <v>116</v>
      </c>
      <c r="C44" s="28">
        <v>1516793</v>
      </c>
      <c r="D44" s="29" t="s">
        <v>316</v>
      </c>
      <c r="E44" s="28">
        <v>1000317517</v>
      </c>
      <c r="F44" s="29" t="s">
        <v>317</v>
      </c>
      <c r="G44" s="28" t="s">
        <v>33</v>
      </c>
      <c r="H44" s="7" t="s">
        <v>510</v>
      </c>
      <c r="I44" s="28" t="s">
        <v>34</v>
      </c>
      <c r="J44" s="29" t="s">
        <v>318</v>
      </c>
      <c r="K44" s="29" t="s">
        <v>138</v>
      </c>
      <c r="L44" s="9" t="s">
        <v>146</v>
      </c>
      <c r="M44" s="28" t="s">
        <v>173</v>
      </c>
      <c r="N44" s="28" t="s">
        <v>93</v>
      </c>
      <c r="O44" s="28" t="s">
        <v>243</v>
      </c>
      <c r="P44" s="28" t="s">
        <v>319</v>
      </c>
      <c r="Q44" s="28" t="s">
        <v>320</v>
      </c>
      <c r="R44" s="28" t="s">
        <v>452</v>
      </c>
      <c r="S44" s="28"/>
      <c r="T44" s="9" t="s">
        <v>45</v>
      </c>
      <c r="U44" s="9"/>
      <c r="V44" s="34"/>
      <c r="W44" s="9" t="s">
        <v>46</v>
      </c>
      <c r="X44" s="9" t="s">
        <v>461</v>
      </c>
      <c r="Y44" s="9" t="s">
        <v>461</v>
      </c>
      <c r="Z44" s="9" t="s">
        <v>461</v>
      </c>
      <c r="AA44" s="9" t="s">
        <v>461</v>
      </c>
      <c r="AB44" s="45" t="s">
        <v>46</v>
      </c>
      <c r="AC44" s="9" t="s">
        <v>461</v>
      </c>
      <c r="AD44" s="9" t="s">
        <v>461</v>
      </c>
      <c r="AE44" s="9" t="s">
        <v>461</v>
      </c>
      <c r="AF44" s="9" t="s">
        <v>461</v>
      </c>
      <c r="AG44" s="45" t="str">
        <f t="shared" si="2"/>
        <v>V</v>
      </c>
      <c r="AH44" s="45" t="s">
        <v>46</v>
      </c>
      <c r="AI44" s="56" t="s">
        <v>46</v>
      </c>
      <c r="AJ44" s="45" t="s">
        <v>461</v>
      </c>
      <c r="AK44" s="45"/>
    </row>
    <row r="45" spans="1:37" ht="16.5" hidden="1" customHeight="1" x14ac:dyDescent="0.3">
      <c r="A45" s="30">
        <v>40</v>
      </c>
      <c r="B45" s="9" t="s">
        <v>47</v>
      </c>
      <c r="C45" s="9">
        <v>1545633</v>
      </c>
      <c r="D45" s="10" t="s">
        <v>321</v>
      </c>
      <c r="E45" s="9">
        <v>1000314979</v>
      </c>
      <c r="F45" s="10" t="s">
        <v>322</v>
      </c>
      <c r="G45" s="9" t="s">
        <v>109</v>
      </c>
      <c r="H45" s="9"/>
      <c r="I45" s="9" t="s">
        <v>34</v>
      </c>
      <c r="J45" s="10" t="s">
        <v>323</v>
      </c>
      <c r="K45" s="10"/>
      <c r="L45" s="9"/>
      <c r="M45" s="28"/>
      <c r="N45" s="9"/>
      <c r="O45" s="9"/>
      <c r="P45" s="9"/>
      <c r="Q45" s="9"/>
      <c r="R45" s="9"/>
      <c r="S45" s="9"/>
      <c r="T45" s="9"/>
      <c r="U45" s="9" t="s">
        <v>63</v>
      </c>
      <c r="V45" s="36" t="s">
        <v>622</v>
      </c>
      <c r="W45" s="9"/>
      <c r="X45" s="9" t="s">
        <v>461</v>
      </c>
      <c r="Y45" s="9"/>
      <c r="Z45" s="9"/>
      <c r="AA45" s="9"/>
      <c r="AB45" s="45"/>
      <c r="AC45" s="9"/>
      <c r="AD45" s="9"/>
      <c r="AE45" s="9"/>
      <c r="AF45" s="9"/>
      <c r="AG45" s="45" t="str">
        <f t="shared" si="2"/>
        <v/>
      </c>
      <c r="AH45" s="45"/>
      <c r="AI45" s="45"/>
      <c r="AJ45" s="45"/>
      <c r="AK45" s="45"/>
    </row>
    <row r="46" spans="1:37" ht="16.5" customHeight="1" x14ac:dyDescent="0.3">
      <c r="A46" s="26">
        <v>41</v>
      </c>
      <c r="B46" s="7" t="s">
        <v>86</v>
      </c>
      <c r="C46" s="7">
        <v>1529786</v>
      </c>
      <c r="D46" s="3" t="s">
        <v>324</v>
      </c>
      <c r="E46" s="7">
        <v>1000676800</v>
      </c>
      <c r="F46" s="3" t="s">
        <v>325</v>
      </c>
      <c r="G46" s="7" t="s">
        <v>109</v>
      </c>
      <c r="H46" s="7" t="s">
        <v>510</v>
      </c>
      <c r="I46" s="7" t="s">
        <v>34</v>
      </c>
      <c r="J46" s="3" t="s">
        <v>274</v>
      </c>
      <c r="K46" s="3" t="s">
        <v>36</v>
      </c>
      <c r="L46" s="9" t="s">
        <v>37</v>
      </c>
      <c r="M46" s="7" t="s">
        <v>147</v>
      </c>
      <c r="N46" s="7" t="s">
        <v>81</v>
      </c>
      <c r="O46" s="7" t="s">
        <v>94</v>
      </c>
      <c r="P46" s="7" t="s">
        <v>95</v>
      </c>
      <c r="Q46" s="7" t="s">
        <v>326</v>
      </c>
      <c r="R46" s="7"/>
      <c r="S46" s="7"/>
      <c r="T46" s="9"/>
      <c r="U46" s="8" t="s">
        <v>498</v>
      </c>
      <c r="V46" s="33" t="s">
        <v>502</v>
      </c>
      <c r="W46" s="9" t="s">
        <v>46</v>
      </c>
      <c r="X46" s="9" t="s">
        <v>461</v>
      </c>
      <c r="Y46" s="9" t="s">
        <v>461</v>
      </c>
      <c r="Z46" s="9" t="s">
        <v>461</v>
      </c>
      <c r="AA46" s="9" t="s">
        <v>461</v>
      </c>
      <c r="AB46" s="45"/>
      <c r="AC46" s="9"/>
      <c r="AD46" s="9"/>
      <c r="AE46" s="9"/>
      <c r="AF46" s="9"/>
      <c r="AG46" s="45" t="str">
        <f t="shared" si="2"/>
        <v>V</v>
      </c>
      <c r="AH46" s="45" t="s">
        <v>46</v>
      </c>
      <c r="AI46" s="45" t="s">
        <v>46</v>
      </c>
      <c r="AJ46" s="45" t="s">
        <v>461</v>
      </c>
      <c r="AK46" s="45"/>
    </row>
    <row r="47" spans="1:37" ht="16.5" customHeight="1" x14ac:dyDescent="0.3">
      <c r="A47" s="26">
        <v>42</v>
      </c>
      <c r="B47" s="7" t="s">
        <v>65</v>
      </c>
      <c r="C47" s="7">
        <v>1548549</v>
      </c>
      <c r="D47" s="3" t="s">
        <v>327</v>
      </c>
      <c r="E47" s="7">
        <v>1000772068</v>
      </c>
      <c r="F47" s="3" t="s">
        <v>328</v>
      </c>
      <c r="G47" s="7" t="s">
        <v>109</v>
      </c>
      <c r="H47" s="7" t="s">
        <v>510</v>
      </c>
      <c r="I47" s="7" t="s">
        <v>34</v>
      </c>
      <c r="J47" s="3" t="s">
        <v>34</v>
      </c>
      <c r="K47" s="3" t="s">
        <v>36</v>
      </c>
      <c r="L47" s="9"/>
      <c r="M47" s="7" t="s">
        <v>100</v>
      </c>
      <c r="N47" s="7" t="s">
        <v>329</v>
      </c>
      <c r="O47" s="7" t="s">
        <v>330</v>
      </c>
      <c r="P47" s="7" t="s">
        <v>331</v>
      </c>
      <c r="Q47" s="7" t="s">
        <v>445</v>
      </c>
      <c r="R47" s="7" t="s">
        <v>332</v>
      </c>
      <c r="S47" s="7"/>
      <c r="T47" s="9"/>
      <c r="U47" s="8"/>
      <c r="V47" s="33"/>
      <c r="W47" s="9" t="s">
        <v>46</v>
      </c>
      <c r="X47" s="9" t="s">
        <v>461</v>
      </c>
      <c r="Y47" s="9" t="s">
        <v>461</v>
      </c>
      <c r="Z47" s="9" t="s">
        <v>461</v>
      </c>
      <c r="AA47" s="9" t="s">
        <v>461</v>
      </c>
      <c r="AB47" s="45" t="s">
        <v>46</v>
      </c>
      <c r="AC47" s="9"/>
      <c r="AD47" s="9"/>
      <c r="AE47" s="9"/>
      <c r="AF47" s="9"/>
      <c r="AG47" s="45" t="str">
        <f t="shared" si="2"/>
        <v>V</v>
      </c>
      <c r="AH47" s="45" t="s">
        <v>46</v>
      </c>
      <c r="AI47" s="45" t="s">
        <v>46</v>
      </c>
      <c r="AJ47" s="45" t="s">
        <v>461</v>
      </c>
      <c r="AK47" s="45"/>
    </row>
    <row r="48" spans="1:37" ht="16.5" customHeight="1" x14ac:dyDescent="0.3">
      <c r="A48" s="26">
        <v>43</v>
      </c>
      <c r="B48" s="7" t="s">
        <v>65</v>
      </c>
      <c r="C48" s="7">
        <v>1548319</v>
      </c>
      <c r="D48" s="3" t="s">
        <v>333</v>
      </c>
      <c r="E48" s="7">
        <v>1000314686</v>
      </c>
      <c r="F48" s="3" t="s">
        <v>334</v>
      </c>
      <c r="G48" s="7" t="s">
        <v>33</v>
      </c>
      <c r="H48" s="7" t="s">
        <v>510</v>
      </c>
      <c r="I48" s="7" t="s">
        <v>89</v>
      </c>
      <c r="J48" s="3" t="s">
        <v>335</v>
      </c>
      <c r="K48" s="3" t="s">
        <v>91</v>
      </c>
      <c r="L48" s="9"/>
      <c r="M48" s="7" t="s">
        <v>51</v>
      </c>
      <c r="N48" s="7" t="s">
        <v>336</v>
      </c>
      <c r="O48" s="7" t="s">
        <v>337</v>
      </c>
      <c r="P48" s="7" t="s">
        <v>238</v>
      </c>
      <c r="Q48" s="7" t="s">
        <v>338</v>
      </c>
      <c r="R48" s="7" t="s">
        <v>446</v>
      </c>
      <c r="S48" s="7"/>
      <c r="T48" s="9"/>
      <c r="U48" s="8"/>
      <c r="V48" s="33"/>
      <c r="W48" s="9" t="s">
        <v>46</v>
      </c>
      <c r="X48" s="9" t="s">
        <v>461</v>
      </c>
      <c r="Y48" s="9" t="s">
        <v>461</v>
      </c>
      <c r="Z48" s="9" t="s">
        <v>461</v>
      </c>
      <c r="AA48" s="9" t="s">
        <v>461</v>
      </c>
      <c r="AB48" s="45" t="s">
        <v>46</v>
      </c>
      <c r="AC48" s="9" t="s">
        <v>461</v>
      </c>
      <c r="AD48" s="9" t="s">
        <v>461</v>
      </c>
      <c r="AE48" s="9" t="s">
        <v>461</v>
      </c>
      <c r="AF48" s="9" t="s">
        <v>461</v>
      </c>
      <c r="AG48" s="45" t="str">
        <f t="shared" si="2"/>
        <v>V</v>
      </c>
      <c r="AH48" s="45" t="s">
        <v>46</v>
      </c>
      <c r="AI48" s="45" t="s">
        <v>46</v>
      </c>
      <c r="AJ48" s="45" t="s">
        <v>461</v>
      </c>
      <c r="AK48" s="45"/>
    </row>
    <row r="49" spans="1:37" ht="16.5" customHeight="1" x14ac:dyDescent="0.3">
      <c r="A49" s="26">
        <v>44</v>
      </c>
      <c r="B49" s="7" t="s">
        <v>154</v>
      </c>
      <c r="C49" s="7">
        <v>1550023</v>
      </c>
      <c r="D49" s="3" t="s">
        <v>339</v>
      </c>
      <c r="E49" s="7">
        <v>1000682277</v>
      </c>
      <c r="F49" s="3" t="s">
        <v>340</v>
      </c>
      <c r="G49" s="7" t="s">
        <v>109</v>
      </c>
      <c r="H49" s="7" t="s">
        <v>510</v>
      </c>
      <c r="I49" s="7" t="s">
        <v>34</v>
      </c>
      <c r="J49" s="3" t="s">
        <v>341</v>
      </c>
      <c r="K49" s="3" t="s">
        <v>36</v>
      </c>
      <c r="L49" s="9"/>
      <c r="M49" s="7" t="s">
        <v>79</v>
      </c>
      <c r="N49" s="7" t="s">
        <v>342</v>
      </c>
      <c r="O49" s="7" t="s">
        <v>39</v>
      </c>
      <c r="P49" s="7" t="s">
        <v>343</v>
      </c>
      <c r="Q49" s="7" t="s">
        <v>344</v>
      </c>
      <c r="R49" s="7" t="s">
        <v>345</v>
      </c>
      <c r="S49" s="7" t="s">
        <v>346</v>
      </c>
      <c r="T49" s="9"/>
      <c r="U49" s="8"/>
      <c r="V49" s="33"/>
      <c r="W49" s="9" t="s">
        <v>46</v>
      </c>
      <c r="X49" s="9" t="s">
        <v>461</v>
      </c>
      <c r="Y49" s="9" t="s">
        <v>461</v>
      </c>
      <c r="Z49" s="9" t="s">
        <v>461</v>
      </c>
      <c r="AA49" s="9" t="s">
        <v>461</v>
      </c>
      <c r="AB49" s="45" t="s">
        <v>46</v>
      </c>
      <c r="AC49" s="9"/>
      <c r="AD49" s="9"/>
      <c r="AE49" s="9"/>
      <c r="AF49" s="9"/>
      <c r="AG49" s="45" t="str">
        <f t="shared" si="2"/>
        <v>V</v>
      </c>
      <c r="AH49" s="45" t="s">
        <v>46</v>
      </c>
      <c r="AI49" s="45" t="s">
        <v>46</v>
      </c>
      <c r="AJ49" s="45" t="s">
        <v>461</v>
      </c>
      <c r="AK49" s="45"/>
    </row>
    <row r="50" spans="1:37" ht="16.5" customHeight="1" x14ac:dyDescent="0.3">
      <c r="A50" s="26">
        <v>45</v>
      </c>
      <c r="B50" s="7" t="s">
        <v>30</v>
      </c>
      <c r="C50" s="7">
        <v>1546794</v>
      </c>
      <c r="D50" s="3" t="s">
        <v>347</v>
      </c>
      <c r="E50" s="7">
        <v>1000315676</v>
      </c>
      <c r="F50" s="3" t="s">
        <v>348</v>
      </c>
      <c r="G50" s="7" t="s">
        <v>33</v>
      </c>
      <c r="H50" s="7" t="s">
        <v>510</v>
      </c>
      <c r="I50" s="7" t="s">
        <v>34</v>
      </c>
      <c r="J50" s="3" t="s">
        <v>99</v>
      </c>
      <c r="K50" s="3" t="s">
        <v>36</v>
      </c>
      <c r="L50" s="9"/>
      <c r="M50" s="7" t="s">
        <v>268</v>
      </c>
      <c r="N50" s="7" t="s">
        <v>53</v>
      </c>
      <c r="O50" s="7" t="s">
        <v>349</v>
      </c>
      <c r="P50" s="7" t="s">
        <v>218</v>
      </c>
      <c r="Q50" s="7" t="s">
        <v>350</v>
      </c>
      <c r="R50" s="7" t="s">
        <v>351</v>
      </c>
      <c r="S50" s="7" t="s">
        <v>481</v>
      </c>
      <c r="T50" s="9"/>
      <c r="U50" s="8"/>
      <c r="V50" s="33"/>
      <c r="W50" s="9" t="s">
        <v>46</v>
      </c>
      <c r="X50" s="9" t="s">
        <v>461</v>
      </c>
      <c r="Y50" s="9" t="s">
        <v>461</v>
      </c>
      <c r="Z50" s="9" t="s">
        <v>461</v>
      </c>
      <c r="AA50" s="9" t="s">
        <v>461</v>
      </c>
      <c r="AB50" s="45" t="s">
        <v>46</v>
      </c>
      <c r="AC50" s="9" t="s">
        <v>461</v>
      </c>
      <c r="AD50" s="9" t="s">
        <v>461</v>
      </c>
      <c r="AE50" s="9" t="s">
        <v>461</v>
      </c>
      <c r="AF50" s="9" t="s">
        <v>461</v>
      </c>
      <c r="AG50" s="45" t="str">
        <f t="shared" si="2"/>
        <v>V</v>
      </c>
      <c r="AH50" s="45" t="s">
        <v>46</v>
      </c>
      <c r="AI50" s="45" t="s">
        <v>46</v>
      </c>
      <c r="AJ50" s="45" t="s">
        <v>461</v>
      </c>
      <c r="AK50" s="45"/>
    </row>
    <row r="51" spans="1:37" ht="16.5" customHeight="1" x14ac:dyDescent="0.3">
      <c r="A51" s="26">
        <v>46</v>
      </c>
      <c r="B51" s="7" t="s">
        <v>86</v>
      </c>
      <c r="C51" s="7">
        <v>1548415</v>
      </c>
      <c r="D51" s="3" t="s">
        <v>352</v>
      </c>
      <c r="E51" s="7">
        <v>1000325286</v>
      </c>
      <c r="F51" s="3" t="s">
        <v>353</v>
      </c>
      <c r="G51" s="7" t="s">
        <v>354</v>
      </c>
      <c r="H51" s="7" t="s">
        <v>510</v>
      </c>
      <c r="I51" s="7" t="s">
        <v>34</v>
      </c>
      <c r="J51" s="3" t="s">
        <v>157</v>
      </c>
      <c r="K51" s="3" t="s">
        <v>127</v>
      </c>
      <c r="L51" s="9"/>
      <c r="M51" s="7" t="s">
        <v>147</v>
      </c>
      <c r="N51" s="7" t="s">
        <v>355</v>
      </c>
      <c r="O51" s="7" t="s">
        <v>356</v>
      </c>
      <c r="P51" s="7" t="s">
        <v>357</v>
      </c>
      <c r="Q51" s="7" t="s">
        <v>448</v>
      </c>
      <c r="R51" s="7" t="s">
        <v>449</v>
      </c>
      <c r="S51" s="7"/>
      <c r="T51" s="9"/>
      <c r="U51" s="8"/>
      <c r="V51" s="33"/>
      <c r="W51" s="9" t="s">
        <v>46</v>
      </c>
      <c r="X51" s="9" t="s">
        <v>461</v>
      </c>
      <c r="Y51" s="9" t="s">
        <v>461</v>
      </c>
      <c r="Z51" s="9" t="s">
        <v>461</v>
      </c>
      <c r="AA51" s="9" t="s">
        <v>461</v>
      </c>
      <c r="AB51" s="45" t="s">
        <v>46</v>
      </c>
      <c r="AC51" s="9" t="s">
        <v>461</v>
      </c>
      <c r="AD51" s="9" t="s">
        <v>461</v>
      </c>
      <c r="AE51" s="9" t="s">
        <v>461</v>
      </c>
      <c r="AF51" s="9" t="s">
        <v>461</v>
      </c>
      <c r="AG51" s="45" t="str">
        <f t="shared" si="2"/>
        <v>V</v>
      </c>
      <c r="AH51" s="45" t="s">
        <v>46</v>
      </c>
      <c r="AI51" s="55"/>
      <c r="AJ51" s="45" t="s">
        <v>461</v>
      </c>
      <c r="AK51" s="45"/>
    </row>
    <row r="52" spans="1:37" ht="16.5" customHeight="1" x14ac:dyDescent="0.3">
      <c r="A52" s="26">
        <v>47</v>
      </c>
      <c r="B52" s="7" t="s">
        <v>358</v>
      </c>
      <c r="C52" s="7">
        <v>1545760</v>
      </c>
      <c r="D52" s="3" t="s">
        <v>359</v>
      </c>
      <c r="E52" s="7">
        <v>1000325445</v>
      </c>
      <c r="F52" s="3" t="s">
        <v>360</v>
      </c>
      <c r="G52" s="7" t="s">
        <v>354</v>
      </c>
      <c r="H52" s="7" t="s">
        <v>510</v>
      </c>
      <c r="I52" s="7" t="s">
        <v>34</v>
      </c>
      <c r="J52" s="3" t="s">
        <v>361</v>
      </c>
      <c r="K52" s="3" t="s">
        <v>36</v>
      </c>
      <c r="L52" s="9"/>
      <c r="M52" s="7" t="s">
        <v>362</v>
      </c>
      <c r="N52" s="7" t="s">
        <v>216</v>
      </c>
      <c r="O52" s="7" t="s">
        <v>363</v>
      </c>
      <c r="P52" s="7" t="s">
        <v>364</v>
      </c>
      <c r="Q52" s="7" t="s">
        <v>365</v>
      </c>
      <c r="R52" s="7" t="s">
        <v>366</v>
      </c>
      <c r="S52" s="7"/>
      <c r="T52" s="9" t="s">
        <v>45</v>
      </c>
      <c r="U52" s="8"/>
      <c r="V52" s="33"/>
      <c r="W52" s="9" t="s">
        <v>46</v>
      </c>
      <c r="X52" s="9" t="s">
        <v>461</v>
      </c>
      <c r="Y52" s="9" t="s">
        <v>461</v>
      </c>
      <c r="Z52" s="9"/>
      <c r="AA52" s="9" t="s">
        <v>461</v>
      </c>
      <c r="AB52" s="45" t="s">
        <v>46</v>
      </c>
      <c r="AC52" s="9" t="s">
        <v>46</v>
      </c>
      <c r="AD52" s="9" t="s">
        <v>461</v>
      </c>
      <c r="AE52" s="9" t="s">
        <v>461</v>
      </c>
      <c r="AF52" s="9" t="s">
        <v>461</v>
      </c>
      <c r="AG52" s="45" t="str">
        <f t="shared" si="2"/>
        <v>V</v>
      </c>
      <c r="AH52" s="45" t="s">
        <v>46</v>
      </c>
      <c r="AI52" s="54"/>
      <c r="AJ52" s="45" t="s">
        <v>461</v>
      </c>
      <c r="AK52" s="45"/>
    </row>
    <row r="53" spans="1:37" ht="16.5" hidden="1" customHeight="1" x14ac:dyDescent="0.3">
      <c r="A53" s="26">
        <v>48</v>
      </c>
      <c r="B53" s="7" t="s">
        <v>358</v>
      </c>
      <c r="C53" s="7">
        <v>1546464</v>
      </c>
      <c r="D53" s="3" t="s">
        <v>367</v>
      </c>
      <c r="E53" s="7">
        <v>1000851251</v>
      </c>
      <c r="F53" s="3" t="s">
        <v>368</v>
      </c>
      <c r="G53" s="7" t="s">
        <v>354</v>
      </c>
      <c r="H53" s="7"/>
      <c r="I53" s="7" t="s">
        <v>110</v>
      </c>
      <c r="J53" s="3" t="s">
        <v>615</v>
      </c>
      <c r="K53" s="3" t="s">
        <v>369</v>
      </c>
      <c r="L53" s="9"/>
      <c r="M53" s="7" t="s">
        <v>362</v>
      </c>
      <c r="N53" s="7" t="s">
        <v>102</v>
      </c>
      <c r="O53" s="7" t="s">
        <v>370</v>
      </c>
      <c r="P53" s="7" t="s">
        <v>371</v>
      </c>
      <c r="Q53" s="7" t="s">
        <v>372</v>
      </c>
      <c r="R53" s="7"/>
      <c r="S53" s="7"/>
      <c r="T53" s="9"/>
      <c r="U53" s="8" t="s">
        <v>373</v>
      </c>
      <c r="V53" s="37" t="s">
        <v>374</v>
      </c>
      <c r="W53" s="9" t="s">
        <v>461</v>
      </c>
      <c r="X53" s="9" t="s">
        <v>461</v>
      </c>
      <c r="Y53" s="9" t="s">
        <v>461</v>
      </c>
      <c r="Z53" s="9"/>
      <c r="AA53" s="9"/>
      <c r="AB53" s="45"/>
      <c r="AC53" s="39"/>
      <c r="AD53" s="9"/>
      <c r="AE53" s="9"/>
      <c r="AF53" s="9"/>
      <c r="AG53" s="45" t="str">
        <f t="shared" si="2"/>
        <v/>
      </c>
      <c r="AH53" s="45"/>
      <c r="AI53" s="45"/>
      <c r="AJ53" s="45"/>
      <c r="AK53" s="45"/>
    </row>
    <row r="54" spans="1:37" ht="16.5" customHeight="1" x14ac:dyDescent="0.3">
      <c r="A54" s="26">
        <v>49</v>
      </c>
      <c r="B54" s="7" t="s">
        <v>375</v>
      </c>
      <c r="C54" s="7">
        <v>1533193</v>
      </c>
      <c r="D54" s="3" t="s">
        <v>376</v>
      </c>
      <c r="E54" s="7">
        <v>1000709046</v>
      </c>
      <c r="F54" s="3" t="s">
        <v>377</v>
      </c>
      <c r="G54" s="7" t="s">
        <v>378</v>
      </c>
      <c r="H54" s="7" t="s">
        <v>510</v>
      </c>
      <c r="I54" s="7" t="s">
        <v>379</v>
      </c>
      <c r="J54" s="3" t="s">
        <v>380</v>
      </c>
      <c r="K54" s="3" t="s">
        <v>381</v>
      </c>
      <c r="L54" s="9" t="s">
        <v>382</v>
      </c>
      <c r="M54" s="7" t="s">
        <v>362</v>
      </c>
      <c r="N54" s="7" t="s">
        <v>383</v>
      </c>
      <c r="O54" s="7" t="s">
        <v>384</v>
      </c>
      <c r="P54" s="7" t="s">
        <v>385</v>
      </c>
      <c r="Q54" s="7" t="s">
        <v>386</v>
      </c>
      <c r="R54" s="7"/>
      <c r="S54" s="7"/>
      <c r="T54" s="9"/>
      <c r="U54" s="8" t="s">
        <v>458</v>
      </c>
      <c r="V54" s="33" t="s">
        <v>454</v>
      </c>
      <c r="W54" s="9" t="s">
        <v>461</v>
      </c>
      <c r="X54" s="9" t="s">
        <v>461</v>
      </c>
      <c r="Y54" s="9" t="s">
        <v>461</v>
      </c>
      <c r="Z54" s="9" t="s">
        <v>461</v>
      </c>
      <c r="AA54" s="9"/>
      <c r="AB54" s="45"/>
      <c r="AC54" s="9"/>
      <c r="AD54" s="9"/>
      <c r="AE54" s="9"/>
      <c r="AF54" s="9"/>
      <c r="AG54" s="45" t="str">
        <f t="shared" si="2"/>
        <v>V</v>
      </c>
      <c r="AH54" s="45" t="s">
        <v>46</v>
      </c>
      <c r="AI54" s="45" t="s">
        <v>46</v>
      </c>
      <c r="AJ54" s="45" t="s">
        <v>606</v>
      </c>
      <c r="AK54" s="45"/>
    </row>
    <row r="55" spans="1:37" ht="16.5" customHeight="1" x14ac:dyDescent="0.3">
      <c r="A55" s="26">
        <v>50</v>
      </c>
      <c r="B55" s="7" t="s">
        <v>387</v>
      </c>
      <c r="C55" s="7">
        <v>1527656</v>
      </c>
      <c r="D55" s="3" t="s">
        <v>388</v>
      </c>
      <c r="E55" s="7">
        <v>1000764277</v>
      </c>
      <c r="F55" s="3" t="s">
        <v>389</v>
      </c>
      <c r="G55" s="7" t="s">
        <v>378</v>
      </c>
      <c r="H55" s="7" t="s">
        <v>510</v>
      </c>
      <c r="I55" s="7" t="s">
        <v>379</v>
      </c>
      <c r="J55" s="3" t="s">
        <v>390</v>
      </c>
      <c r="K55" s="3" t="s">
        <v>381</v>
      </c>
      <c r="L55" s="9"/>
      <c r="M55" s="7" t="s">
        <v>362</v>
      </c>
      <c r="N55" s="7" t="s">
        <v>391</v>
      </c>
      <c r="O55" s="7" t="s">
        <v>392</v>
      </c>
      <c r="P55" s="7" t="s">
        <v>393</v>
      </c>
      <c r="Q55" s="7" t="s">
        <v>394</v>
      </c>
      <c r="R55" s="7" t="s">
        <v>395</v>
      </c>
      <c r="S55" s="7" t="s">
        <v>396</v>
      </c>
      <c r="T55" s="30"/>
      <c r="U55" s="8"/>
      <c r="V55" s="33"/>
      <c r="W55" s="9" t="s">
        <v>46</v>
      </c>
      <c r="X55" s="9" t="s">
        <v>46</v>
      </c>
      <c r="Y55" s="9" t="s">
        <v>461</v>
      </c>
      <c r="Z55" s="9" t="s">
        <v>461</v>
      </c>
      <c r="AA55" s="9" t="s">
        <v>461</v>
      </c>
      <c r="AB55" s="45" t="s">
        <v>46</v>
      </c>
      <c r="AC55" s="9" t="s">
        <v>461</v>
      </c>
      <c r="AD55" s="9" t="s">
        <v>461</v>
      </c>
      <c r="AE55" s="9" t="s">
        <v>461</v>
      </c>
      <c r="AF55" s="9" t="s">
        <v>46</v>
      </c>
      <c r="AG55" s="45" t="str">
        <f t="shared" si="2"/>
        <v>V</v>
      </c>
      <c r="AH55" s="45" t="s">
        <v>46</v>
      </c>
      <c r="AI55" s="45" t="s">
        <v>46</v>
      </c>
      <c r="AJ55" s="45" t="s">
        <v>606</v>
      </c>
      <c r="AK55" s="45"/>
    </row>
    <row r="56" spans="1:37" ht="16.5" customHeight="1" x14ac:dyDescent="0.3">
      <c r="A56" s="26">
        <v>51</v>
      </c>
      <c r="B56" s="7" t="s">
        <v>58</v>
      </c>
      <c r="C56" s="7">
        <v>1545490</v>
      </c>
      <c r="D56" s="3" t="s">
        <v>397</v>
      </c>
      <c r="E56" s="7">
        <v>1001044635</v>
      </c>
      <c r="F56" s="3" t="s">
        <v>398</v>
      </c>
      <c r="G56" s="7" t="s">
        <v>33</v>
      </c>
      <c r="H56" s="7" t="s">
        <v>510</v>
      </c>
      <c r="I56" s="7" t="s">
        <v>34</v>
      </c>
      <c r="J56" s="3" t="s">
        <v>399</v>
      </c>
      <c r="K56" s="3" t="s">
        <v>138</v>
      </c>
      <c r="L56" s="9"/>
      <c r="M56" s="7" t="s">
        <v>70</v>
      </c>
      <c r="N56" s="7" t="s">
        <v>282</v>
      </c>
      <c r="O56" s="7" t="s">
        <v>283</v>
      </c>
      <c r="P56" s="7" t="s">
        <v>400</v>
      </c>
      <c r="Q56" s="7" t="s">
        <v>401</v>
      </c>
      <c r="R56" s="7" t="s">
        <v>402</v>
      </c>
      <c r="S56" s="7" t="s">
        <v>403</v>
      </c>
      <c r="T56" s="9"/>
      <c r="U56" s="8" t="s">
        <v>404</v>
      </c>
      <c r="V56" s="33"/>
      <c r="W56" s="9" t="s">
        <v>46</v>
      </c>
      <c r="X56" s="9"/>
      <c r="Y56" s="9" t="s">
        <v>461</v>
      </c>
      <c r="Z56" s="9" t="s">
        <v>461</v>
      </c>
      <c r="AA56" s="9" t="s">
        <v>461</v>
      </c>
      <c r="AB56" s="45" t="s">
        <v>46</v>
      </c>
      <c r="AC56" s="9" t="s">
        <v>461</v>
      </c>
      <c r="AD56" s="9" t="s">
        <v>461</v>
      </c>
      <c r="AE56" s="9" t="s">
        <v>461</v>
      </c>
      <c r="AF56" s="9" t="s">
        <v>461</v>
      </c>
      <c r="AG56" s="45" t="str">
        <f t="shared" si="2"/>
        <v>V</v>
      </c>
      <c r="AH56" s="45" t="s">
        <v>46</v>
      </c>
      <c r="AI56" s="45" t="s">
        <v>46</v>
      </c>
      <c r="AJ56" s="45" t="s">
        <v>606</v>
      </c>
      <c r="AK56" s="45"/>
    </row>
    <row r="57" spans="1:37" ht="16.5" customHeight="1" x14ac:dyDescent="0.3">
      <c r="A57" s="26">
        <v>52</v>
      </c>
      <c r="B57" s="7" t="s">
        <v>30</v>
      </c>
      <c r="C57" s="7">
        <v>1550076</v>
      </c>
      <c r="D57" s="3" t="s">
        <v>405</v>
      </c>
      <c r="E57" s="7">
        <v>1000317541</v>
      </c>
      <c r="F57" s="3" t="s">
        <v>406</v>
      </c>
      <c r="G57" s="7" t="s">
        <v>33</v>
      </c>
      <c r="H57" s="7" t="s">
        <v>510</v>
      </c>
      <c r="I57" s="7" t="s">
        <v>34</v>
      </c>
      <c r="J57" s="3" t="s">
        <v>407</v>
      </c>
      <c r="K57" s="3" t="s">
        <v>36</v>
      </c>
      <c r="L57" s="9"/>
      <c r="M57" s="7" t="s">
        <v>268</v>
      </c>
      <c r="N57" s="7" t="s">
        <v>408</v>
      </c>
      <c r="O57" s="7" t="s">
        <v>409</v>
      </c>
      <c r="P57" s="7" t="s">
        <v>410</v>
      </c>
      <c r="Q57" s="7" t="s">
        <v>153</v>
      </c>
      <c r="R57" s="7" t="s">
        <v>411</v>
      </c>
      <c r="S57" s="7" t="s">
        <v>412</v>
      </c>
      <c r="T57" s="9" t="s">
        <v>45</v>
      </c>
      <c r="U57" s="8" t="s">
        <v>404</v>
      </c>
      <c r="V57" s="33"/>
      <c r="W57" s="9" t="s">
        <v>46</v>
      </c>
      <c r="X57" s="9"/>
      <c r="Y57" s="9" t="s">
        <v>461</v>
      </c>
      <c r="Z57" s="9" t="s">
        <v>461</v>
      </c>
      <c r="AA57" s="9" t="s">
        <v>461</v>
      </c>
      <c r="AB57" s="45" t="s">
        <v>46</v>
      </c>
      <c r="AC57" s="9" t="s">
        <v>461</v>
      </c>
      <c r="AD57" s="9" t="s">
        <v>461</v>
      </c>
      <c r="AE57" s="9" t="s">
        <v>461</v>
      </c>
      <c r="AF57" s="9" t="s">
        <v>461</v>
      </c>
      <c r="AG57" s="45" t="str">
        <f t="shared" si="2"/>
        <v>V</v>
      </c>
      <c r="AH57" s="45" t="s">
        <v>46</v>
      </c>
      <c r="AI57" s="45" t="s">
        <v>46</v>
      </c>
      <c r="AJ57" s="45" t="s">
        <v>607</v>
      </c>
      <c r="AK57" s="45"/>
    </row>
    <row r="58" spans="1:37" ht="16.5" customHeight="1" x14ac:dyDescent="0.3">
      <c r="A58" s="26">
        <v>53</v>
      </c>
      <c r="B58" s="7" t="s">
        <v>116</v>
      </c>
      <c r="C58" s="7">
        <v>1545702</v>
      </c>
      <c r="D58" s="3" t="s">
        <v>413</v>
      </c>
      <c r="E58" s="7">
        <v>1000810369</v>
      </c>
      <c r="F58" s="3" t="s">
        <v>414</v>
      </c>
      <c r="G58" s="7" t="s">
        <v>109</v>
      </c>
      <c r="H58" s="7" t="s">
        <v>510</v>
      </c>
      <c r="I58" s="7" t="s">
        <v>34</v>
      </c>
      <c r="J58" s="3" t="s">
        <v>415</v>
      </c>
      <c r="K58" s="3" t="s">
        <v>36</v>
      </c>
      <c r="L58" s="9" t="s">
        <v>146</v>
      </c>
      <c r="M58" s="7" t="s">
        <v>416</v>
      </c>
      <c r="N58" s="7" t="s">
        <v>93</v>
      </c>
      <c r="O58" s="7" t="s">
        <v>305</v>
      </c>
      <c r="P58" s="7" t="s">
        <v>141</v>
      </c>
      <c r="Q58" s="7" t="s">
        <v>417</v>
      </c>
      <c r="R58" s="7" t="s">
        <v>418</v>
      </c>
      <c r="S58" s="7"/>
      <c r="T58" s="30"/>
      <c r="U58" s="8" t="s">
        <v>453</v>
      </c>
      <c r="V58" s="38" t="s">
        <v>623</v>
      </c>
      <c r="W58" s="9" t="s">
        <v>461</v>
      </c>
      <c r="X58" s="9"/>
      <c r="Y58" s="9" t="s">
        <v>461</v>
      </c>
      <c r="Z58" s="9" t="s">
        <v>461</v>
      </c>
      <c r="AA58" s="9"/>
      <c r="AB58" s="45"/>
      <c r="AC58" s="9"/>
      <c r="AD58" s="9"/>
      <c r="AE58" s="9"/>
      <c r="AF58" s="9"/>
      <c r="AG58" s="45" t="str">
        <f t="shared" si="2"/>
        <v>V</v>
      </c>
      <c r="AH58" s="45" t="s">
        <v>46</v>
      </c>
      <c r="AI58" s="45" t="s">
        <v>46</v>
      </c>
      <c r="AJ58" s="45" t="s">
        <v>606</v>
      </c>
      <c r="AK58" s="45"/>
    </row>
    <row r="59" spans="1:37" ht="16.5" customHeight="1" x14ac:dyDescent="0.3">
      <c r="A59" s="26">
        <v>54</v>
      </c>
      <c r="B59" s="32" t="s">
        <v>30</v>
      </c>
      <c r="C59" s="7">
        <v>1545607</v>
      </c>
      <c r="D59" s="3" t="s">
        <v>419</v>
      </c>
      <c r="E59" s="7">
        <v>1001067392</v>
      </c>
      <c r="F59" s="3" t="s">
        <v>420</v>
      </c>
      <c r="G59" s="7" t="s">
        <v>354</v>
      </c>
      <c r="H59" s="7" t="s">
        <v>510</v>
      </c>
      <c r="I59" s="7" t="s">
        <v>89</v>
      </c>
      <c r="J59" s="3" t="s">
        <v>421</v>
      </c>
      <c r="K59" s="3" t="s">
        <v>91</v>
      </c>
      <c r="L59" s="9"/>
      <c r="M59" s="7" t="s">
        <v>362</v>
      </c>
      <c r="N59" s="7" t="s">
        <v>140</v>
      </c>
      <c r="O59" s="7" t="s">
        <v>422</v>
      </c>
      <c r="P59" s="7" t="s">
        <v>423</v>
      </c>
      <c r="Q59" s="7" t="s">
        <v>424</v>
      </c>
      <c r="R59" s="7" t="s">
        <v>425</v>
      </c>
      <c r="S59" s="7"/>
      <c r="T59" s="30"/>
      <c r="U59" s="8" t="s">
        <v>458</v>
      </c>
      <c r="V59" s="33" t="s">
        <v>459</v>
      </c>
      <c r="W59" s="9" t="s">
        <v>461</v>
      </c>
      <c r="X59" s="9"/>
      <c r="Y59" s="9" t="s">
        <v>461</v>
      </c>
      <c r="Z59" s="9" t="s">
        <v>461</v>
      </c>
      <c r="AA59" s="9"/>
      <c r="AB59" s="45"/>
      <c r="AC59" s="9"/>
      <c r="AD59" s="9"/>
      <c r="AE59" s="9"/>
      <c r="AF59" s="9"/>
      <c r="AG59" s="45" t="str">
        <f t="shared" si="2"/>
        <v>V</v>
      </c>
      <c r="AH59" s="45" t="s">
        <v>46</v>
      </c>
      <c r="AI59" s="53"/>
      <c r="AJ59" s="45" t="s">
        <v>607</v>
      </c>
      <c r="AK59" s="45"/>
    </row>
    <row r="60" spans="1:37" ht="16.5" customHeight="1" x14ac:dyDescent="0.3">
      <c r="A60" s="26">
        <v>55</v>
      </c>
      <c r="B60" s="32" t="s">
        <v>426</v>
      </c>
      <c r="C60" s="7">
        <v>1544619</v>
      </c>
      <c r="D60" s="3" t="s">
        <v>427</v>
      </c>
      <c r="E60" s="7">
        <v>1000316632</v>
      </c>
      <c r="F60" s="3" t="s">
        <v>428</v>
      </c>
      <c r="G60" s="7" t="s">
        <v>429</v>
      </c>
      <c r="H60" s="7" t="s">
        <v>510</v>
      </c>
      <c r="I60" s="7" t="s">
        <v>34</v>
      </c>
      <c r="J60" s="3" t="s">
        <v>430</v>
      </c>
      <c r="K60" s="3" t="s">
        <v>36</v>
      </c>
      <c r="L60" s="9"/>
      <c r="M60" s="7" t="s">
        <v>416</v>
      </c>
      <c r="N60" s="7" t="s">
        <v>431</v>
      </c>
      <c r="O60" s="7" t="s">
        <v>305</v>
      </c>
      <c r="P60" s="7" t="s">
        <v>319</v>
      </c>
      <c r="Q60" s="7" t="s">
        <v>432</v>
      </c>
      <c r="R60" s="7" t="s">
        <v>447</v>
      </c>
      <c r="S60" s="7"/>
      <c r="T60" s="9" t="s">
        <v>45</v>
      </c>
      <c r="U60" s="8" t="s">
        <v>433</v>
      </c>
      <c r="V60" s="33"/>
      <c r="W60" s="9" t="s">
        <v>46</v>
      </c>
      <c r="X60" s="9"/>
      <c r="Y60" s="9"/>
      <c r="Z60" s="9" t="s">
        <v>461</v>
      </c>
      <c r="AA60" s="9" t="s">
        <v>461</v>
      </c>
      <c r="AB60" s="45" t="s">
        <v>46</v>
      </c>
      <c r="AC60" s="9" t="s">
        <v>46</v>
      </c>
      <c r="AD60" s="9" t="s">
        <v>461</v>
      </c>
      <c r="AE60" s="9" t="s">
        <v>461</v>
      </c>
      <c r="AF60" s="9" t="s">
        <v>461</v>
      </c>
      <c r="AG60" s="45" t="str">
        <f t="shared" si="2"/>
        <v>V</v>
      </c>
      <c r="AH60" s="45" t="s">
        <v>46</v>
      </c>
      <c r="AI60" s="45" t="s">
        <v>46</v>
      </c>
      <c r="AJ60" s="45" t="s">
        <v>606</v>
      </c>
      <c r="AK60" s="45"/>
    </row>
    <row r="61" spans="1:37" ht="16.5" customHeight="1" x14ac:dyDescent="0.3">
      <c r="A61" s="26">
        <v>56</v>
      </c>
      <c r="B61" s="32" t="s">
        <v>434</v>
      </c>
      <c r="C61" s="7" t="s">
        <v>435</v>
      </c>
      <c r="D61" s="3" t="s">
        <v>436</v>
      </c>
      <c r="E61" s="7" t="s">
        <v>437</v>
      </c>
      <c r="F61" s="3" t="s">
        <v>438</v>
      </c>
      <c r="G61" s="7" t="s">
        <v>429</v>
      </c>
      <c r="H61" s="7" t="s">
        <v>510</v>
      </c>
      <c r="I61" s="7" t="s">
        <v>34</v>
      </c>
      <c r="J61" s="3" t="s">
        <v>439</v>
      </c>
      <c r="K61" s="3" t="s">
        <v>36</v>
      </c>
      <c r="L61" s="9"/>
      <c r="M61" s="7" t="s">
        <v>70</v>
      </c>
      <c r="N61" s="7" t="s">
        <v>80</v>
      </c>
      <c r="O61" s="7" t="s">
        <v>129</v>
      </c>
      <c r="P61" s="7" t="s">
        <v>440</v>
      </c>
      <c r="Q61" s="7" t="s">
        <v>441</v>
      </c>
      <c r="R61" s="7" t="s">
        <v>442</v>
      </c>
      <c r="S61" s="7"/>
      <c r="T61" s="9"/>
      <c r="U61" s="8" t="s">
        <v>443</v>
      </c>
      <c r="V61" s="33"/>
      <c r="W61" s="9" t="s">
        <v>46</v>
      </c>
      <c r="X61" s="9"/>
      <c r="Y61" s="9"/>
      <c r="Z61" s="9" t="s">
        <v>461</v>
      </c>
      <c r="AA61" s="9" t="s">
        <v>461</v>
      </c>
      <c r="AB61" s="45" t="s">
        <v>46</v>
      </c>
      <c r="AC61" s="9" t="s">
        <v>46</v>
      </c>
      <c r="AD61" s="9" t="s">
        <v>461</v>
      </c>
      <c r="AE61" s="9" t="s">
        <v>461</v>
      </c>
      <c r="AF61" s="9" t="s">
        <v>461</v>
      </c>
      <c r="AG61" s="45" t="str">
        <f t="shared" si="2"/>
        <v>V</v>
      </c>
      <c r="AH61" s="45" t="s">
        <v>46</v>
      </c>
      <c r="AI61" s="45" t="s">
        <v>46</v>
      </c>
      <c r="AJ61" s="45" t="s">
        <v>606</v>
      </c>
      <c r="AK61" s="45"/>
    </row>
    <row r="62" spans="1:37" ht="16.5" customHeight="1" x14ac:dyDescent="0.3">
      <c r="A62" s="26">
        <v>57</v>
      </c>
      <c r="B62" s="32" t="s">
        <v>444</v>
      </c>
      <c r="C62" s="7">
        <v>1546066</v>
      </c>
      <c r="D62" s="3" t="s">
        <v>469</v>
      </c>
      <c r="E62" s="7" t="s">
        <v>470</v>
      </c>
      <c r="F62" s="3" t="s">
        <v>471</v>
      </c>
      <c r="G62" s="7"/>
      <c r="H62" s="7" t="s">
        <v>510</v>
      </c>
      <c r="I62" s="7"/>
      <c r="J62" s="3" t="s">
        <v>472</v>
      </c>
      <c r="K62" s="3"/>
      <c r="L62" s="9"/>
      <c r="M62" s="7"/>
      <c r="N62" s="7"/>
      <c r="O62" s="7" t="s">
        <v>473</v>
      </c>
      <c r="P62" s="7" t="s">
        <v>474</v>
      </c>
      <c r="Q62" s="7" t="s">
        <v>482</v>
      </c>
      <c r="R62" s="7" t="s">
        <v>485</v>
      </c>
      <c r="S62" s="7"/>
      <c r="T62" s="9"/>
      <c r="U62" s="8" t="s">
        <v>475</v>
      </c>
      <c r="V62" s="33" t="s">
        <v>476</v>
      </c>
      <c r="W62" s="9" t="s">
        <v>461</v>
      </c>
      <c r="X62" s="9"/>
      <c r="Y62" s="9"/>
      <c r="Z62" s="9"/>
      <c r="AA62" s="9"/>
      <c r="AB62" s="45" t="s">
        <v>461</v>
      </c>
      <c r="AC62" s="9" t="s">
        <v>461</v>
      </c>
      <c r="AD62" s="9" t="s">
        <v>461</v>
      </c>
      <c r="AE62" s="9" t="s">
        <v>461</v>
      </c>
      <c r="AF62" s="9" t="s">
        <v>461</v>
      </c>
      <c r="AG62" s="45" t="str">
        <f t="shared" si="2"/>
        <v>V</v>
      </c>
      <c r="AH62" s="45" t="s">
        <v>46</v>
      </c>
      <c r="AI62" s="45" t="s">
        <v>46</v>
      </c>
      <c r="AJ62" s="45" t="s">
        <v>606</v>
      </c>
      <c r="AK62" s="45"/>
    </row>
    <row r="63" spans="1:37" ht="16.5" customHeight="1" x14ac:dyDescent="0.3">
      <c r="A63" s="26">
        <v>58</v>
      </c>
      <c r="B63" s="32" t="s">
        <v>426</v>
      </c>
      <c r="C63" s="7">
        <v>1544627</v>
      </c>
      <c r="D63" s="3" t="s">
        <v>477</v>
      </c>
      <c r="E63" s="7" t="s">
        <v>478</v>
      </c>
      <c r="F63" s="3" t="s">
        <v>479</v>
      </c>
      <c r="G63" s="7"/>
      <c r="H63" s="7"/>
      <c r="I63" s="7"/>
      <c r="J63" s="3" t="s">
        <v>480</v>
      </c>
      <c r="K63" s="3"/>
      <c r="L63" s="9"/>
      <c r="M63" s="7"/>
      <c r="N63" s="7"/>
      <c r="O63" s="7" t="s">
        <v>243</v>
      </c>
      <c r="P63" s="7" t="s">
        <v>319</v>
      </c>
      <c r="Q63" s="7" t="s">
        <v>483</v>
      </c>
      <c r="R63" s="7" t="s">
        <v>484</v>
      </c>
      <c r="S63" s="7"/>
      <c r="T63" s="9"/>
      <c r="U63" s="8" t="s">
        <v>475</v>
      </c>
      <c r="V63" s="33" t="s">
        <v>476</v>
      </c>
      <c r="W63" s="9" t="s">
        <v>461</v>
      </c>
      <c r="X63" s="9"/>
      <c r="Y63" s="9"/>
      <c r="Z63" s="9"/>
      <c r="AA63" s="9"/>
      <c r="AB63" s="45" t="s">
        <v>461</v>
      </c>
      <c r="AC63" s="9" t="s">
        <v>461</v>
      </c>
      <c r="AD63" s="9" t="s">
        <v>461</v>
      </c>
      <c r="AE63" s="9" t="s">
        <v>461</v>
      </c>
      <c r="AF63" s="9" t="s">
        <v>461</v>
      </c>
      <c r="AG63" s="45" t="str">
        <f t="shared" si="2"/>
        <v>V</v>
      </c>
      <c r="AH63" s="45" t="s">
        <v>46</v>
      </c>
      <c r="AI63" s="56"/>
      <c r="AJ63" s="45" t="s">
        <v>606</v>
      </c>
      <c r="AK63" s="45"/>
    </row>
    <row r="64" spans="1:37" hidden="1" x14ac:dyDescent="0.3">
      <c r="A64" s="26"/>
      <c r="B64" s="32"/>
      <c r="C64" s="7"/>
      <c r="D64" s="3" t="s">
        <v>506</v>
      </c>
      <c r="E64" s="7"/>
      <c r="F64" s="3" t="s">
        <v>507</v>
      </c>
      <c r="G64" s="7"/>
      <c r="H64" s="7"/>
      <c r="I64" s="7"/>
      <c r="J64" s="3"/>
      <c r="K64" s="3"/>
      <c r="L64" s="9"/>
      <c r="M64" s="7"/>
      <c r="N64" s="7"/>
      <c r="O64" s="7"/>
      <c r="P64" s="7"/>
      <c r="Q64" s="7"/>
      <c r="R64" s="7"/>
      <c r="S64" s="7"/>
      <c r="T64" s="9"/>
      <c r="U64" s="8"/>
      <c r="V64" s="33"/>
      <c r="W64" s="9" t="s">
        <v>461</v>
      </c>
      <c r="X64" s="9"/>
      <c r="Y64" s="9"/>
      <c r="Z64" s="9"/>
      <c r="AA64" s="9"/>
      <c r="AB64" s="45"/>
      <c r="AC64" s="9"/>
      <c r="AD64" s="9"/>
      <c r="AE64" s="9"/>
      <c r="AF64" s="9"/>
      <c r="AG64" s="45" t="str">
        <f t="shared" si="2"/>
        <v/>
      </c>
      <c r="AH64" s="45"/>
      <c r="AI64" s="45" t="s">
        <v>46</v>
      </c>
      <c r="AJ64" s="45"/>
      <c r="AK64" s="45"/>
    </row>
    <row r="65" spans="1:37" hidden="1" x14ac:dyDescent="0.3">
      <c r="A65" s="26"/>
      <c r="B65" s="32"/>
      <c r="C65" s="7"/>
      <c r="D65" s="3" t="s">
        <v>487</v>
      </c>
      <c r="E65" s="7"/>
      <c r="F65" s="3"/>
      <c r="G65" s="7"/>
      <c r="H65" s="7"/>
      <c r="I65" s="7"/>
      <c r="J65" s="3"/>
      <c r="K65" s="3"/>
      <c r="L65" s="9"/>
      <c r="M65" s="7"/>
      <c r="N65" s="7"/>
      <c r="O65" s="7"/>
      <c r="P65" s="7"/>
      <c r="Q65" s="7"/>
      <c r="R65" s="7"/>
      <c r="S65" s="7"/>
      <c r="T65" s="9"/>
      <c r="U65" s="8"/>
      <c r="V65" s="33"/>
      <c r="W65" s="9" t="s">
        <v>461</v>
      </c>
      <c r="X65" s="9"/>
      <c r="Y65" s="9"/>
      <c r="Z65" s="9"/>
      <c r="AA65" s="9"/>
      <c r="AB65" s="45"/>
      <c r="AC65" s="9"/>
      <c r="AD65" s="9"/>
      <c r="AE65" s="9"/>
      <c r="AF65" s="9"/>
      <c r="AG65" s="45" t="str">
        <f t="shared" si="2"/>
        <v/>
      </c>
      <c r="AH65" s="45"/>
      <c r="AI65" s="45"/>
      <c r="AJ65" s="45"/>
      <c r="AK65" s="45"/>
    </row>
    <row r="66" spans="1:37" hidden="1" x14ac:dyDescent="0.3">
      <c r="A66" s="26"/>
      <c r="B66" s="32"/>
      <c r="C66" s="7"/>
      <c r="D66" s="3" t="s">
        <v>488</v>
      </c>
      <c r="E66" s="7"/>
      <c r="F66" s="3"/>
      <c r="G66" s="7"/>
      <c r="H66" s="7"/>
      <c r="I66" s="7"/>
      <c r="J66" s="3"/>
      <c r="K66" s="3"/>
      <c r="L66" s="9"/>
      <c r="M66" s="7"/>
      <c r="N66" s="7"/>
      <c r="O66" s="7"/>
      <c r="P66" s="7"/>
      <c r="Q66" s="7"/>
      <c r="R66" s="7"/>
      <c r="S66" s="7"/>
      <c r="T66" s="9"/>
      <c r="U66" s="8"/>
      <c r="V66" s="33"/>
      <c r="W66" s="9" t="s">
        <v>461</v>
      </c>
      <c r="X66" s="9"/>
      <c r="Y66" s="9"/>
      <c r="Z66" s="9"/>
      <c r="AA66" s="9"/>
      <c r="AB66" s="45"/>
      <c r="AC66" s="9"/>
      <c r="AD66" s="9"/>
      <c r="AE66" s="9"/>
      <c r="AF66" s="9"/>
      <c r="AG66" s="45" t="str">
        <f t="shared" si="2"/>
        <v/>
      </c>
      <c r="AH66" s="45"/>
      <c r="AI66" s="45"/>
      <c r="AJ66" s="45"/>
      <c r="AK66" s="45"/>
    </row>
    <row r="67" spans="1:37" hidden="1" x14ac:dyDescent="0.3">
      <c r="A67" s="26"/>
      <c r="B67" s="32"/>
      <c r="C67" s="7"/>
      <c r="D67" s="3" t="s">
        <v>489</v>
      </c>
      <c r="E67" s="7"/>
      <c r="F67" s="3"/>
      <c r="G67" s="7"/>
      <c r="H67" s="7"/>
      <c r="I67" s="7"/>
      <c r="J67" s="3"/>
      <c r="K67" s="3"/>
      <c r="L67" s="9"/>
      <c r="M67" s="7"/>
      <c r="N67" s="7"/>
      <c r="O67" s="7"/>
      <c r="P67" s="7"/>
      <c r="Q67" s="7"/>
      <c r="R67" s="7"/>
      <c r="S67" s="7"/>
      <c r="T67" s="9"/>
      <c r="U67" s="8"/>
      <c r="V67" s="33"/>
      <c r="W67" s="9" t="s">
        <v>461</v>
      </c>
      <c r="X67" s="9"/>
      <c r="Y67" s="9"/>
      <c r="Z67" s="9"/>
      <c r="AA67" s="9"/>
      <c r="AB67" s="45"/>
      <c r="AC67" s="9"/>
      <c r="AD67" s="9"/>
      <c r="AE67" s="9"/>
      <c r="AF67" s="9"/>
      <c r="AG67" s="45" t="str">
        <f t="shared" si="2"/>
        <v/>
      </c>
      <c r="AH67" s="45"/>
      <c r="AI67" s="45"/>
      <c r="AJ67" s="45"/>
      <c r="AK67" s="45"/>
    </row>
    <row r="68" spans="1:37" hidden="1" x14ac:dyDescent="0.3">
      <c r="A68" s="26"/>
      <c r="B68" s="32"/>
      <c r="C68" s="7"/>
      <c r="D68" s="3" t="s">
        <v>490</v>
      </c>
      <c r="E68" s="7"/>
      <c r="F68" s="3"/>
      <c r="G68" s="7"/>
      <c r="H68" s="7"/>
      <c r="I68" s="7"/>
      <c r="J68" s="3"/>
      <c r="K68" s="3"/>
      <c r="L68" s="9"/>
      <c r="M68" s="7"/>
      <c r="N68" s="7"/>
      <c r="O68" s="7"/>
      <c r="P68" s="7"/>
      <c r="Q68" s="7"/>
      <c r="R68" s="7"/>
      <c r="S68" s="7"/>
      <c r="T68" s="9"/>
      <c r="U68" s="8"/>
      <c r="V68" s="33"/>
      <c r="W68" s="9" t="s">
        <v>461</v>
      </c>
      <c r="X68" s="9"/>
      <c r="Y68" s="9"/>
      <c r="Z68" s="9"/>
      <c r="AA68" s="9"/>
      <c r="AB68" s="45"/>
      <c r="AC68" s="9"/>
      <c r="AD68" s="9"/>
      <c r="AE68" s="9"/>
      <c r="AF68" s="9"/>
      <c r="AG68" s="45" t="str">
        <f t="shared" si="2"/>
        <v/>
      </c>
      <c r="AH68" s="45"/>
      <c r="AI68" s="45"/>
      <c r="AJ68" s="45"/>
      <c r="AK68" s="45"/>
    </row>
    <row r="69" spans="1:37" hidden="1" x14ac:dyDescent="0.3">
      <c r="A69" s="26"/>
      <c r="B69" s="32"/>
      <c r="C69" s="7"/>
      <c r="D69" s="3" t="s">
        <v>491</v>
      </c>
      <c r="E69" s="7"/>
      <c r="F69" s="3"/>
      <c r="G69" s="7"/>
      <c r="H69" s="7"/>
      <c r="I69" s="7"/>
      <c r="J69" s="3"/>
      <c r="K69" s="3"/>
      <c r="L69" s="9"/>
      <c r="M69" s="7"/>
      <c r="N69" s="7"/>
      <c r="O69" s="7"/>
      <c r="P69" s="7"/>
      <c r="Q69" s="7"/>
      <c r="R69" s="7"/>
      <c r="S69" s="7"/>
      <c r="T69" s="9"/>
      <c r="U69" s="8"/>
      <c r="V69" s="33"/>
      <c r="W69" s="9" t="s">
        <v>461</v>
      </c>
      <c r="X69" s="9"/>
      <c r="Y69" s="9"/>
      <c r="Z69" s="9"/>
      <c r="AA69" s="9"/>
      <c r="AB69" s="45"/>
      <c r="AC69" s="9"/>
      <c r="AD69" s="9"/>
      <c r="AE69" s="9"/>
      <c r="AF69" s="9"/>
      <c r="AG69" s="45" t="str">
        <f t="shared" si="2"/>
        <v/>
      </c>
      <c r="AH69" s="45"/>
      <c r="AI69" s="45"/>
      <c r="AJ69" s="45"/>
      <c r="AK69" s="45"/>
    </row>
    <row r="70" spans="1:37" hidden="1" x14ac:dyDescent="0.3">
      <c r="A70" s="26"/>
      <c r="B70" s="32"/>
      <c r="C70" s="7"/>
      <c r="D70" s="3" t="s">
        <v>492</v>
      </c>
      <c r="E70" s="7"/>
      <c r="F70" s="3"/>
      <c r="G70" s="7"/>
      <c r="H70" s="7"/>
      <c r="I70" s="7"/>
      <c r="J70" s="3"/>
      <c r="K70" s="3"/>
      <c r="L70" s="9"/>
      <c r="M70" s="7"/>
      <c r="N70" s="7"/>
      <c r="O70" s="7"/>
      <c r="P70" s="7"/>
      <c r="Q70" s="7"/>
      <c r="R70" s="7"/>
      <c r="S70" s="7"/>
      <c r="T70" s="9"/>
      <c r="U70" s="8"/>
      <c r="V70" s="33"/>
      <c r="W70" s="9" t="s">
        <v>461</v>
      </c>
      <c r="X70" s="9"/>
      <c r="Y70" s="9"/>
      <c r="Z70" s="9"/>
      <c r="AA70" s="9"/>
      <c r="AB70" s="45"/>
      <c r="AC70" s="9"/>
      <c r="AD70" s="9"/>
      <c r="AE70" s="9"/>
      <c r="AF70" s="9"/>
      <c r="AG70" s="45" t="str">
        <f t="shared" si="2"/>
        <v/>
      </c>
      <c r="AH70" s="45"/>
      <c r="AI70" s="45"/>
      <c r="AJ70" s="45"/>
      <c r="AK70" s="45"/>
    </row>
    <row r="71" spans="1:37" x14ac:dyDescent="0.3">
      <c r="A71" s="1"/>
      <c r="B71" s="1"/>
    </row>
    <row r="72" spans="1:37" x14ac:dyDescent="0.3">
      <c r="A72" s="1"/>
      <c r="B72" s="1"/>
      <c r="D72" s="58"/>
    </row>
    <row r="73" spans="1:37" x14ac:dyDescent="0.3">
      <c r="A73" s="1"/>
      <c r="B73" s="1"/>
    </row>
    <row r="74" spans="1:37" x14ac:dyDescent="0.3">
      <c r="A74" s="1"/>
      <c r="B74" s="1"/>
    </row>
    <row r="75" spans="1:37" x14ac:dyDescent="0.3">
      <c r="A75" s="1"/>
      <c r="B75" s="1"/>
    </row>
    <row r="76" spans="1:37" x14ac:dyDescent="0.3">
      <c r="A76" s="1"/>
      <c r="B76" s="1"/>
    </row>
    <row r="77" spans="1:37" x14ac:dyDescent="0.3">
      <c r="A77" s="1"/>
      <c r="B77" s="1"/>
    </row>
    <row r="78" spans="1:37" x14ac:dyDescent="0.3">
      <c r="A78" s="1"/>
      <c r="B78" s="1"/>
    </row>
    <row r="79" spans="1:37" x14ac:dyDescent="0.3">
      <c r="A79" s="1"/>
      <c r="B79" s="1"/>
    </row>
    <row r="80" spans="1:37" x14ac:dyDescent="0.3">
      <c r="A80" s="1"/>
      <c r="B80" s="1"/>
    </row>
    <row r="81" spans="1:2" x14ac:dyDescent="0.3">
      <c r="A81" s="1"/>
      <c r="B81" s="1"/>
    </row>
    <row r="82" spans="1:2" x14ac:dyDescent="0.3">
      <c r="A82" s="1"/>
      <c r="B82" s="1"/>
    </row>
    <row r="83" spans="1:2" x14ac:dyDescent="0.3">
      <c r="A83" s="1"/>
      <c r="B83" s="1"/>
    </row>
    <row r="84" spans="1:2" x14ac:dyDescent="0.3">
      <c r="A84" s="1"/>
      <c r="B84" s="1"/>
    </row>
    <row r="85" spans="1:2" x14ac:dyDescent="0.3">
      <c r="A85" s="1"/>
      <c r="B85" s="1"/>
    </row>
    <row r="86" spans="1:2" x14ac:dyDescent="0.3">
      <c r="A86" s="1"/>
      <c r="B86" s="1"/>
    </row>
    <row r="87" spans="1:2" x14ac:dyDescent="0.3">
      <c r="A87" s="1"/>
      <c r="B87" s="1"/>
    </row>
    <row r="88" spans="1:2" x14ac:dyDescent="0.3">
      <c r="A88" s="1"/>
      <c r="B88" s="1"/>
    </row>
    <row r="89" spans="1:2" x14ac:dyDescent="0.3">
      <c r="A89" s="1"/>
      <c r="B89" s="1"/>
    </row>
    <row r="90" spans="1:2" x14ac:dyDescent="0.3">
      <c r="A90" s="1"/>
      <c r="B90" s="1"/>
    </row>
    <row r="91" spans="1:2" x14ac:dyDescent="0.3">
      <c r="A91" s="1"/>
      <c r="B91" s="1"/>
    </row>
    <row r="92" spans="1:2" x14ac:dyDescent="0.3">
      <c r="A92" s="1"/>
      <c r="B92" s="1"/>
    </row>
    <row r="93" spans="1:2" x14ac:dyDescent="0.3">
      <c r="A93" s="1"/>
      <c r="B93" s="1"/>
    </row>
    <row r="94" spans="1:2" x14ac:dyDescent="0.3">
      <c r="A94" s="1"/>
      <c r="B94" s="1"/>
    </row>
    <row r="95" spans="1:2" x14ac:dyDescent="0.3">
      <c r="A95" s="1"/>
      <c r="B95" s="1"/>
    </row>
    <row r="96" spans="1:2" x14ac:dyDescent="0.3">
      <c r="A96" s="1"/>
      <c r="B96" s="1"/>
    </row>
  </sheetData>
  <autoFilter ref="A5:AK70" xr:uid="{DF5B22E0-54D9-480A-8968-8454F6FD1842}">
    <filterColumn colId="32">
      <customFilters>
        <customFilter operator="notEqual" val=" "/>
      </customFilters>
    </filterColumn>
  </autoFilter>
  <phoneticPr fontId="7" type="noConversion"/>
  <pageMargins left="0.7" right="0.7" top="0.75" bottom="0.75" header="0.3" footer="0.3"/>
  <customProperties>
    <customPr name="OrphanNamesChecke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0D03F-6EBA-4AD2-A50B-A79D4A13B9F4}">
  <sheetPr codeName="Sheet14"/>
  <dimension ref="A1:W250"/>
  <sheetViews>
    <sheetView topLeftCell="G1" zoomScale="85" zoomScaleNormal="85" workbookViewId="0">
      <selection activeCell="L3" sqref="L3"/>
    </sheetView>
  </sheetViews>
  <sheetFormatPr defaultRowHeight="16.5" x14ac:dyDescent="0.3"/>
  <cols>
    <col min="1" max="4" width="9" style="128"/>
    <col min="5" max="5" width="13.75" style="128" bestFit="1" customWidth="1"/>
    <col min="6" max="6" width="26.25" style="128" bestFit="1" customWidth="1"/>
    <col min="7" max="7" width="33.375" style="128" bestFit="1" customWidth="1"/>
    <col min="8" max="9" width="28.5" style="128" customWidth="1"/>
    <col min="10" max="10" width="22.5" style="128" bestFit="1" customWidth="1"/>
    <col min="11" max="11" width="22.5" style="128" customWidth="1"/>
    <col min="12" max="12" width="23.25" style="131" bestFit="1" customWidth="1"/>
    <col min="13" max="13" width="15.875" style="132" bestFit="1" customWidth="1"/>
    <col min="14" max="16" width="11.375" style="133" customWidth="1"/>
    <col min="17" max="17" width="16" style="132" bestFit="1" customWidth="1"/>
    <col min="18" max="18" width="23.25" style="131" bestFit="1" customWidth="1"/>
    <col min="19" max="19" width="19.25" style="132" bestFit="1" customWidth="1"/>
    <col min="20" max="20" width="21.75" style="131" bestFit="1" customWidth="1"/>
    <col min="21" max="21" width="21.125" style="132" bestFit="1" customWidth="1"/>
    <col min="22" max="22" width="23.25" style="131" bestFit="1" customWidth="1"/>
    <col min="23" max="23" width="23.25" style="128" bestFit="1" customWidth="1"/>
    <col min="24" max="16384" width="9" style="128"/>
  </cols>
  <sheetData>
    <row r="1" spans="1:23" x14ac:dyDescent="0.3">
      <c r="L1" s="148">
        <f>SUBTOTAL(1,L3:L1072)</f>
        <v>218319398549134.25</v>
      </c>
      <c r="M1" s="148">
        <f>SUBTOTAL(1,M3:M1072)</f>
        <v>6356058.874556452</v>
      </c>
      <c r="N1" s="133">
        <f>SUBTOTAL(1,N3:N1072)</f>
        <v>3.9362491526137015E-2</v>
      </c>
      <c r="O1" s="133">
        <f>SUBTOTAL(1,O3:O1072)</f>
        <v>0.17686232198107768</v>
      </c>
      <c r="P1" s="133">
        <f>SUBTOTAL(1,P3:P1072)</f>
        <v>0.78377518649278499</v>
      </c>
    </row>
    <row r="2" spans="1:23" x14ac:dyDescent="0.3">
      <c r="B2" s="134" t="s">
        <v>2028</v>
      </c>
      <c r="C2" s="134" t="s">
        <v>2029</v>
      </c>
      <c r="D2" s="134" t="s">
        <v>2071</v>
      </c>
      <c r="E2" s="135" t="s">
        <v>2030</v>
      </c>
      <c r="F2" s="135" t="s">
        <v>2031</v>
      </c>
      <c r="G2" s="135" t="s">
        <v>1963</v>
      </c>
      <c r="H2" s="135" t="s">
        <v>1964</v>
      </c>
      <c r="I2" s="135" t="s">
        <v>2032</v>
      </c>
      <c r="J2" s="135" t="s">
        <v>2033</v>
      </c>
      <c r="K2" s="135" t="s">
        <v>2034</v>
      </c>
      <c r="L2" s="135" t="s">
        <v>2035</v>
      </c>
      <c r="M2" s="135" t="s">
        <v>1968</v>
      </c>
      <c r="N2" s="136" t="s">
        <v>2036</v>
      </c>
      <c r="O2" s="136" t="s">
        <v>2037</v>
      </c>
      <c r="P2" s="136" t="s">
        <v>2038</v>
      </c>
      <c r="Q2" s="135" t="s">
        <v>1972</v>
      </c>
      <c r="R2" s="135" t="s">
        <v>1973</v>
      </c>
      <c r="S2" s="135" t="s">
        <v>1974</v>
      </c>
      <c r="T2" s="135" t="s">
        <v>1975</v>
      </c>
      <c r="U2" s="135" t="s">
        <v>1976</v>
      </c>
      <c r="V2" s="135" t="s">
        <v>1977</v>
      </c>
      <c r="W2" s="135" t="s">
        <v>2039</v>
      </c>
    </row>
    <row r="3" spans="1:23" x14ac:dyDescent="0.3">
      <c r="A3" s="143"/>
      <c r="B3" s="137">
        <v>1</v>
      </c>
      <c r="C3" s="137" t="s">
        <v>2072</v>
      </c>
      <c r="D3" s="137" t="s">
        <v>2046</v>
      </c>
      <c r="E3" s="137">
        <v>1000314822</v>
      </c>
      <c r="F3" s="137" t="s">
        <v>2073</v>
      </c>
      <c r="G3" s="137" t="s">
        <v>2074</v>
      </c>
      <c r="H3" s="137" t="s">
        <v>2075</v>
      </c>
      <c r="I3" s="137" t="s">
        <v>2076</v>
      </c>
      <c r="J3" s="137" t="s">
        <v>2047</v>
      </c>
      <c r="K3" s="137" t="s">
        <v>2048</v>
      </c>
      <c r="L3" s="139">
        <f t="shared" ref="L3:L4" si="0">R3+T3+V3</f>
        <v>6074151345713683</v>
      </c>
      <c r="M3" s="140">
        <f t="shared" ref="M3:M4" si="1">Q3+S3+U3</f>
        <v>32890267</v>
      </c>
      <c r="N3" s="141">
        <f>R3/$L3</f>
        <v>2.6727374210307091E-3</v>
      </c>
      <c r="O3" s="141">
        <f>T3/$L3</f>
        <v>0</v>
      </c>
      <c r="P3" s="141">
        <f>V3/$L3</f>
        <v>0.99732726257896931</v>
      </c>
      <c r="Q3" s="140">
        <v>58</v>
      </c>
      <c r="R3" s="139">
        <v>16234611602693</v>
      </c>
      <c r="S3" s="140">
        <v>0</v>
      </c>
      <c r="T3" s="139">
        <v>0</v>
      </c>
      <c r="U3" s="140">
        <v>32890209</v>
      </c>
      <c r="V3" s="139">
        <v>6057916734110990</v>
      </c>
      <c r="W3" s="142"/>
    </row>
    <row r="4" spans="1:23" x14ac:dyDescent="0.3">
      <c r="A4" s="143"/>
      <c r="B4" s="137">
        <v>1</v>
      </c>
      <c r="C4" s="137" t="s">
        <v>2072</v>
      </c>
      <c r="D4" s="137" t="s">
        <v>2046</v>
      </c>
      <c r="E4" s="137">
        <v>1000314822</v>
      </c>
      <c r="F4" s="137" t="s">
        <v>2073</v>
      </c>
      <c r="G4" s="137" t="s">
        <v>2074</v>
      </c>
      <c r="H4" s="137" t="s">
        <v>2075</v>
      </c>
      <c r="I4" s="137" t="s">
        <v>2076</v>
      </c>
      <c r="J4" s="137" t="s">
        <v>2050</v>
      </c>
      <c r="K4" s="137" t="s">
        <v>2046</v>
      </c>
      <c r="L4" s="139">
        <f t="shared" si="0"/>
        <v>63507912518644</v>
      </c>
      <c r="M4" s="140">
        <f t="shared" si="1"/>
        <v>40664</v>
      </c>
      <c r="N4" s="141">
        <f t="shared" ref="N4" si="2">R4/$L4</f>
        <v>8.2462063293020013E-3</v>
      </c>
      <c r="O4" s="141">
        <f t="shared" ref="O4" si="3">T4/$L4</f>
        <v>0.96057518275085862</v>
      </c>
      <c r="P4" s="141">
        <f t="shared" ref="P4" si="4">V4/$L4</f>
        <v>3.1178610919839412E-2</v>
      </c>
      <c r="Q4" s="140">
        <v>361</v>
      </c>
      <c r="R4" s="139">
        <v>523699350172</v>
      </c>
      <c r="S4" s="140">
        <v>12236</v>
      </c>
      <c r="T4" s="139">
        <v>61004124673722</v>
      </c>
      <c r="U4" s="140">
        <v>28067</v>
      </c>
      <c r="V4" s="139">
        <v>1980088494750</v>
      </c>
      <c r="W4" s="142"/>
    </row>
    <row r="5" spans="1:23" x14ac:dyDescent="0.3">
      <c r="A5" s="143"/>
      <c r="B5" s="137">
        <v>1</v>
      </c>
      <c r="C5" s="137" t="s">
        <v>2072</v>
      </c>
      <c r="D5" s="137" t="s">
        <v>2077</v>
      </c>
      <c r="E5" s="137">
        <v>1000314822</v>
      </c>
      <c r="F5" s="137" t="s">
        <v>2073</v>
      </c>
      <c r="G5" s="137" t="s">
        <v>2074</v>
      </c>
      <c r="H5" s="137" t="s">
        <v>2075</v>
      </c>
      <c r="I5" s="137" t="s">
        <v>2076</v>
      </c>
      <c r="J5" s="137" t="s">
        <v>2045</v>
      </c>
      <c r="K5" s="137" t="s">
        <v>2046</v>
      </c>
      <c r="L5" s="139">
        <f t="shared" ref="L5:L68" si="5">R5+T5+V5</f>
        <v>42397203703949</v>
      </c>
      <c r="M5" s="140">
        <f t="shared" ref="M5:M36" si="6">Q5+S5+U5</f>
        <v>1739454</v>
      </c>
      <c r="N5" s="141">
        <f t="shared" ref="N5:N68" si="7">R5/$L5</f>
        <v>0.10273341376344841</v>
      </c>
      <c r="O5" s="141">
        <f t="shared" ref="O5:O68" si="8">T5/$L5</f>
        <v>2.914767172661191E-2</v>
      </c>
      <c r="P5" s="141">
        <f t="shared" ref="P5:P68" si="9">V5/$L5</f>
        <v>0.86811891450993972</v>
      </c>
      <c r="Q5" s="140">
        <v>444</v>
      </c>
      <c r="R5" s="139">
        <v>4355609470531</v>
      </c>
      <c r="S5" s="140">
        <v>712</v>
      </c>
      <c r="T5" s="139">
        <v>1235779775689</v>
      </c>
      <c r="U5" s="140">
        <v>1738298</v>
      </c>
      <c r="V5" s="139">
        <v>36805814457729</v>
      </c>
      <c r="W5" s="142"/>
    </row>
    <row r="6" spans="1:23" x14ac:dyDescent="0.3">
      <c r="A6" s="143"/>
      <c r="B6" s="137">
        <v>1</v>
      </c>
      <c r="C6" s="137" t="s">
        <v>2072</v>
      </c>
      <c r="D6" s="137" t="s">
        <v>2046</v>
      </c>
      <c r="E6" s="137">
        <v>1000314822</v>
      </c>
      <c r="F6" s="137" t="s">
        <v>2073</v>
      </c>
      <c r="G6" s="137" t="s">
        <v>2078</v>
      </c>
      <c r="H6" s="137" t="s">
        <v>2079</v>
      </c>
      <c r="I6" s="137" t="s">
        <v>2080</v>
      </c>
      <c r="J6" s="137" t="s">
        <v>2047</v>
      </c>
      <c r="K6" s="137" t="s">
        <v>2048</v>
      </c>
      <c r="L6" s="139">
        <f t="shared" si="5"/>
        <v>6888603474060223</v>
      </c>
      <c r="M6" s="140">
        <f t="shared" si="6"/>
        <v>34598701</v>
      </c>
      <c r="N6" s="141">
        <f t="shared" si="7"/>
        <v>3.4901863899609925E-3</v>
      </c>
      <c r="O6" s="141">
        <f t="shared" si="8"/>
        <v>0</v>
      </c>
      <c r="P6" s="141">
        <f t="shared" si="9"/>
        <v>0.99650981361003899</v>
      </c>
      <c r="Q6" s="140">
        <v>141</v>
      </c>
      <c r="R6" s="139">
        <v>24042510091003</v>
      </c>
      <c r="S6" s="140">
        <v>0</v>
      </c>
      <c r="T6" s="139">
        <v>0</v>
      </c>
      <c r="U6" s="140">
        <v>34598560</v>
      </c>
      <c r="V6" s="139">
        <v>6864560963969220</v>
      </c>
      <c r="W6" s="142"/>
    </row>
    <row r="7" spans="1:23" x14ac:dyDescent="0.3">
      <c r="A7" s="143"/>
      <c r="B7" s="137">
        <v>1</v>
      </c>
      <c r="C7" s="137" t="s">
        <v>2072</v>
      </c>
      <c r="D7" s="137" t="s">
        <v>2046</v>
      </c>
      <c r="E7" s="137">
        <v>1000314822</v>
      </c>
      <c r="F7" s="137" t="s">
        <v>2073</v>
      </c>
      <c r="G7" s="137" t="s">
        <v>2078</v>
      </c>
      <c r="H7" s="137" t="s">
        <v>2079</v>
      </c>
      <c r="I7" s="137" t="s">
        <v>2080</v>
      </c>
      <c r="J7" s="137" t="s">
        <v>2050</v>
      </c>
      <c r="K7" s="137" t="s">
        <v>2046</v>
      </c>
      <c r="L7" s="139">
        <f t="shared" si="5"/>
        <v>3180736834948</v>
      </c>
      <c r="M7" s="140">
        <f t="shared" si="6"/>
        <v>42350</v>
      </c>
      <c r="N7" s="141">
        <f t="shared" si="7"/>
        <v>5.8285777648131289E-2</v>
      </c>
      <c r="O7" s="141">
        <f t="shared" si="8"/>
        <v>0.46423786675018663</v>
      </c>
      <c r="P7" s="141">
        <f t="shared" si="9"/>
        <v>0.47747635560168206</v>
      </c>
      <c r="Q7" s="140">
        <v>386</v>
      </c>
      <c r="R7" s="139">
        <v>185391719919</v>
      </c>
      <c r="S7" s="140">
        <v>14695</v>
      </c>
      <c r="T7" s="139">
        <v>1476618482950</v>
      </c>
      <c r="U7" s="140">
        <v>27269</v>
      </c>
      <c r="V7" s="139">
        <v>1518726632079</v>
      </c>
      <c r="W7" s="142"/>
    </row>
    <row r="8" spans="1:23" x14ac:dyDescent="0.3">
      <c r="A8" s="143"/>
      <c r="B8" s="137">
        <v>1</v>
      </c>
      <c r="C8" s="137" t="s">
        <v>2072</v>
      </c>
      <c r="D8" s="137" t="s">
        <v>2046</v>
      </c>
      <c r="E8" s="137">
        <v>1000314822</v>
      </c>
      <c r="F8" s="137" t="s">
        <v>2073</v>
      </c>
      <c r="G8" s="137" t="s">
        <v>2078</v>
      </c>
      <c r="H8" s="137" t="s">
        <v>2079</v>
      </c>
      <c r="I8" s="137" t="s">
        <v>2080</v>
      </c>
      <c r="J8" s="137" t="s">
        <v>2045</v>
      </c>
      <c r="K8" s="137" t="s">
        <v>2048</v>
      </c>
      <c r="L8" s="139">
        <f t="shared" si="5"/>
        <v>74148957714347</v>
      </c>
      <c r="M8" s="140">
        <f t="shared" si="6"/>
        <v>1846026</v>
      </c>
      <c r="N8" s="141">
        <f t="shared" si="7"/>
        <v>5.492319073711021E-2</v>
      </c>
      <c r="O8" s="141">
        <f t="shared" si="8"/>
        <v>0.50818471866693649</v>
      </c>
      <c r="P8" s="141">
        <f t="shared" si="9"/>
        <v>0.4368920905959533</v>
      </c>
      <c r="Q8" s="140">
        <v>269</v>
      </c>
      <c r="R8" s="139">
        <v>4072497347503</v>
      </c>
      <c r="S8" s="140">
        <v>1553</v>
      </c>
      <c r="T8" s="139">
        <v>37681367215512</v>
      </c>
      <c r="U8" s="140">
        <v>1844204</v>
      </c>
      <c r="V8" s="139">
        <v>32395093151332</v>
      </c>
      <c r="W8" s="142" t="s">
        <v>2081</v>
      </c>
    </row>
    <row r="9" spans="1:23" x14ac:dyDescent="0.3">
      <c r="A9" s="143"/>
      <c r="B9" s="137">
        <v>1</v>
      </c>
      <c r="C9" s="137" t="s">
        <v>2072</v>
      </c>
      <c r="D9" s="137" t="s">
        <v>2046</v>
      </c>
      <c r="E9" s="137">
        <v>1000314822</v>
      </c>
      <c r="F9" s="137" t="s">
        <v>2073</v>
      </c>
      <c r="G9" s="137" t="s">
        <v>2078</v>
      </c>
      <c r="H9" s="137" t="s">
        <v>2074</v>
      </c>
      <c r="I9" s="137" t="s">
        <v>2082</v>
      </c>
      <c r="J9" s="137" t="s">
        <v>2047</v>
      </c>
      <c r="K9" s="137" t="s">
        <v>2048</v>
      </c>
      <c r="L9" s="139">
        <f t="shared" si="5"/>
        <v>6055024213653969</v>
      </c>
      <c r="M9" s="140">
        <f t="shared" si="6"/>
        <v>35976661</v>
      </c>
      <c r="N9" s="141">
        <f t="shared" si="7"/>
        <v>4.9098482699129562E-4</v>
      </c>
      <c r="O9" s="141">
        <f t="shared" si="8"/>
        <v>0</v>
      </c>
      <c r="P9" s="141">
        <f t="shared" si="9"/>
        <v>0.99950901517300872</v>
      </c>
      <c r="Q9" s="140">
        <v>516</v>
      </c>
      <c r="R9" s="139">
        <v>2972925015969</v>
      </c>
      <c r="S9" s="140">
        <v>0</v>
      </c>
      <c r="T9" s="139">
        <v>0</v>
      </c>
      <c r="U9" s="140">
        <v>35976145</v>
      </c>
      <c r="V9" s="139">
        <v>6052051288638000</v>
      </c>
      <c r="W9" s="142"/>
    </row>
    <row r="10" spans="1:23" x14ac:dyDescent="0.3">
      <c r="A10" s="143"/>
      <c r="B10" s="137">
        <v>1</v>
      </c>
      <c r="C10" s="137" t="s">
        <v>2072</v>
      </c>
      <c r="D10" s="137" t="s">
        <v>2046</v>
      </c>
      <c r="E10" s="137">
        <v>1000314822</v>
      </c>
      <c r="F10" s="137" t="s">
        <v>2073</v>
      </c>
      <c r="G10" s="137" t="s">
        <v>2078</v>
      </c>
      <c r="H10" s="137" t="s">
        <v>2074</v>
      </c>
      <c r="I10" s="137" t="s">
        <v>2082</v>
      </c>
      <c r="J10" s="137" t="s">
        <v>2050</v>
      </c>
      <c r="K10" s="137" t="s">
        <v>2046</v>
      </c>
      <c r="L10" s="139">
        <f t="shared" si="5"/>
        <v>3352891667207</v>
      </c>
      <c r="M10" s="140">
        <f t="shared" si="6"/>
        <v>43742</v>
      </c>
      <c r="N10" s="141">
        <f t="shared" si="7"/>
        <v>5.8960678308666373E-2</v>
      </c>
      <c r="O10" s="141">
        <f t="shared" si="8"/>
        <v>0.40707400203566901</v>
      </c>
      <c r="P10" s="141">
        <f t="shared" si="9"/>
        <v>0.53396531965566463</v>
      </c>
      <c r="Q10" s="140">
        <v>462</v>
      </c>
      <c r="R10" s="139">
        <v>197688766994</v>
      </c>
      <c r="S10" s="140">
        <v>13011</v>
      </c>
      <c r="T10" s="139">
        <v>1364875029362</v>
      </c>
      <c r="U10" s="140">
        <v>30269</v>
      </c>
      <c r="V10" s="139">
        <v>1790327870851</v>
      </c>
      <c r="W10" s="142"/>
    </row>
    <row r="11" spans="1:23" x14ac:dyDescent="0.3">
      <c r="A11" s="143"/>
      <c r="B11" s="137">
        <v>1</v>
      </c>
      <c r="C11" s="137" t="s">
        <v>2072</v>
      </c>
      <c r="D11" s="137" t="s">
        <v>2077</v>
      </c>
      <c r="E11" s="137">
        <v>1000314822</v>
      </c>
      <c r="F11" s="137" t="s">
        <v>2073</v>
      </c>
      <c r="G11" s="137" t="s">
        <v>2078</v>
      </c>
      <c r="H11" s="137" t="s">
        <v>2074</v>
      </c>
      <c r="I11" s="137" t="s">
        <v>2082</v>
      </c>
      <c r="J11" s="137" t="s">
        <v>2045</v>
      </c>
      <c r="K11" s="137" t="s">
        <v>2046</v>
      </c>
      <c r="L11" s="139">
        <f t="shared" si="5"/>
        <v>38356494496946</v>
      </c>
      <c r="M11" s="140">
        <f t="shared" si="6"/>
        <v>1963137</v>
      </c>
      <c r="N11" s="141">
        <f t="shared" si="7"/>
        <v>8.0830717182480194E-2</v>
      </c>
      <c r="O11" s="141">
        <f t="shared" si="8"/>
        <v>2.9777111149011267E-2</v>
      </c>
      <c r="P11" s="141">
        <f t="shared" si="9"/>
        <v>0.88939217166850859</v>
      </c>
      <c r="Q11" s="140">
        <v>258</v>
      </c>
      <c r="R11" s="139">
        <v>3100382958794</v>
      </c>
      <c r="S11" s="140">
        <v>765</v>
      </c>
      <c r="T11" s="139">
        <v>1142145599922</v>
      </c>
      <c r="U11" s="140">
        <v>1962114</v>
      </c>
      <c r="V11" s="139">
        <v>34113965938230</v>
      </c>
      <c r="W11" s="142"/>
    </row>
    <row r="12" spans="1:23" x14ac:dyDescent="0.3">
      <c r="A12" s="143"/>
      <c r="B12" s="137">
        <v>1</v>
      </c>
      <c r="C12" s="137" t="s">
        <v>2072</v>
      </c>
      <c r="D12" s="137" t="s">
        <v>2046</v>
      </c>
      <c r="E12" s="137">
        <v>1000314822</v>
      </c>
      <c r="F12" s="137" t="s">
        <v>2073</v>
      </c>
      <c r="G12" s="137" t="s">
        <v>2083</v>
      </c>
      <c r="H12" s="137" t="s">
        <v>2084</v>
      </c>
      <c r="I12" s="137" t="s">
        <v>2076</v>
      </c>
      <c r="J12" s="137" t="s">
        <v>2047</v>
      </c>
      <c r="K12" s="137" t="s">
        <v>2048</v>
      </c>
      <c r="L12" s="139">
        <f t="shared" si="5"/>
        <v>1842880522625823</v>
      </c>
      <c r="M12" s="140">
        <f t="shared" si="6"/>
        <v>11616648</v>
      </c>
      <c r="N12" s="141">
        <f t="shared" si="7"/>
        <v>6.1750129687509576E-3</v>
      </c>
      <c r="O12" s="141">
        <f t="shared" si="8"/>
        <v>0</v>
      </c>
      <c r="P12" s="141">
        <f t="shared" si="9"/>
        <v>0.993824987031249</v>
      </c>
      <c r="Q12" s="140">
        <v>36</v>
      </c>
      <c r="R12" s="139">
        <v>11379811127073</v>
      </c>
      <c r="S12" s="140">
        <v>0</v>
      </c>
      <c r="T12" s="139">
        <v>0</v>
      </c>
      <c r="U12" s="140">
        <v>11616612</v>
      </c>
      <c r="V12" s="139">
        <v>1831500711498750</v>
      </c>
      <c r="W12" s="142"/>
    </row>
    <row r="13" spans="1:23" x14ac:dyDescent="0.3">
      <c r="A13" s="143"/>
      <c r="B13" s="137">
        <v>1</v>
      </c>
      <c r="C13" s="137" t="s">
        <v>2072</v>
      </c>
      <c r="D13" s="137" t="s">
        <v>2046</v>
      </c>
      <c r="E13" s="137">
        <v>1000314822</v>
      </c>
      <c r="F13" s="137" t="s">
        <v>2073</v>
      </c>
      <c r="G13" s="137" t="s">
        <v>2083</v>
      </c>
      <c r="H13" s="137" t="s">
        <v>2084</v>
      </c>
      <c r="I13" s="137" t="s">
        <v>2076</v>
      </c>
      <c r="J13" s="137" t="s">
        <v>2050</v>
      </c>
      <c r="K13" s="137" t="s">
        <v>2046</v>
      </c>
      <c r="L13" s="139">
        <f t="shared" si="5"/>
        <v>1680967827854</v>
      </c>
      <c r="M13" s="140">
        <f t="shared" si="6"/>
        <v>2076</v>
      </c>
      <c r="N13" s="141">
        <f t="shared" si="7"/>
        <v>5.0332420239126985E-3</v>
      </c>
      <c r="O13" s="141">
        <f t="shared" si="8"/>
        <v>0.40306654940682646</v>
      </c>
      <c r="P13" s="141">
        <f t="shared" si="9"/>
        <v>0.59190020856926084</v>
      </c>
      <c r="Q13" s="140">
        <v>4</v>
      </c>
      <c r="R13" s="139">
        <v>8460717912</v>
      </c>
      <c r="S13" s="140">
        <v>143</v>
      </c>
      <c r="T13" s="139">
        <v>677541902037</v>
      </c>
      <c r="U13" s="140">
        <v>1929</v>
      </c>
      <c r="V13" s="139">
        <v>994965207905</v>
      </c>
      <c r="W13" s="142"/>
    </row>
    <row r="14" spans="1:23" x14ac:dyDescent="0.3">
      <c r="A14" s="143"/>
      <c r="B14" s="137">
        <v>1</v>
      </c>
      <c r="C14" s="137" t="s">
        <v>2072</v>
      </c>
      <c r="D14" s="137" t="s">
        <v>2046</v>
      </c>
      <c r="E14" s="137">
        <v>1000314822</v>
      </c>
      <c r="F14" s="137" t="s">
        <v>2073</v>
      </c>
      <c r="G14" s="137" t="s">
        <v>2083</v>
      </c>
      <c r="H14" s="137" t="s">
        <v>2084</v>
      </c>
      <c r="I14" s="137" t="s">
        <v>2076</v>
      </c>
      <c r="J14" s="137" t="s">
        <v>2045</v>
      </c>
      <c r="K14" s="137" t="s">
        <v>2048</v>
      </c>
      <c r="L14" s="139">
        <f t="shared" si="5"/>
        <v>36928160378920</v>
      </c>
      <c r="M14" s="140">
        <f t="shared" si="6"/>
        <v>62801</v>
      </c>
      <c r="N14" s="141">
        <f t="shared" si="7"/>
        <v>0.20886857261443625</v>
      </c>
      <c r="O14" s="141">
        <f t="shared" si="8"/>
        <v>6.9332215964040364E-2</v>
      </c>
      <c r="P14" s="141">
        <f t="shared" si="9"/>
        <v>0.72179921142152337</v>
      </c>
      <c r="Q14" s="140">
        <v>63</v>
      </c>
      <c r="R14" s="139">
        <v>7713132147622</v>
      </c>
      <c r="S14" s="140">
        <v>394</v>
      </c>
      <c r="T14" s="139">
        <v>2560311190546</v>
      </c>
      <c r="U14" s="140">
        <v>62344</v>
      </c>
      <c r="V14" s="139">
        <v>26654717040752</v>
      </c>
      <c r="W14" s="142"/>
    </row>
    <row r="15" spans="1:23" x14ac:dyDescent="0.3">
      <c r="A15" s="143"/>
      <c r="B15" s="137">
        <v>1</v>
      </c>
      <c r="C15" s="137" t="s">
        <v>2072</v>
      </c>
      <c r="D15" s="137" t="s">
        <v>2046</v>
      </c>
      <c r="E15" s="137">
        <v>1000314822</v>
      </c>
      <c r="F15" s="137" t="s">
        <v>2073</v>
      </c>
      <c r="G15" s="137" t="s">
        <v>2083</v>
      </c>
      <c r="H15" s="137" t="s">
        <v>2085</v>
      </c>
      <c r="I15" s="137" t="s">
        <v>2080</v>
      </c>
      <c r="J15" s="137" t="s">
        <v>2047</v>
      </c>
      <c r="K15" s="137" t="s">
        <v>2048</v>
      </c>
      <c r="L15" s="139">
        <f t="shared" si="5"/>
        <v>1716693413131515</v>
      </c>
      <c r="M15" s="140">
        <f t="shared" si="6"/>
        <v>12207122</v>
      </c>
      <c r="N15" s="141">
        <f t="shared" si="7"/>
        <v>2.2929092954080367E-3</v>
      </c>
      <c r="O15" s="141">
        <f t="shared" si="8"/>
        <v>0</v>
      </c>
      <c r="P15" s="141">
        <f t="shared" si="9"/>
        <v>0.99770709070459196</v>
      </c>
      <c r="Q15" s="140">
        <v>25</v>
      </c>
      <c r="R15" s="139">
        <v>3936222284335</v>
      </c>
      <c r="S15" s="140">
        <v>0</v>
      </c>
      <c r="T15" s="139">
        <v>0</v>
      </c>
      <c r="U15" s="140">
        <v>12207097</v>
      </c>
      <c r="V15" s="139">
        <v>1712757190847180</v>
      </c>
      <c r="W15" s="142"/>
    </row>
    <row r="16" spans="1:23" x14ac:dyDescent="0.3">
      <c r="A16" s="143"/>
      <c r="B16" s="137">
        <v>1</v>
      </c>
      <c r="C16" s="137" t="s">
        <v>2072</v>
      </c>
      <c r="D16" s="137" t="s">
        <v>2046</v>
      </c>
      <c r="E16" s="137">
        <v>1000314822</v>
      </c>
      <c r="F16" s="137" t="s">
        <v>2073</v>
      </c>
      <c r="G16" s="137" t="s">
        <v>2083</v>
      </c>
      <c r="H16" s="137" t="s">
        <v>2085</v>
      </c>
      <c r="I16" s="137" t="s">
        <v>2080</v>
      </c>
      <c r="J16" s="137" t="s">
        <v>2050</v>
      </c>
      <c r="K16" s="137" t="s">
        <v>2046</v>
      </c>
      <c r="L16" s="139">
        <f t="shared" si="5"/>
        <v>1690198904030</v>
      </c>
      <c r="M16" s="140">
        <f t="shared" si="6"/>
        <v>959</v>
      </c>
      <c r="N16" s="141">
        <f t="shared" si="7"/>
        <v>9.1258446560477866E-3</v>
      </c>
      <c r="O16" s="141">
        <f t="shared" si="8"/>
        <v>0.47288959299124794</v>
      </c>
      <c r="P16" s="141">
        <f t="shared" si="9"/>
        <v>0.51798456235270429</v>
      </c>
      <c r="Q16" s="140">
        <v>4</v>
      </c>
      <c r="R16" s="139">
        <v>15424492636</v>
      </c>
      <c r="S16" s="140">
        <v>71</v>
      </c>
      <c r="T16" s="139">
        <v>799277471801</v>
      </c>
      <c r="U16" s="140">
        <v>884</v>
      </c>
      <c r="V16" s="139">
        <v>875496939593</v>
      </c>
      <c r="W16" s="142"/>
    </row>
    <row r="17" spans="1:23" x14ac:dyDescent="0.3">
      <c r="A17" s="143"/>
      <c r="B17" s="137">
        <v>1</v>
      </c>
      <c r="C17" s="137" t="s">
        <v>2072</v>
      </c>
      <c r="D17" s="137" t="s">
        <v>2046</v>
      </c>
      <c r="E17" s="137">
        <v>1000314822</v>
      </c>
      <c r="F17" s="137" t="s">
        <v>2073</v>
      </c>
      <c r="G17" s="137" t="s">
        <v>2083</v>
      </c>
      <c r="H17" s="137" t="s">
        <v>2085</v>
      </c>
      <c r="I17" s="137" t="s">
        <v>2080</v>
      </c>
      <c r="J17" s="137" t="s">
        <v>2045</v>
      </c>
      <c r="K17" s="137" t="s">
        <v>2048</v>
      </c>
      <c r="L17" s="139">
        <f t="shared" si="5"/>
        <v>37764286340695</v>
      </c>
      <c r="M17" s="140">
        <f t="shared" si="6"/>
        <v>58471</v>
      </c>
      <c r="N17" s="141">
        <f t="shared" si="7"/>
        <v>0.11204397849182629</v>
      </c>
      <c r="O17" s="141">
        <f t="shared" si="8"/>
        <v>5.2068676662772394E-2</v>
      </c>
      <c r="P17" s="141">
        <f t="shared" si="9"/>
        <v>0.83588734484540128</v>
      </c>
      <c r="Q17" s="140">
        <v>52</v>
      </c>
      <c r="R17" s="139">
        <v>4231260886516</v>
      </c>
      <c r="S17" s="140">
        <v>492</v>
      </c>
      <c r="T17" s="139">
        <v>1966336414874</v>
      </c>
      <c r="U17" s="140">
        <v>57927</v>
      </c>
      <c r="V17" s="139">
        <v>31566689039305</v>
      </c>
      <c r="W17" s="142"/>
    </row>
    <row r="18" spans="1:23" x14ac:dyDescent="0.3">
      <c r="A18" s="143"/>
      <c r="B18" s="137">
        <v>1</v>
      </c>
      <c r="C18" s="137" t="s">
        <v>2072</v>
      </c>
      <c r="D18" s="137" t="s">
        <v>2046</v>
      </c>
      <c r="E18" s="137">
        <v>1000314822</v>
      </c>
      <c r="F18" s="137" t="s">
        <v>2073</v>
      </c>
      <c r="G18" s="137" t="s">
        <v>2083</v>
      </c>
      <c r="H18" s="137" t="s">
        <v>2086</v>
      </c>
      <c r="I18" s="137" t="s">
        <v>2082</v>
      </c>
      <c r="J18" s="137" t="s">
        <v>2047</v>
      </c>
      <c r="K18" s="137" t="s">
        <v>2048</v>
      </c>
      <c r="L18" s="139">
        <f t="shared" si="5"/>
        <v>1891312722386271</v>
      </c>
      <c r="M18" s="140">
        <f t="shared" si="6"/>
        <v>12709702</v>
      </c>
      <c r="N18" s="141">
        <f t="shared" si="7"/>
        <v>1.407277857123413E-4</v>
      </c>
      <c r="O18" s="141">
        <f t="shared" si="8"/>
        <v>0</v>
      </c>
      <c r="P18" s="141">
        <f t="shared" si="9"/>
        <v>0.99985927221428761</v>
      </c>
      <c r="Q18" s="140">
        <v>25</v>
      </c>
      <c r="R18" s="139">
        <v>266160251511</v>
      </c>
      <c r="S18" s="140">
        <v>0</v>
      </c>
      <c r="T18" s="139">
        <v>0</v>
      </c>
      <c r="U18" s="140">
        <v>12709677</v>
      </c>
      <c r="V18" s="139">
        <v>1891046562134760</v>
      </c>
      <c r="W18" s="142"/>
    </row>
    <row r="19" spans="1:23" x14ac:dyDescent="0.3">
      <c r="A19" s="143"/>
      <c r="B19" s="137">
        <v>1</v>
      </c>
      <c r="C19" s="137" t="s">
        <v>2072</v>
      </c>
      <c r="D19" s="137" t="s">
        <v>2046</v>
      </c>
      <c r="E19" s="137">
        <v>1000314822</v>
      </c>
      <c r="F19" s="137" t="s">
        <v>2073</v>
      </c>
      <c r="G19" s="137" t="s">
        <v>2083</v>
      </c>
      <c r="H19" s="137" t="s">
        <v>2086</v>
      </c>
      <c r="I19" s="137" t="s">
        <v>2082</v>
      </c>
      <c r="J19" s="137" t="s">
        <v>2050</v>
      </c>
      <c r="K19" s="137" t="s">
        <v>2046</v>
      </c>
      <c r="L19" s="139">
        <f t="shared" si="5"/>
        <v>1589094064615</v>
      </c>
      <c r="M19" s="140">
        <f t="shared" si="6"/>
        <v>1699</v>
      </c>
      <c r="N19" s="141">
        <f t="shared" si="7"/>
        <v>5.2550487418900494E-3</v>
      </c>
      <c r="O19" s="141">
        <f t="shared" si="8"/>
        <v>0.53397516371227549</v>
      </c>
      <c r="P19" s="141">
        <f t="shared" si="9"/>
        <v>0.46076978754583442</v>
      </c>
      <c r="Q19" s="140">
        <v>4</v>
      </c>
      <c r="R19" s="139">
        <v>8350766765</v>
      </c>
      <c r="S19" s="140">
        <v>106</v>
      </c>
      <c r="T19" s="139">
        <v>848536763307</v>
      </c>
      <c r="U19" s="140">
        <v>1589</v>
      </c>
      <c r="V19" s="139">
        <v>732206534543</v>
      </c>
      <c r="W19" s="142"/>
    </row>
    <row r="20" spans="1:23" x14ac:dyDescent="0.3">
      <c r="A20" s="143"/>
      <c r="B20" s="137">
        <v>1</v>
      </c>
      <c r="C20" s="137" t="s">
        <v>2072</v>
      </c>
      <c r="D20" s="137" t="s">
        <v>2046</v>
      </c>
      <c r="E20" s="137">
        <v>1000314822</v>
      </c>
      <c r="F20" s="137" t="s">
        <v>2073</v>
      </c>
      <c r="G20" s="137" t="s">
        <v>2083</v>
      </c>
      <c r="H20" s="137" t="s">
        <v>2086</v>
      </c>
      <c r="I20" s="137" t="s">
        <v>2082</v>
      </c>
      <c r="J20" s="137" t="s">
        <v>2045</v>
      </c>
      <c r="K20" s="137" t="s">
        <v>2048</v>
      </c>
      <c r="L20" s="139">
        <f t="shared" si="5"/>
        <v>36353065896141</v>
      </c>
      <c r="M20" s="140">
        <f t="shared" si="6"/>
        <v>54498</v>
      </c>
      <c r="N20" s="141">
        <f t="shared" si="7"/>
        <v>9.1219809762180665E-2</v>
      </c>
      <c r="O20" s="141">
        <f t="shared" si="8"/>
        <v>3.9870947651044257E-2</v>
      </c>
      <c r="P20" s="141">
        <f t="shared" si="9"/>
        <v>0.86890924258677504</v>
      </c>
      <c r="Q20" s="140">
        <v>50</v>
      </c>
      <c r="R20" s="139">
        <v>3316119755318</v>
      </c>
      <c r="S20" s="140">
        <v>302</v>
      </c>
      <c r="T20" s="139">
        <v>1449431187300</v>
      </c>
      <c r="U20" s="140">
        <v>54146</v>
      </c>
      <c r="V20" s="139">
        <v>31587514953523</v>
      </c>
      <c r="W20" s="142"/>
    </row>
    <row r="21" spans="1:23" x14ac:dyDescent="0.3">
      <c r="A21" s="143"/>
      <c r="B21" s="137">
        <v>1</v>
      </c>
      <c r="C21" s="137" t="s">
        <v>2087</v>
      </c>
      <c r="D21" s="137" t="s">
        <v>2046</v>
      </c>
      <c r="E21" s="137">
        <v>1000314822</v>
      </c>
      <c r="F21" s="137" t="s">
        <v>2073</v>
      </c>
      <c r="G21" s="137" t="s">
        <v>2088</v>
      </c>
      <c r="H21" s="137" t="s">
        <v>2088</v>
      </c>
      <c r="I21" s="137" t="s">
        <v>2089</v>
      </c>
      <c r="J21" s="137" t="s">
        <v>2047</v>
      </c>
      <c r="K21" s="137" t="s">
        <v>2048</v>
      </c>
      <c r="L21" s="139">
        <f t="shared" si="5"/>
        <v>7948317036628333</v>
      </c>
      <c r="M21" s="140">
        <f t="shared" si="6"/>
        <v>44514130</v>
      </c>
      <c r="N21" s="141">
        <f t="shared" si="7"/>
        <v>1.3685226150487327E-3</v>
      </c>
      <c r="O21" s="141">
        <f t="shared" si="8"/>
        <v>0</v>
      </c>
      <c r="P21" s="141">
        <f t="shared" si="9"/>
        <v>0.99863147738495128</v>
      </c>
      <c r="Q21" s="140">
        <v>428</v>
      </c>
      <c r="R21" s="139">
        <v>10877451616203</v>
      </c>
      <c r="S21" s="140">
        <v>0</v>
      </c>
      <c r="T21" s="139">
        <v>0</v>
      </c>
      <c r="U21" s="140">
        <v>44513702</v>
      </c>
      <c r="V21" s="139">
        <v>7937439585012130</v>
      </c>
      <c r="W21" s="142"/>
    </row>
    <row r="22" spans="1:23" x14ac:dyDescent="0.3">
      <c r="A22" s="143"/>
      <c r="B22" s="137">
        <v>1</v>
      </c>
      <c r="C22" s="137" t="s">
        <v>2087</v>
      </c>
      <c r="D22" s="137" t="s">
        <v>2046</v>
      </c>
      <c r="E22" s="137">
        <v>1000314822</v>
      </c>
      <c r="F22" s="137" t="s">
        <v>2073</v>
      </c>
      <c r="G22" s="137" t="s">
        <v>2088</v>
      </c>
      <c r="H22" s="137" t="s">
        <v>2088</v>
      </c>
      <c r="I22" s="137" t="s">
        <v>2089</v>
      </c>
      <c r="J22" s="137" t="s">
        <v>2050</v>
      </c>
      <c r="K22" s="137" t="s">
        <v>2046</v>
      </c>
      <c r="L22" s="139">
        <f t="shared" si="5"/>
        <v>37366363859241</v>
      </c>
      <c r="M22" s="140">
        <f t="shared" si="6"/>
        <v>2235350</v>
      </c>
      <c r="N22" s="141">
        <f t="shared" si="7"/>
        <v>0.1121650650309525</v>
      </c>
      <c r="O22" s="141">
        <f t="shared" si="8"/>
        <v>0.44900917475505731</v>
      </c>
      <c r="P22" s="141">
        <f t="shared" si="9"/>
        <v>0.43882576021399017</v>
      </c>
      <c r="Q22" s="140">
        <v>753</v>
      </c>
      <c r="R22" s="139">
        <v>4191200632242</v>
      </c>
      <c r="S22" s="140">
        <v>52794</v>
      </c>
      <c r="T22" s="139">
        <v>16777840200035</v>
      </c>
      <c r="U22" s="140">
        <v>2181803</v>
      </c>
      <c r="V22" s="139">
        <v>16397323026964</v>
      </c>
      <c r="W22" s="142"/>
    </row>
    <row r="23" spans="1:23" x14ac:dyDescent="0.3">
      <c r="A23" s="143"/>
      <c r="B23" s="137">
        <v>1</v>
      </c>
      <c r="C23" s="137" t="s">
        <v>2087</v>
      </c>
      <c r="D23" s="137" t="s">
        <v>2046</v>
      </c>
      <c r="E23" s="137">
        <v>1000314822</v>
      </c>
      <c r="F23" s="137" t="s">
        <v>2073</v>
      </c>
      <c r="G23" s="137" t="s">
        <v>2088</v>
      </c>
      <c r="H23" s="137" t="s">
        <v>2088</v>
      </c>
      <c r="I23" s="137" t="s">
        <v>2089</v>
      </c>
      <c r="J23" s="137" t="s">
        <v>2045</v>
      </c>
      <c r="K23" s="137" t="s">
        <v>2046</v>
      </c>
      <c r="L23" s="139">
        <f t="shared" si="5"/>
        <v>74616607818998</v>
      </c>
      <c r="M23" s="140">
        <f t="shared" si="6"/>
        <v>1654142</v>
      </c>
      <c r="N23" s="141">
        <f t="shared" si="7"/>
        <v>0.11026930146485571</v>
      </c>
      <c r="O23" s="141">
        <f t="shared" si="8"/>
        <v>7.3120532017295167E-2</v>
      </c>
      <c r="P23" s="141">
        <f t="shared" si="9"/>
        <v>0.81661016651784912</v>
      </c>
      <c r="Q23" s="140">
        <v>286</v>
      </c>
      <c r="R23" s="139">
        <v>8227921221878</v>
      </c>
      <c r="S23" s="140">
        <v>1278</v>
      </c>
      <c r="T23" s="139">
        <v>5456006061051</v>
      </c>
      <c r="U23" s="140">
        <v>1652578</v>
      </c>
      <c r="V23" s="139">
        <v>60932680536069</v>
      </c>
      <c r="W23" s="142"/>
    </row>
    <row r="24" spans="1:23" x14ac:dyDescent="0.3">
      <c r="A24" s="143"/>
      <c r="B24" s="137">
        <v>2</v>
      </c>
      <c r="C24" s="137" t="s">
        <v>2072</v>
      </c>
      <c r="D24" s="137" t="s">
        <v>2046</v>
      </c>
      <c r="E24" s="137">
        <v>1000316445</v>
      </c>
      <c r="F24" s="137" t="s">
        <v>2041</v>
      </c>
      <c r="G24" s="137" t="s">
        <v>2090</v>
      </c>
      <c r="H24" s="137" t="s">
        <v>2091</v>
      </c>
      <c r="I24" s="137" t="s">
        <v>2076</v>
      </c>
      <c r="J24" s="137" t="s">
        <v>2047</v>
      </c>
      <c r="K24" s="137" t="s">
        <v>2048</v>
      </c>
      <c r="L24" s="139">
        <f t="shared" si="5"/>
        <v>696396491200078</v>
      </c>
      <c r="M24" s="140">
        <f t="shared" si="6"/>
        <v>6636875</v>
      </c>
      <c r="N24" s="141">
        <f t="shared" si="7"/>
        <v>3.811950545472109E-3</v>
      </c>
      <c r="O24" s="141">
        <f t="shared" si="8"/>
        <v>0</v>
      </c>
      <c r="P24" s="141">
        <f t="shared" si="9"/>
        <v>0.99618804945452788</v>
      </c>
      <c r="Q24" s="140">
        <v>2</v>
      </c>
      <c r="R24" s="139">
        <v>2654628984495</v>
      </c>
      <c r="S24" s="140">
        <v>0</v>
      </c>
      <c r="T24" s="139">
        <v>0</v>
      </c>
      <c r="U24" s="140">
        <v>6636873</v>
      </c>
      <c r="V24" s="139">
        <v>693741862215583</v>
      </c>
      <c r="W24" s="142"/>
    </row>
    <row r="25" spans="1:23" x14ac:dyDescent="0.3">
      <c r="A25" s="143"/>
      <c r="B25" s="137">
        <v>2</v>
      </c>
      <c r="C25" s="137" t="s">
        <v>2072</v>
      </c>
      <c r="D25" s="137" t="s">
        <v>2046</v>
      </c>
      <c r="E25" s="137">
        <v>1000316445</v>
      </c>
      <c r="F25" s="137" t="s">
        <v>2041</v>
      </c>
      <c r="G25" s="137" t="s">
        <v>2090</v>
      </c>
      <c r="H25" s="137" t="s">
        <v>2091</v>
      </c>
      <c r="I25" s="137" t="s">
        <v>2076</v>
      </c>
      <c r="J25" s="137" t="s">
        <v>2050</v>
      </c>
      <c r="K25" s="137" t="s">
        <v>2046</v>
      </c>
      <c r="L25" s="139">
        <f t="shared" si="5"/>
        <v>1487331405318</v>
      </c>
      <c r="M25" s="140">
        <f t="shared" si="6"/>
        <v>565672</v>
      </c>
      <c r="N25" s="141">
        <f t="shared" si="7"/>
        <v>0</v>
      </c>
      <c r="O25" s="141">
        <f t="shared" si="8"/>
        <v>4.4978972656532244E-2</v>
      </c>
      <c r="P25" s="141">
        <f t="shared" si="9"/>
        <v>0.95502102734346772</v>
      </c>
      <c r="Q25" s="140">
        <v>0</v>
      </c>
      <c r="R25" s="139">
        <v>0</v>
      </c>
      <c r="S25" s="140">
        <v>565</v>
      </c>
      <c r="T25" s="139">
        <v>66898638611</v>
      </c>
      <c r="U25" s="140">
        <v>565107</v>
      </c>
      <c r="V25" s="139">
        <v>1420432766707</v>
      </c>
      <c r="W25" s="142"/>
    </row>
    <row r="26" spans="1:23" x14ac:dyDescent="0.3">
      <c r="A26" s="143"/>
      <c r="B26" s="137">
        <v>2</v>
      </c>
      <c r="C26" s="137" t="s">
        <v>2072</v>
      </c>
      <c r="D26" s="137" t="s">
        <v>2046</v>
      </c>
      <c r="E26" s="137">
        <v>1000316445</v>
      </c>
      <c r="F26" s="137" t="s">
        <v>2041</v>
      </c>
      <c r="G26" s="137" t="s">
        <v>2090</v>
      </c>
      <c r="H26" s="137" t="s">
        <v>2091</v>
      </c>
      <c r="I26" s="137" t="s">
        <v>2076</v>
      </c>
      <c r="J26" s="137" t="s">
        <v>2045</v>
      </c>
      <c r="K26" s="137" t="s">
        <v>2046</v>
      </c>
      <c r="L26" s="139">
        <f t="shared" si="5"/>
        <v>12024591544246</v>
      </c>
      <c r="M26" s="140">
        <f t="shared" si="6"/>
        <v>47450</v>
      </c>
      <c r="N26" s="141">
        <f t="shared" si="7"/>
        <v>4.7496818916838525E-2</v>
      </c>
      <c r="O26" s="141">
        <f t="shared" si="8"/>
        <v>0.16727829717987547</v>
      </c>
      <c r="P26" s="141">
        <f t="shared" si="9"/>
        <v>0.78522488390328604</v>
      </c>
      <c r="Q26" s="140">
        <v>22</v>
      </c>
      <c r="R26" s="139">
        <v>571129847126</v>
      </c>
      <c r="S26" s="140">
        <v>3581</v>
      </c>
      <c r="T26" s="139">
        <v>2011453197805</v>
      </c>
      <c r="U26" s="140">
        <v>43847</v>
      </c>
      <c r="V26" s="139">
        <v>9442008499315</v>
      </c>
      <c r="W26" s="142"/>
    </row>
    <row r="27" spans="1:23" x14ac:dyDescent="0.3">
      <c r="A27" s="143"/>
      <c r="B27" s="137">
        <v>2</v>
      </c>
      <c r="C27" s="137" t="s">
        <v>2072</v>
      </c>
      <c r="D27" s="137" t="s">
        <v>2046</v>
      </c>
      <c r="E27" s="137">
        <v>1000316445</v>
      </c>
      <c r="F27" s="137" t="s">
        <v>2041</v>
      </c>
      <c r="G27" s="137" t="s">
        <v>2090</v>
      </c>
      <c r="H27" s="137" t="s">
        <v>2092</v>
      </c>
      <c r="I27" s="137" t="s">
        <v>2080</v>
      </c>
      <c r="J27" s="137" t="s">
        <v>2047</v>
      </c>
      <c r="K27" s="137" t="s">
        <v>2048</v>
      </c>
      <c r="L27" s="139">
        <f t="shared" si="5"/>
        <v>740309377212650</v>
      </c>
      <c r="M27" s="140">
        <f t="shared" si="6"/>
        <v>6985227</v>
      </c>
      <c r="N27" s="141">
        <f t="shared" si="7"/>
        <v>1.3157590826376955E-2</v>
      </c>
      <c r="O27" s="141">
        <f t="shared" si="8"/>
        <v>0</v>
      </c>
      <c r="P27" s="141">
        <f t="shared" si="9"/>
        <v>0.98684240917362309</v>
      </c>
      <c r="Q27" s="140">
        <v>9</v>
      </c>
      <c r="R27" s="139">
        <v>9740687870294</v>
      </c>
      <c r="S27" s="140">
        <v>0</v>
      </c>
      <c r="T27" s="139">
        <v>0</v>
      </c>
      <c r="U27" s="140">
        <v>6985218</v>
      </c>
      <c r="V27" s="139">
        <v>730568689342356</v>
      </c>
      <c r="W27" s="142"/>
    </row>
    <row r="28" spans="1:23" x14ac:dyDescent="0.3">
      <c r="A28" s="143"/>
      <c r="B28" s="137">
        <v>2</v>
      </c>
      <c r="C28" s="137" t="s">
        <v>2072</v>
      </c>
      <c r="D28" s="137" t="s">
        <v>2046</v>
      </c>
      <c r="E28" s="137">
        <v>1000316445</v>
      </c>
      <c r="F28" s="137" t="s">
        <v>2041</v>
      </c>
      <c r="G28" s="137" t="s">
        <v>2090</v>
      </c>
      <c r="H28" s="137" t="s">
        <v>2092</v>
      </c>
      <c r="I28" s="137" t="s">
        <v>2080</v>
      </c>
      <c r="J28" s="137" t="s">
        <v>2050</v>
      </c>
      <c r="K28" s="137" t="s">
        <v>2046</v>
      </c>
      <c r="L28" s="139">
        <f t="shared" si="5"/>
        <v>1579444985261</v>
      </c>
      <c r="M28" s="140">
        <f t="shared" si="6"/>
        <v>595766</v>
      </c>
      <c r="N28" s="141">
        <f t="shared" si="7"/>
        <v>0</v>
      </c>
      <c r="O28" s="141">
        <f t="shared" si="8"/>
        <v>0.14451034314897826</v>
      </c>
      <c r="P28" s="141">
        <f t="shared" si="9"/>
        <v>0.85548965685102174</v>
      </c>
      <c r="Q28" s="140">
        <v>0</v>
      </c>
      <c r="R28" s="139">
        <v>0</v>
      </c>
      <c r="S28" s="140">
        <v>481</v>
      </c>
      <c r="T28" s="139">
        <v>228246136805</v>
      </c>
      <c r="U28" s="140">
        <v>595285</v>
      </c>
      <c r="V28" s="139">
        <v>1351198848456</v>
      </c>
      <c r="W28" s="142"/>
    </row>
    <row r="29" spans="1:23" x14ac:dyDescent="0.3">
      <c r="A29" s="143"/>
      <c r="B29" s="137">
        <v>2</v>
      </c>
      <c r="C29" s="137" t="s">
        <v>2072</v>
      </c>
      <c r="D29" s="137" t="s">
        <v>2046</v>
      </c>
      <c r="E29" s="137">
        <v>1000316445</v>
      </c>
      <c r="F29" s="137" t="s">
        <v>2041</v>
      </c>
      <c r="G29" s="137" t="s">
        <v>2090</v>
      </c>
      <c r="H29" s="137" t="s">
        <v>2092</v>
      </c>
      <c r="I29" s="137" t="s">
        <v>2080</v>
      </c>
      <c r="J29" s="137" t="s">
        <v>2045</v>
      </c>
      <c r="K29" s="137" t="s">
        <v>2046</v>
      </c>
      <c r="L29" s="139">
        <f t="shared" si="5"/>
        <v>15458137824312</v>
      </c>
      <c r="M29" s="140">
        <f t="shared" si="6"/>
        <v>47543</v>
      </c>
      <c r="N29" s="141">
        <f t="shared" si="7"/>
        <v>4.7594808499240769E-2</v>
      </c>
      <c r="O29" s="141">
        <f t="shared" si="8"/>
        <v>5.8973171135610153E-2</v>
      </c>
      <c r="P29" s="141">
        <f t="shared" si="9"/>
        <v>0.89343202036514913</v>
      </c>
      <c r="Q29" s="140">
        <v>29</v>
      </c>
      <c r="R29" s="139">
        <v>735727109503</v>
      </c>
      <c r="S29" s="140">
        <v>1015</v>
      </c>
      <c r="T29" s="139">
        <v>911615407351</v>
      </c>
      <c r="U29" s="140">
        <v>46499</v>
      </c>
      <c r="V29" s="139">
        <v>13810795307458</v>
      </c>
      <c r="W29" s="142"/>
    </row>
    <row r="30" spans="1:23" x14ac:dyDescent="0.3">
      <c r="A30" s="143"/>
      <c r="B30" s="137">
        <v>2</v>
      </c>
      <c r="C30" s="137" t="s">
        <v>2072</v>
      </c>
      <c r="D30" s="137" t="s">
        <v>2046</v>
      </c>
      <c r="E30" s="137">
        <v>1000316445</v>
      </c>
      <c r="F30" s="137" t="s">
        <v>2041</v>
      </c>
      <c r="G30" s="137" t="s">
        <v>2090</v>
      </c>
      <c r="H30" s="137" t="s">
        <v>2090</v>
      </c>
      <c r="I30" s="137" t="s">
        <v>2082</v>
      </c>
      <c r="J30" s="137" t="s">
        <v>2047</v>
      </c>
      <c r="K30" s="137" t="s">
        <v>2048</v>
      </c>
      <c r="L30" s="139">
        <f t="shared" si="5"/>
        <v>794771616501702</v>
      </c>
      <c r="M30" s="140">
        <f t="shared" si="6"/>
        <v>7172870</v>
      </c>
      <c r="N30" s="141">
        <f t="shared" si="7"/>
        <v>7.2973974949287583E-5</v>
      </c>
      <c r="O30" s="141">
        <f t="shared" si="8"/>
        <v>0</v>
      </c>
      <c r="P30" s="141">
        <f t="shared" si="9"/>
        <v>0.99992702602505068</v>
      </c>
      <c r="Q30" s="140">
        <v>19</v>
      </c>
      <c r="R30" s="139">
        <v>57997644033</v>
      </c>
      <c r="S30" s="140">
        <v>0</v>
      </c>
      <c r="T30" s="139">
        <v>0</v>
      </c>
      <c r="U30" s="140">
        <v>7172851</v>
      </c>
      <c r="V30" s="139">
        <v>794713618857669</v>
      </c>
      <c r="W30" s="142"/>
    </row>
    <row r="31" spans="1:23" x14ac:dyDescent="0.3">
      <c r="A31" s="143"/>
      <c r="B31" s="137">
        <v>2</v>
      </c>
      <c r="C31" s="137" t="s">
        <v>2072</v>
      </c>
      <c r="D31" s="137" t="s">
        <v>2046</v>
      </c>
      <c r="E31" s="137">
        <v>1000316445</v>
      </c>
      <c r="F31" s="137" t="s">
        <v>2041</v>
      </c>
      <c r="G31" s="137" t="s">
        <v>2090</v>
      </c>
      <c r="H31" s="137" t="s">
        <v>2090</v>
      </c>
      <c r="I31" s="137" t="s">
        <v>2082</v>
      </c>
      <c r="J31" s="137" t="s">
        <v>2050</v>
      </c>
      <c r="K31" s="137" t="s">
        <v>2046</v>
      </c>
      <c r="L31" s="139">
        <f t="shared" si="5"/>
        <v>1660990391320</v>
      </c>
      <c r="M31" s="140">
        <f t="shared" si="6"/>
        <v>624523</v>
      </c>
      <c r="N31" s="141">
        <f t="shared" si="7"/>
        <v>0</v>
      </c>
      <c r="O31" s="141">
        <f t="shared" si="8"/>
        <v>1.9580000927732277E-2</v>
      </c>
      <c r="P31" s="141">
        <f t="shared" si="9"/>
        <v>0.98041999907226773</v>
      </c>
      <c r="Q31" s="140">
        <v>0</v>
      </c>
      <c r="R31" s="139">
        <v>0</v>
      </c>
      <c r="S31" s="140">
        <v>198</v>
      </c>
      <c r="T31" s="139">
        <v>32522193403</v>
      </c>
      <c r="U31" s="140">
        <v>624325</v>
      </c>
      <c r="V31" s="139">
        <v>1628468197917</v>
      </c>
      <c r="W31" s="142"/>
    </row>
    <row r="32" spans="1:23" x14ac:dyDescent="0.3">
      <c r="A32" s="143"/>
      <c r="B32" s="137">
        <v>2</v>
      </c>
      <c r="C32" s="137" t="s">
        <v>2072</v>
      </c>
      <c r="D32" s="137" t="s">
        <v>2046</v>
      </c>
      <c r="E32" s="137">
        <v>1000316445</v>
      </c>
      <c r="F32" s="137" t="s">
        <v>2041</v>
      </c>
      <c r="G32" s="137" t="s">
        <v>2090</v>
      </c>
      <c r="H32" s="137" t="s">
        <v>2090</v>
      </c>
      <c r="I32" s="137" t="s">
        <v>2082</v>
      </c>
      <c r="J32" s="137" t="s">
        <v>2045</v>
      </c>
      <c r="K32" s="137" t="s">
        <v>2046</v>
      </c>
      <c r="L32" s="139">
        <f t="shared" si="5"/>
        <v>17017016691107</v>
      </c>
      <c r="M32" s="140">
        <f t="shared" si="6"/>
        <v>42348</v>
      </c>
      <c r="N32" s="141">
        <f t="shared" si="7"/>
        <v>3.1430153521005144E-2</v>
      </c>
      <c r="O32" s="141">
        <f t="shared" si="8"/>
        <v>8.1583059430300614E-2</v>
      </c>
      <c r="P32" s="141">
        <f t="shared" si="9"/>
        <v>0.88698678704869427</v>
      </c>
      <c r="Q32" s="140">
        <v>9</v>
      </c>
      <c r="R32" s="139">
        <v>534847447071</v>
      </c>
      <c r="S32" s="140">
        <v>874</v>
      </c>
      <c r="T32" s="139">
        <v>1388300284037</v>
      </c>
      <c r="U32" s="140">
        <v>41465</v>
      </c>
      <c r="V32" s="139">
        <v>15093868959999</v>
      </c>
      <c r="W32" s="142"/>
    </row>
    <row r="33" spans="1:23" x14ac:dyDescent="0.3">
      <c r="A33" s="143"/>
      <c r="B33" s="137">
        <v>2</v>
      </c>
      <c r="C33" s="137" t="s">
        <v>2087</v>
      </c>
      <c r="D33" s="137" t="s">
        <v>2046</v>
      </c>
      <c r="E33" s="137">
        <v>1000316445</v>
      </c>
      <c r="F33" s="137" t="s">
        <v>2041</v>
      </c>
      <c r="G33" s="137" t="s">
        <v>2093</v>
      </c>
      <c r="H33" s="137" t="s">
        <v>2093</v>
      </c>
      <c r="I33" s="137" t="s">
        <v>2089</v>
      </c>
      <c r="J33" s="137" t="s">
        <v>2047</v>
      </c>
      <c r="K33" s="137" t="s">
        <v>2048</v>
      </c>
      <c r="L33" s="139">
        <f t="shared" si="5"/>
        <v>983548392375592</v>
      </c>
      <c r="M33" s="140">
        <f t="shared" si="6"/>
        <v>7670875</v>
      </c>
      <c r="N33" s="141">
        <f t="shared" si="7"/>
        <v>1.938033122141173E-2</v>
      </c>
      <c r="O33" s="141">
        <f t="shared" si="8"/>
        <v>0</v>
      </c>
      <c r="P33" s="141">
        <f t="shared" si="9"/>
        <v>0.9806196687785883</v>
      </c>
      <c r="Q33" s="140">
        <v>61</v>
      </c>
      <c r="R33" s="139">
        <v>19061493616526</v>
      </c>
      <c r="S33" s="140">
        <v>0</v>
      </c>
      <c r="T33" s="139">
        <v>0</v>
      </c>
      <c r="U33" s="140">
        <v>7670814</v>
      </c>
      <c r="V33" s="139">
        <v>964486898759066</v>
      </c>
      <c r="W33" s="142"/>
    </row>
    <row r="34" spans="1:23" x14ac:dyDescent="0.3">
      <c r="A34" s="143"/>
      <c r="B34" s="137">
        <v>2</v>
      </c>
      <c r="C34" s="137" t="s">
        <v>2087</v>
      </c>
      <c r="D34" s="137" t="s">
        <v>2046</v>
      </c>
      <c r="E34" s="137">
        <v>1000316445</v>
      </c>
      <c r="F34" s="137" t="s">
        <v>2041</v>
      </c>
      <c r="G34" s="137" t="s">
        <v>2093</v>
      </c>
      <c r="H34" s="137" t="s">
        <v>2093</v>
      </c>
      <c r="I34" s="137" t="s">
        <v>2089</v>
      </c>
      <c r="J34" s="137" t="s">
        <v>2050</v>
      </c>
      <c r="K34" s="137" t="s">
        <v>2046</v>
      </c>
      <c r="L34" s="139">
        <f t="shared" si="5"/>
        <v>4564457218836</v>
      </c>
      <c r="M34" s="140">
        <f t="shared" si="6"/>
        <v>651442</v>
      </c>
      <c r="N34" s="141">
        <f t="shared" si="7"/>
        <v>0</v>
      </c>
      <c r="O34" s="141">
        <f t="shared" si="8"/>
        <v>0.62249336749213358</v>
      </c>
      <c r="P34" s="141">
        <f t="shared" si="9"/>
        <v>0.37750663250786642</v>
      </c>
      <c r="Q34" s="140">
        <v>0</v>
      </c>
      <c r="R34" s="139">
        <v>0</v>
      </c>
      <c r="S34" s="140">
        <v>487</v>
      </c>
      <c r="T34" s="139">
        <v>2841344344927</v>
      </c>
      <c r="U34" s="140">
        <v>650955</v>
      </c>
      <c r="V34" s="139">
        <v>1723112873909</v>
      </c>
      <c r="W34" s="142"/>
    </row>
    <row r="35" spans="1:23" x14ac:dyDescent="0.3">
      <c r="A35" s="143"/>
      <c r="B35" s="137">
        <v>2</v>
      </c>
      <c r="C35" s="137" t="s">
        <v>2087</v>
      </c>
      <c r="D35" s="137" t="s">
        <v>2046</v>
      </c>
      <c r="E35" s="137">
        <v>1000316445</v>
      </c>
      <c r="F35" s="137" t="s">
        <v>2041</v>
      </c>
      <c r="G35" s="137" t="s">
        <v>2093</v>
      </c>
      <c r="H35" s="137" t="s">
        <v>2093</v>
      </c>
      <c r="I35" s="137" t="s">
        <v>2089</v>
      </c>
      <c r="J35" s="137" t="s">
        <v>2045</v>
      </c>
      <c r="K35" s="137" t="s">
        <v>2046</v>
      </c>
      <c r="L35" s="139">
        <f t="shared" si="5"/>
        <v>19950644078316</v>
      </c>
      <c r="M35" s="140">
        <f t="shared" si="6"/>
        <v>57199</v>
      </c>
      <c r="N35" s="141">
        <f t="shared" si="7"/>
        <v>1.808246650217675E-2</v>
      </c>
      <c r="O35" s="141">
        <f t="shared" si="8"/>
        <v>0.12852418052712986</v>
      </c>
      <c r="P35" s="141">
        <f t="shared" si="9"/>
        <v>0.85339335297069341</v>
      </c>
      <c r="Q35" s="140">
        <v>51</v>
      </c>
      <c r="R35" s="139">
        <v>360756853243</v>
      </c>
      <c r="S35" s="140">
        <v>7892</v>
      </c>
      <c r="T35" s="139">
        <v>2564140181154</v>
      </c>
      <c r="U35" s="140">
        <v>49256</v>
      </c>
      <c r="V35" s="139">
        <v>17025747043919</v>
      </c>
      <c r="W35" s="142"/>
    </row>
    <row r="36" spans="1:23" x14ac:dyDescent="0.3">
      <c r="A36" s="143"/>
      <c r="B36" s="137">
        <v>4</v>
      </c>
      <c r="C36" s="137" t="s">
        <v>2072</v>
      </c>
      <c r="D36" s="137" t="s">
        <v>2048</v>
      </c>
      <c r="E36" s="137">
        <v>1000316406</v>
      </c>
      <c r="F36" s="137" t="s">
        <v>2094</v>
      </c>
      <c r="G36" s="137" t="s">
        <v>2095</v>
      </c>
      <c r="H36" s="137" t="s">
        <v>2096</v>
      </c>
      <c r="I36" s="137" t="s">
        <v>2097</v>
      </c>
      <c r="J36" s="137" t="s">
        <v>2047</v>
      </c>
      <c r="K36" s="137" t="s">
        <v>2048</v>
      </c>
      <c r="L36" s="139">
        <f t="shared" si="5"/>
        <v>319492202651096</v>
      </c>
      <c r="M36" s="140">
        <f t="shared" si="6"/>
        <v>11910518</v>
      </c>
      <c r="N36" s="141">
        <f t="shared" si="7"/>
        <v>2.1289027238914583E-3</v>
      </c>
      <c r="O36" s="141">
        <f t="shared" si="8"/>
        <v>0</v>
      </c>
      <c r="P36" s="141">
        <f t="shared" si="9"/>
        <v>0.99787109727610857</v>
      </c>
      <c r="Q36" s="140">
        <v>39</v>
      </c>
      <c r="R36" s="139">
        <v>680167820486</v>
      </c>
      <c r="S36" s="140">
        <v>0</v>
      </c>
      <c r="T36" s="139">
        <v>0</v>
      </c>
      <c r="U36" s="140">
        <v>11910479</v>
      </c>
      <c r="V36" s="139">
        <v>318812034830610</v>
      </c>
      <c r="W36" s="142"/>
    </row>
    <row r="37" spans="1:23" x14ac:dyDescent="0.3">
      <c r="A37" s="143"/>
      <c r="B37" s="137">
        <v>4</v>
      </c>
      <c r="C37" s="137" t="s">
        <v>2072</v>
      </c>
      <c r="D37" s="137" t="s">
        <v>2048</v>
      </c>
      <c r="E37" s="137">
        <v>1000316406</v>
      </c>
      <c r="F37" s="137" t="s">
        <v>2094</v>
      </c>
      <c r="G37" s="137" t="s">
        <v>2095</v>
      </c>
      <c r="H37" s="137" t="s">
        <v>2096</v>
      </c>
      <c r="I37" s="137" t="s">
        <v>2097</v>
      </c>
      <c r="J37" s="137" t="s">
        <v>2050</v>
      </c>
      <c r="K37" s="137" t="s">
        <v>2046</v>
      </c>
      <c r="L37" s="139">
        <f t="shared" si="5"/>
        <v>242789086781</v>
      </c>
      <c r="M37" s="140">
        <f t="shared" ref="M37:M68" si="10">Q37+S37+U37</f>
        <v>105747</v>
      </c>
      <c r="N37" s="141">
        <f t="shared" si="7"/>
        <v>2.0153027946488853E-2</v>
      </c>
      <c r="O37" s="141">
        <f t="shared" si="8"/>
        <v>6.0900933023967853E-2</v>
      </c>
      <c r="P37" s="141">
        <f t="shared" si="9"/>
        <v>0.9189460390295433</v>
      </c>
      <c r="Q37" s="140">
        <v>18</v>
      </c>
      <c r="R37" s="139">
        <v>4892935251</v>
      </c>
      <c r="S37" s="140">
        <v>2173</v>
      </c>
      <c r="T37" s="139">
        <v>14786081913</v>
      </c>
      <c r="U37" s="140">
        <v>103556</v>
      </c>
      <c r="V37" s="139">
        <v>223110069617</v>
      </c>
      <c r="W37" s="142"/>
    </row>
    <row r="38" spans="1:23" x14ac:dyDescent="0.3">
      <c r="A38" s="143"/>
      <c r="B38" s="137">
        <v>4</v>
      </c>
      <c r="C38" s="137" t="s">
        <v>2072</v>
      </c>
      <c r="D38" s="137" t="s">
        <v>2048</v>
      </c>
      <c r="E38" s="137">
        <v>1000316406</v>
      </c>
      <c r="F38" s="137" t="s">
        <v>2094</v>
      </c>
      <c r="G38" s="137" t="s">
        <v>2095</v>
      </c>
      <c r="H38" s="137" t="s">
        <v>2096</v>
      </c>
      <c r="I38" s="137" t="s">
        <v>2097</v>
      </c>
      <c r="J38" s="137" t="s">
        <v>2045</v>
      </c>
      <c r="K38" s="137" t="s">
        <v>2046</v>
      </c>
      <c r="L38" s="139">
        <f t="shared" si="5"/>
        <v>968493683717</v>
      </c>
      <c r="M38" s="140">
        <f t="shared" si="10"/>
        <v>3051</v>
      </c>
      <c r="N38" s="141">
        <f t="shared" si="7"/>
        <v>5.4845702551346047E-3</v>
      </c>
      <c r="O38" s="141">
        <f t="shared" si="8"/>
        <v>3.990032800388587E-2</v>
      </c>
      <c r="P38" s="141">
        <f t="shared" si="9"/>
        <v>0.95461510174097952</v>
      </c>
      <c r="Q38" s="140">
        <v>3</v>
      </c>
      <c r="R38" s="139">
        <v>5311771650</v>
      </c>
      <c r="S38" s="140">
        <v>47</v>
      </c>
      <c r="T38" s="139">
        <v>38643215650</v>
      </c>
      <c r="U38" s="140">
        <v>3001</v>
      </c>
      <c r="V38" s="139">
        <v>924538696417</v>
      </c>
      <c r="W38" s="142"/>
    </row>
    <row r="39" spans="1:23" x14ac:dyDescent="0.3">
      <c r="A39" s="143"/>
      <c r="B39" s="137">
        <v>5</v>
      </c>
      <c r="C39" s="137" t="s">
        <v>2072</v>
      </c>
      <c r="D39" s="137" t="s">
        <v>2046</v>
      </c>
      <c r="E39" s="137">
        <v>1000317467</v>
      </c>
      <c r="F39" s="137" t="s">
        <v>2098</v>
      </c>
      <c r="G39" s="137" t="s">
        <v>2099</v>
      </c>
      <c r="H39" s="137" t="s">
        <v>2100</v>
      </c>
      <c r="I39" s="137" t="s">
        <v>2097</v>
      </c>
      <c r="J39" s="137" t="s">
        <v>2047</v>
      </c>
      <c r="K39" s="137" t="s">
        <v>2048</v>
      </c>
      <c r="L39" s="139">
        <f t="shared" si="5"/>
        <v>1952211138551448</v>
      </c>
      <c r="M39" s="140">
        <f t="shared" si="10"/>
        <v>121770691</v>
      </c>
      <c r="N39" s="141">
        <f t="shared" si="7"/>
        <v>4.8251641646325722E-3</v>
      </c>
      <c r="O39" s="141">
        <f t="shared" si="8"/>
        <v>7.4781926706922949E-2</v>
      </c>
      <c r="P39" s="141">
        <f t="shared" si="9"/>
        <v>0.92039290912844451</v>
      </c>
      <c r="Q39" s="140">
        <v>124</v>
      </c>
      <c r="R39" s="139">
        <v>9419739227535</v>
      </c>
      <c r="S39" s="140">
        <v>1864790</v>
      </c>
      <c r="T39" s="139">
        <v>145990110279593</v>
      </c>
      <c r="U39" s="140">
        <v>119905777</v>
      </c>
      <c r="V39" s="139">
        <v>1796801289044320</v>
      </c>
      <c r="W39" s="142"/>
    </row>
    <row r="40" spans="1:23" x14ac:dyDescent="0.3">
      <c r="A40" s="143"/>
      <c r="B40" s="137">
        <v>5</v>
      </c>
      <c r="C40" s="137" t="s">
        <v>2072</v>
      </c>
      <c r="D40" s="137" t="s">
        <v>2046</v>
      </c>
      <c r="E40" s="137">
        <v>1000317467</v>
      </c>
      <c r="F40" s="137" t="s">
        <v>2098</v>
      </c>
      <c r="G40" s="137" t="s">
        <v>2099</v>
      </c>
      <c r="H40" s="137" t="s">
        <v>2100</v>
      </c>
      <c r="I40" s="137" t="s">
        <v>2097</v>
      </c>
      <c r="J40" s="137" t="s">
        <v>2050</v>
      </c>
      <c r="K40" s="137" t="s">
        <v>2046</v>
      </c>
      <c r="L40" s="139">
        <f t="shared" si="5"/>
        <v>10122253604553</v>
      </c>
      <c r="M40" s="140">
        <f t="shared" si="10"/>
        <v>916984</v>
      </c>
      <c r="N40" s="141">
        <f t="shared" si="7"/>
        <v>0.16047039594931492</v>
      </c>
      <c r="O40" s="141">
        <f t="shared" si="8"/>
        <v>0.43075273420839633</v>
      </c>
      <c r="P40" s="141">
        <f t="shared" si="9"/>
        <v>0.40877686984228878</v>
      </c>
      <c r="Q40" s="140">
        <v>389</v>
      </c>
      <c r="R40" s="139">
        <v>1624322043822</v>
      </c>
      <c r="S40" s="140">
        <v>36970</v>
      </c>
      <c r="T40" s="139">
        <v>4360188416512</v>
      </c>
      <c r="U40" s="140">
        <v>879625</v>
      </c>
      <c r="V40" s="139">
        <v>4137743144219</v>
      </c>
      <c r="W40" s="142"/>
    </row>
    <row r="41" spans="1:23" x14ac:dyDescent="0.3">
      <c r="A41" s="143"/>
      <c r="B41" s="137">
        <v>5</v>
      </c>
      <c r="C41" s="137" t="s">
        <v>2072</v>
      </c>
      <c r="D41" s="137" t="s">
        <v>2046</v>
      </c>
      <c r="E41" s="137">
        <v>1000317467</v>
      </c>
      <c r="F41" s="137" t="s">
        <v>2098</v>
      </c>
      <c r="G41" s="137" t="s">
        <v>2099</v>
      </c>
      <c r="H41" s="137" t="s">
        <v>2100</v>
      </c>
      <c r="I41" s="137" t="s">
        <v>2097</v>
      </c>
      <c r="J41" s="137" t="s">
        <v>2045</v>
      </c>
      <c r="K41" s="137" t="s">
        <v>2046</v>
      </c>
      <c r="L41" s="139">
        <f t="shared" si="5"/>
        <v>45759538532588</v>
      </c>
      <c r="M41" s="140">
        <f t="shared" si="10"/>
        <v>1170823</v>
      </c>
      <c r="N41" s="141">
        <f t="shared" si="7"/>
        <v>4.1926653433397153E-2</v>
      </c>
      <c r="O41" s="141">
        <f t="shared" si="8"/>
        <v>0.15303011071910297</v>
      </c>
      <c r="P41" s="141">
        <f t="shared" si="9"/>
        <v>0.80504323584749993</v>
      </c>
      <c r="Q41" s="140">
        <v>2776</v>
      </c>
      <c r="R41" s="139">
        <v>1918544313328</v>
      </c>
      <c r="S41" s="140">
        <v>107443</v>
      </c>
      <c r="T41" s="139">
        <v>7002587248097</v>
      </c>
      <c r="U41" s="140">
        <v>1060604</v>
      </c>
      <c r="V41" s="139">
        <v>36838406971163</v>
      </c>
      <c r="W41" s="142"/>
    </row>
    <row r="42" spans="1:23" x14ac:dyDescent="0.3">
      <c r="A42" s="143"/>
      <c r="B42" s="137">
        <v>5</v>
      </c>
      <c r="C42" s="137" t="s">
        <v>2087</v>
      </c>
      <c r="D42" s="137" t="s">
        <v>2046</v>
      </c>
      <c r="E42" s="137">
        <v>1000317467</v>
      </c>
      <c r="F42" s="137" t="s">
        <v>2098</v>
      </c>
      <c r="G42" s="137" t="s">
        <v>2101</v>
      </c>
      <c r="H42" s="137" t="s">
        <v>2101</v>
      </c>
      <c r="I42" s="137" t="s">
        <v>2102</v>
      </c>
      <c r="J42" s="137" t="s">
        <v>2045</v>
      </c>
      <c r="K42" s="137" t="s">
        <v>2046</v>
      </c>
      <c r="L42" s="139">
        <f t="shared" si="5"/>
        <v>27320225004903</v>
      </c>
      <c r="M42" s="140">
        <f t="shared" si="10"/>
        <v>96647</v>
      </c>
      <c r="N42" s="141">
        <f t="shared" si="7"/>
        <v>0</v>
      </c>
      <c r="O42" s="141">
        <f t="shared" si="8"/>
        <v>0</v>
      </c>
      <c r="P42" s="141">
        <f t="shared" si="9"/>
        <v>1</v>
      </c>
      <c r="Q42" s="140">
        <v>0</v>
      </c>
      <c r="R42" s="139">
        <v>0</v>
      </c>
      <c r="S42" s="140">
        <v>0</v>
      </c>
      <c r="T42" s="139">
        <v>0</v>
      </c>
      <c r="U42" s="140">
        <v>96647</v>
      </c>
      <c r="V42" s="139">
        <v>27320225004903</v>
      </c>
      <c r="W42" s="142"/>
    </row>
    <row r="43" spans="1:23" x14ac:dyDescent="0.3">
      <c r="A43" s="143"/>
      <c r="B43" s="137">
        <v>6</v>
      </c>
      <c r="C43" s="137" t="s">
        <v>2072</v>
      </c>
      <c r="D43" s="137" t="s">
        <v>2046</v>
      </c>
      <c r="E43" s="137">
        <v>1000325538</v>
      </c>
      <c r="F43" s="137" t="s">
        <v>2103</v>
      </c>
      <c r="G43" s="137" t="s">
        <v>2104</v>
      </c>
      <c r="H43" s="137" t="s">
        <v>2105</v>
      </c>
      <c r="I43" s="137" t="s">
        <v>2097</v>
      </c>
      <c r="J43" s="137" t="s">
        <v>2047</v>
      </c>
      <c r="K43" s="137" t="s">
        <v>2048</v>
      </c>
      <c r="L43" s="139">
        <f t="shared" si="5"/>
        <v>382172303230734</v>
      </c>
      <c r="M43" s="140">
        <f t="shared" si="10"/>
        <v>7299754</v>
      </c>
      <c r="N43" s="141">
        <f t="shared" si="7"/>
        <v>6.9590454871982484E-3</v>
      </c>
      <c r="O43" s="141">
        <f t="shared" si="8"/>
        <v>0</v>
      </c>
      <c r="P43" s="141">
        <f t="shared" si="9"/>
        <v>0.99304095451280172</v>
      </c>
      <c r="Q43" s="140">
        <v>51</v>
      </c>
      <c r="R43" s="139">
        <v>2659554442130</v>
      </c>
      <c r="S43" s="140">
        <v>0</v>
      </c>
      <c r="T43" s="139">
        <v>0</v>
      </c>
      <c r="U43" s="140">
        <v>7299703</v>
      </c>
      <c r="V43" s="139">
        <v>379512748788604</v>
      </c>
      <c r="W43" s="142"/>
    </row>
    <row r="44" spans="1:23" x14ac:dyDescent="0.3">
      <c r="A44" s="143"/>
      <c r="B44" s="137">
        <v>6</v>
      </c>
      <c r="C44" s="137" t="s">
        <v>2072</v>
      </c>
      <c r="D44" s="137" t="s">
        <v>2046</v>
      </c>
      <c r="E44" s="137">
        <v>1000325538</v>
      </c>
      <c r="F44" s="137" t="s">
        <v>2103</v>
      </c>
      <c r="G44" s="137" t="s">
        <v>2104</v>
      </c>
      <c r="H44" s="137" t="s">
        <v>2105</v>
      </c>
      <c r="I44" s="137" t="s">
        <v>2097</v>
      </c>
      <c r="J44" s="137" t="s">
        <v>2050</v>
      </c>
      <c r="K44" s="137" t="s">
        <v>2046</v>
      </c>
      <c r="L44" s="139">
        <f t="shared" si="5"/>
        <v>6634194145</v>
      </c>
      <c r="M44" s="140">
        <f t="shared" si="10"/>
        <v>5947</v>
      </c>
      <c r="N44" s="141">
        <f t="shared" si="7"/>
        <v>0</v>
      </c>
      <c r="O44" s="141">
        <f t="shared" si="8"/>
        <v>6.6555010653822216E-2</v>
      </c>
      <c r="P44" s="141">
        <f t="shared" si="9"/>
        <v>0.93344498934617781</v>
      </c>
      <c r="Q44" s="140">
        <v>0</v>
      </c>
      <c r="R44" s="139">
        <v>0</v>
      </c>
      <c r="S44" s="140">
        <v>195</v>
      </c>
      <c r="T44" s="139">
        <v>441538862</v>
      </c>
      <c r="U44" s="140">
        <v>5752</v>
      </c>
      <c r="V44" s="139">
        <v>6192655283</v>
      </c>
      <c r="W44" s="142"/>
    </row>
    <row r="45" spans="1:23" x14ac:dyDescent="0.3">
      <c r="A45" s="143"/>
      <c r="B45" s="137">
        <v>6</v>
      </c>
      <c r="C45" s="137" t="s">
        <v>2072</v>
      </c>
      <c r="D45" s="137" t="s">
        <v>2077</v>
      </c>
      <c r="E45" s="137">
        <v>1000325538</v>
      </c>
      <c r="F45" s="137" t="s">
        <v>2103</v>
      </c>
      <c r="G45" s="137" t="s">
        <v>2104</v>
      </c>
      <c r="H45" s="137" t="s">
        <v>2105</v>
      </c>
      <c r="I45" s="137" t="s">
        <v>2097</v>
      </c>
      <c r="J45" s="137" t="s">
        <v>2045</v>
      </c>
      <c r="K45" s="137" t="s">
        <v>2046</v>
      </c>
      <c r="L45" s="139">
        <f t="shared" si="5"/>
        <v>6639049794656</v>
      </c>
      <c r="M45" s="140">
        <f t="shared" si="10"/>
        <v>234545</v>
      </c>
      <c r="N45" s="141">
        <f t="shared" si="7"/>
        <v>1.9494705812898062E-2</v>
      </c>
      <c r="O45" s="141">
        <f t="shared" si="8"/>
        <v>0.36198133696141704</v>
      </c>
      <c r="P45" s="141">
        <f t="shared" si="9"/>
        <v>0.61852395722568487</v>
      </c>
      <c r="Q45" s="140">
        <v>113</v>
      </c>
      <c r="R45" s="139">
        <v>129426322624</v>
      </c>
      <c r="S45" s="140">
        <v>2860</v>
      </c>
      <c r="T45" s="139">
        <v>2403212120823</v>
      </c>
      <c r="U45" s="140">
        <v>231572</v>
      </c>
      <c r="V45" s="139">
        <v>4106411351209</v>
      </c>
      <c r="W45" s="142" t="s">
        <v>2106</v>
      </c>
    </row>
    <row r="46" spans="1:23" x14ac:dyDescent="0.3">
      <c r="A46" s="143"/>
      <c r="B46" s="137">
        <v>6</v>
      </c>
      <c r="C46" s="137" t="s">
        <v>2087</v>
      </c>
      <c r="D46" s="137" t="s">
        <v>2046</v>
      </c>
      <c r="E46" s="137">
        <v>1000325538</v>
      </c>
      <c r="F46" s="137" t="s">
        <v>2103</v>
      </c>
      <c r="G46" s="137" t="s">
        <v>2107</v>
      </c>
      <c r="H46" s="137" t="s">
        <v>2107</v>
      </c>
      <c r="I46" s="137" t="s">
        <v>2102</v>
      </c>
      <c r="J46" s="137" t="s">
        <v>2047</v>
      </c>
      <c r="K46" s="137" t="s">
        <v>2048</v>
      </c>
      <c r="L46" s="139">
        <f t="shared" si="5"/>
        <v>865239830173994</v>
      </c>
      <c r="M46" s="140">
        <f t="shared" si="10"/>
        <v>8684780</v>
      </c>
      <c r="N46" s="141">
        <f t="shared" si="7"/>
        <v>7.1746621116964204E-4</v>
      </c>
      <c r="O46" s="141">
        <f t="shared" si="8"/>
        <v>0</v>
      </c>
      <c r="P46" s="141">
        <f t="shared" si="9"/>
        <v>0.99928253378883036</v>
      </c>
      <c r="Q46" s="140">
        <v>294</v>
      </c>
      <c r="R46" s="139">
        <v>620780342708</v>
      </c>
      <c r="S46" s="140">
        <v>0</v>
      </c>
      <c r="T46" s="139">
        <v>0</v>
      </c>
      <c r="U46" s="140">
        <v>8684486</v>
      </c>
      <c r="V46" s="139">
        <v>864619049831286</v>
      </c>
      <c r="W46" s="142"/>
    </row>
    <row r="47" spans="1:23" x14ac:dyDescent="0.3">
      <c r="A47" s="143"/>
      <c r="B47" s="137">
        <v>6</v>
      </c>
      <c r="C47" s="137" t="s">
        <v>2087</v>
      </c>
      <c r="D47" s="137" t="s">
        <v>2046</v>
      </c>
      <c r="E47" s="137">
        <v>1000325538</v>
      </c>
      <c r="F47" s="137" t="s">
        <v>2103</v>
      </c>
      <c r="G47" s="137" t="s">
        <v>2107</v>
      </c>
      <c r="H47" s="137" t="s">
        <v>2107</v>
      </c>
      <c r="I47" s="137" t="s">
        <v>2102</v>
      </c>
      <c r="J47" s="137" t="s">
        <v>2050</v>
      </c>
      <c r="K47" s="137" t="s">
        <v>2046</v>
      </c>
      <c r="L47" s="139">
        <f t="shared" si="5"/>
        <v>12918718273</v>
      </c>
      <c r="M47" s="140">
        <f t="shared" si="10"/>
        <v>11766</v>
      </c>
      <c r="N47" s="141">
        <f t="shared" si="7"/>
        <v>0</v>
      </c>
      <c r="O47" s="141">
        <f t="shared" si="8"/>
        <v>4.4310299745167293E-2</v>
      </c>
      <c r="P47" s="141">
        <f t="shared" si="9"/>
        <v>0.95568970025483269</v>
      </c>
      <c r="Q47" s="140">
        <v>0</v>
      </c>
      <c r="R47" s="139">
        <v>0</v>
      </c>
      <c r="S47" s="140">
        <v>658</v>
      </c>
      <c r="T47" s="139">
        <v>572432279</v>
      </c>
      <c r="U47" s="140">
        <v>11108</v>
      </c>
      <c r="V47" s="139">
        <v>12346285994</v>
      </c>
      <c r="W47" s="142"/>
    </row>
    <row r="48" spans="1:23" x14ac:dyDescent="0.3">
      <c r="A48" s="143"/>
      <c r="B48" s="137">
        <v>6</v>
      </c>
      <c r="C48" s="137" t="s">
        <v>2087</v>
      </c>
      <c r="D48" s="137" t="s">
        <v>2077</v>
      </c>
      <c r="E48" s="137">
        <v>1000325538</v>
      </c>
      <c r="F48" s="137" t="s">
        <v>2103</v>
      </c>
      <c r="G48" s="137" t="s">
        <v>2107</v>
      </c>
      <c r="H48" s="137" t="s">
        <v>2107</v>
      </c>
      <c r="I48" s="137" t="s">
        <v>2097</v>
      </c>
      <c r="J48" s="137" t="s">
        <v>2045</v>
      </c>
      <c r="K48" s="137" t="s">
        <v>2048</v>
      </c>
      <c r="L48" s="139">
        <f t="shared" si="5"/>
        <v>14830065797603</v>
      </c>
      <c r="M48" s="140">
        <f t="shared" si="10"/>
        <v>305276</v>
      </c>
      <c r="N48" s="141">
        <f t="shared" si="7"/>
        <v>2.729220752556738E-2</v>
      </c>
      <c r="O48" s="141">
        <f t="shared" si="8"/>
        <v>0.58853935553129699</v>
      </c>
      <c r="P48" s="141">
        <f t="shared" si="9"/>
        <v>0.38416843694313557</v>
      </c>
      <c r="Q48" s="140">
        <v>136</v>
      </c>
      <c r="R48" s="139">
        <v>404745233366</v>
      </c>
      <c r="S48" s="140">
        <v>13234</v>
      </c>
      <c r="T48" s="139">
        <v>8728077367008</v>
      </c>
      <c r="U48" s="140">
        <v>291906</v>
      </c>
      <c r="V48" s="139">
        <v>5697243197229</v>
      </c>
      <c r="W48" s="142"/>
    </row>
    <row r="49" spans="1:23" x14ac:dyDescent="0.3">
      <c r="A49" s="143"/>
      <c r="B49" s="137">
        <v>7</v>
      </c>
      <c r="C49" s="137" t="s">
        <v>2072</v>
      </c>
      <c r="D49" s="137" t="s">
        <v>2048</v>
      </c>
      <c r="E49" s="137">
        <v>1000326122</v>
      </c>
      <c r="F49" s="137" t="s">
        <v>2108</v>
      </c>
      <c r="G49" s="137" t="s">
        <v>2109</v>
      </c>
      <c r="H49" s="137" t="s">
        <v>2110</v>
      </c>
      <c r="I49" s="137" t="s">
        <v>2097</v>
      </c>
      <c r="J49" s="137" t="s">
        <v>2111</v>
      </c>
      <c r="K49" s="137" t="s">
        <v>2048</v>
      </c>
      <c r="L49" s="139">
        <f t="shared" si="5"/>
        <v>23157624943763</v>
      </c>
      <c r="M49" s="140">
        <f t="shared" si="10"/>
        <v>76750</v>
      </c>
      <c r="N49" s="141">
        <f t="shared" si="7"/>
        <v>0</v>
      </c>
      <c r="O49" s="141">
        <f t="shared" si="8"/>
        <v>3.4402472975475329E-2</v>
      </c>
      <c r="P49" s="141">
        <f t="shared" si="9"/>
        <v>0.96559752702452462</v>
      </c>
      <c r="Q49" s="140">
        <v>0</v>
      </c>
      <c r="R49" s="139">
        <v>0</v>
      </c>
      <c r="S49" s="140">
        <v>1445</v>
      </c>
      <c r="T49" s="139">
        <v>796679566304</v>
      </c>
      <c r="U49" s="140">
        <v>75305</v>
      </c>
      <c r="V49" s="139">
        <v>22360945377459</v>
      </c>
      <c r="W49" s="142"/>
    </row>
    <row r="50" spans="1:23" x14ac:dyDescent="0.3">
      <c r="A50" s="143"/>
      <c r="B50" s="137">
        <v>7</v>
      </c>
      <c r="C50" s="137" t="s">
        <v>2072</v>
      </c>
      <c r="D50" s="137" t="s">
        <v>2048</v>
      </c>
      <c r="E50" s="137">
        <v>1000326122</v>
      </c>
      <c r="F50" s="137" t="s">
        <v>2108</v>
      </c>
      <c r="G50" s="137" t="s">
        <v>2109</v>
      </c>
      <c r="H50" s="137" t="s">
        <v>2110</v>
      </c>
      <c r="I50" s="137" t="s">
        <v>2097</v>
      </c>
      <c r="J50" s="137" t="s">
        <v>2047</v>
      </c>
      <c r="K50" s="137" t="s">
        <v>2048</v>
      </c>
      <c r="L50" s="139">
        <f t="shared" si="5"/>
        <v>495348627853980</v>
      </c>
      <c r="M50" s="140">
        <f t="shared" si="10"/>
        <v>7791663</v>
      </c>
      <c r="N50" s="141">
        <f t="shared" si="7"/>
        <v>1.8367962472366211E-3</v>
      </c>
      <c r="O50" s="141">
        <f t="shared" si="8"/>
        <v>0</v>
      </c>
      <c r="P50" s="141">
        <f t="shared" si="9"/>
        <v>0.99816320375276335</v>
      </c>
      <c r="Q50" s="140">
        <v>12</v>
      </c>
      <c r="R50" s="139">
        <v>909854500716</v>
      </c>
      <c r="S50" s="140">
        <v>0</v>
      </c>
      <c r="T50" s="139">
        <v>0</v>
      </c>
      <c r="U50" s="140">
        <v>7791651</v>
      </c>
      <c r="V50" s="139">
        <v>494438773353264</v>
      </c>
      <c r="W50" s="142"/>
    </row>
    <row r="51" spans="1:23" x14ac:dyDescent="0.3">
      <c r="A51" s="143"/>
      <c r="B51" s="137">
        <v>7</v>
      </c>
      <c r="C51" s="137" t="s">
        <v>2072</v>
      </c>
      <c r="D51" s="137" t="s">
        <v>2048</v>
      </c>
      <c r="E51" s="137">
        <v>1000326122</v>
      </c>
      <c r="F51" s="137" t="s">
        <v>2108</v>
      </c>
      <c r="G51" s="137" t="s">
        <v>2109</v>
      </c>
      <c r="H51" s="137" t="s">
        <v>2110</v>
      </c>
      <c r="I51" s="137" t="s">
        <v>2097</v>
      </c>
      <c r="J51" s="137" t="s">
        <v>2050</v>
      </c>
      <c r="K51" s="137" t="s">
        <v>2048</v>
      </c>
      <c r="L51" s="139">
        <f t="shared" si="5"/>
        <v>1610288512221</v>
      </c>
      <c r="M51" s="140">
        <f t="shared" si="10"/>
        <v>813061</v>
      </c>
      <c r="N51" s="141">
        <f t="shared" si="7"/>
        <v>2.8181450762763623E-2</v>
      </c>
      <c r="O51" s="141">
        <f t="shared" si="8"/>
        <v>0.22668748540379705</v>
      </c>
      <c r="P51" s="141">
        <f t="shared" si="9"/>
        <v>0.7451310638334393</v>
      </c>
      <c r="Q51" s="140">
        <v>71</v>
      </c>
      <c r="R51" s="139">
        <v>45380266421</v>
      </c>
      <c r="S51" s="140">
        <v>7018</v>
      </c>
      <c r="T51" s="139">
        <v>365032253610</v>
      </c>
      <c r="U51" s="140">
        <v>805972</v>
      </c>
      <c r="V51" s="139">
        <v>1199875992190</v>
      </c>
      <c r="W51" s="142"/>
    </row>
    <row r="52" spans="1:23" x14ac:dyDescent="0.3">
      <c r="A52" s="143"/>
      <c r="B52" s="137">
        <v>7</v>
      </c>
      <c r="C52" s="137" t="s">
        <v>2072</v>
      </c>
      <c r="D52" s="137" t="s">
        <v>2048</v>
      </c>
      <c r="E52" s="137">
        <v>1000326122</v>
      </c>
      <c r="F52" s="137" t="s">
        <v>2108</v>
      </c>
      <c r="G52" s="137" t="s">
        <v>2109</v>
      </c>
      <c r="H52" s="137" t="s">
        <v>2110</v>
      </c>
      <c r="I52" s="137" t="s">
        <v>2097</v>
      </c>
      <c r="J52" s="137" t="s">
        <v>2045</v>
      </c>
      <c r="K52" s="137" t="s">
        <v>2048</v>
      </c>
      <c r="L52" s="139">
        <f t="shared" si="5"/>
        <v>12050267614336</v>
      </c>
      <c r="M52" s="140">
        <f t="shared" si="10"/>
        <v>185867</v>
      </c>
      <c r="N52" s="141">
        <f t="shared" si="7"/>
        <v>2.1991404583723204E-2</v>
      </c>
      <c r="O52" s="141">
        <f t="shared" si="8"/>
        <v>8.8071664722898318E-2</v>
      </c>
      <c r="P52" s="141">
        <f t="shared" si="9"/>
        <v>0.88993693069337843</v>
      </c>
      <c r="Q52" s="140">
        <v>292</v>
      </c>
      <c r="R52" s="139">
        <v>265002310449</v>
      </c>
      <c r="S52" s="140">
        <v>6312</v>
      </c>
      <c r="T52" s="139">
        <v>1061287129151</v>
      </c>
      <c r="U52" s="140">
        <v>179263</v>
      </c>
      <c r="V52" s="139">
        <v>10723978174736</v>
      </c>
      <c r="W52" s="142"/>
    </row>
    <row r="53" spans="1:23" x14ac:dyDescent="0.3">
      <c r="A53" s="143"/>
      <c r="B53" s="137">
        <v>7</v>
      </c>
      <c r="C53" s="137" t="s">
        <v>2072</v>
      </c>
      <c r="D53" s="137" t="s">
        <v>2048</v>
      </c>
      <c r="E53" s="137">
        <v>1000326122</v>
      </c>
      <c r="F53" s="137" t="s">
        <v>2108</v>
      </c>
      <c r="G53" s="137" t="s">
        <v>2109</v>
      </c>
      <c r="H53" s="137" t="s">
        <v>2112</v>
      </c>
      <c r="I53" s="137" t="s">
        <v>2097</v>
      </c>
      <c r="J53" s="137" t="s">
        <v>2047</v>
      </c>
      <c r="K53" s="137" t="s">
        <v>2048</v>
      </c>
      <c r="L53" s="139">
        <f t="shared" si="5"/>
        <v>1939911903</v>
      </c>
      <c r="M53" s="140">
        <f t="shared" si="10"/>
        <v>11476</v>
      </c>
      <c r="N53" s="141">
        <f t="shared" si="7"/>
        <v>0</v>
      </c>
      <c r="O53" s="141">
        <f t="shared" si="8"/>
        <v>0</v>
      </c>
      <c r="P53" s="141">
        <f t="shared" si="9"/>
        <v>1</v>
      </c>
      <c r="Q53" s="140">
        <v>0</v>
      </c>
      <c r="R53" s="144">
        <v>0</v>
      </c>
      <c r="S53" s="140">
        <v>0</v>
      </c>
      <c r="T53" s="144">
        <v>0</v>
      </c>
      <c r="U53" s="140">
        <v>11476</v>
      </c>
      <c r="V53" s="144">
        <v>1939911903</v>
      </c>
      <c r="W53" s="142" t="s">
        <v>2113</v>
      </c>
    </row>
    <row r="54" spans="1:23" x14ac:dyDescent="0.3">
      <c r="A54" s="143"/>
      <c r="B54" s="137">
        <v>7</v>
      </c>
      <c r="C54" s="137" t="s">
        <v>2072</v>
      </c>
      <c r="D54" s="137" t="s">
        <v>2048</v>
      </c>
      <c r="E54" s="137">
        <v>1000326122</v>
      </c>
      <c r="F54" s="137" t="s">
        <v>2108</v>
      </c>
      <c r="G54" s="137" t="s">
        <v>2109</v>
      </c>
      <c r="H54" s="137" t="s">
        <v>2112</v>
      </c>
      <c r="I54" s="137" t="s">
        <v>2097</v>
      </c>
      <c r="J54" s="137" t="s">
        <v>2050</v>
      </c>
      <c r="K54" s="137" t="s">
        <v>2048</v>
      </c>
      <c r="L54" s="139">
        <f t="shared" si="5"/>
        <v>91522816</v>
      </c>
      <c r="M54" s="140">
        <f t="shared" si="10"/>
        <v>1571</v>
      </c>
      <c r="N54" s="141">
        <f t="shared" si="7"/>
        <v>0</v>
      </c>
      <c r="O54" s="141">
        <f t="shared" si="8"/>
        <v>0.11947141136916067</v>
      </c>
      <c r="P54" s="141">
        <f t="shared" si="9"/>
        <v>0.88052858863083938</v>
      </c>
      <c r="Q54" s="140">
        <v>0</v>
      </c>
      <c r="R54" s="144">
        <v>0</v>
      </c>
      <c r="S54" s="140">
        <v>76</v>
      </c>
      <c r="T54" s="144">
        <v>10934360</v>
      </c>
      <c r="U54" s="140">
        <v>1495</v>
      </c>
      <c r="V54" s="144">
        <v>80588456</v>
      </c>
      <c r="W54" s="142" t="s">
        <v>2114</v>
      </c>
    </row>
    <row r="55" spans="1:23" x14ac:dyDescent="0.3">
      <c r="A55" s="143"/>
      <c r="B55" s="137">
        <v>7</v>
      </c>
      <c r="C55" s="137" t="s">
        <v>2072</v>
      </c>
      <c r="D55" s="137" t="s">
        <v>2048</v>
      </c>
      <c r="E55" s="137">
        <v>1000326122</v>
      </c>
      <c r="F55" s="137" t="s">
        <v>2108</v>
      </c>
      <c r="G55" s="137" t="s">
        <v>2109</v>
      </c>
      <c r="H55" s="137" t="s">
        <v>2112</v>
      </c>
      <c r="I55" s="137" t="s">
        <v>2097</v>
      </c>
      <c r="J55" s="137" t="s">
        <v>2045</v>
      </c>
      <c r="K55" s="137" t="s">
        <v>2048</v>
      </c>
      <c r="L55" s="139">
        <f t="shared" si="5"/>
        <v>394418166</v>
      </c>
      <c r="M55" s="140">
        <f t="shared" si="10"/>
        <v>37</v>
      </c>
      <c r="N55" s="141">
        <f t="shared" si="7"/>
        <v>0</v>
      </c>
      <c r="O55" s="141">
        <f t="shared" si="8"/>
        <v>0.56219297972193294</v>
      </c>
      <c r="P55" s="141">
        <f t="shared" si="9"/>
        <v>0.43780702027806701</v>
      </c>
      <c r="Q55" s="140">
        <v>0</v>
      </c>
      <c r="R55" s="144">
        <v>0</v>
      </c>
      <c r="S55" s="140">
        <v>12</v>
      </c>
      <c r="T55" s="144">
        <v>221739124</v>
      </c>
      <c r="U55" s="140">
        <v>25</v>
      </c>
      <c r="V55" s="144">
        <v>172679042</v>
      </c>
      <c r="W55" s="142" t="s">
        <v>2115</v>
      </c>
    </row>
    <row r="56" spans="1:23" x14ac:dyDescent="0.3">
      <c r="A56" s="143"/>
      <c r="B56" s="137">
        <v>7</v>
      </c>
      <c r="C56" s="137" t="s">
        <v>2072</v>
      </c>
      <c r="D56" s="137" t="s">
        <v>2048</v>
      </c>
      <c r="E56" s="137">
        <v>1000326122</v>
      </c>
      <c r="F56" s="137" t="s">
        <v>2108</v>
      </c>
      <c r="G56" s="137" t="s">
        <v>2109</v>
      </c>
      <c r="H56" s="137" t="s">
        <v>2116</v>
      </c>
      <c r="I56" s="137" t="s">
        <v>2097</v>
      </c>
      <c r="J56" s="137" t="s">
        <v>2047</v>
      </c>
      <c r="K56" s="137" t="s">
        <v>2048</v>
      </c>
      <c r="L56" s="139">
        <f t="shared" si="5"/>
        <v>23824400</v>
      </c>
      <c r="M56" s="140">
        <f t="shared" si="10"/>
        <v>10947</v>
      </c>
      <c r="N56" s="141">
        <f t="shared" si="7"/>
        <v>9.6766340390523999E-4</v>
      </c>
      <c r="O56" s="141">
        <f t="shared" si="8"/>
        <v>0</v>
      </c>
      <c r="P56" s="141">
        <f t="shared" si="9"/>
        <v>0.99903233659609481</v>
      </c>
      <c r="Q56" s="140">
        <v>2</v>
      </c>
      <c r="R56" s="145">
        <v>23054</v>
      </c>
      <c r="S56" s="140">
        <v>0</v>
      </c>
      <c r="T56" s="145">
        <v>0</v>
      </c>
      <c r="U56" s="140">
        <v>10945</v>
      </c>
      <c r="V56" s="145">
        <v>23801346</v>
      </c>
      <c r="W56" s="142"/>
    </row>
    <row r="57" spans="1:23" x14ac:dyDescent="0.3">
      <c r="A57" s="143"/>
      <c r="B57" s="137">
        <v>7</v>
      </c>
      <c r="C57" s="137" t="s">
        <v>2072</v>
      </c>
      <c r="D57" s="137" t="s">
        <v>2048</v>
      </c>
      <c r="E57" s="137">
        <v>1000326122</v>
      </c>
      <c r="F57" s="137" t="s">
        <v>2108</v>
      </c>
      <c r="G57" s="137" t="s">
        <v>2109</v>
      </c>
      <c r="H57" s="137" t="s">
        <v>2116</v>
      </c>
      <c r="I57" s="137" t="s">
        <v>2097</v>
      </c>
      <c r="J57" s="137" t="s">
        <v>2050</v>
      </c>
      <c r="K57" s="137" t="s">
        <v>2048</v>
      </c>
      <c r="L57" s="139">
        <f t="shared" si="5"/>
        <v>1082056.56</v>
      </c>
      <c r="M57" s="140">
        <f t="shared" si="10"/>
        <v>1847</v>
      </c>
      <c r="N57" s="141">
        <f t="shared" si="7"/>
        <v>0</v>
      </c>
      <c r="O57" s="141">
        <f t="shared" si="8"/>
        <v>0.22619139243516068</v>
      </c>
      <c r="P57" s="141">
        <f t="shared" si="9"/>
        <v>0.77380860756483927</v>
      </c>
      <c r="Q57" s="140">
        <v>0</v>
      </c>
      <c r="R57" s="145">
        <v>0</v>
      </c>
      <c r="S57" s="140">
        <v>66</v>
      </c>
      <c r="T57" s="145">
        <v>244751.88</v>
      </c>
      <c r="U57" s="140">
        <v>1781</v>
      </c>
      <c r="V57" s="145">
        <v>837304.68</v>
      </c>
      <c r="W57" s="142"/>
    </row>
    <row r="58" spans="1:23" x14ac:dyDescent="0.3">
      <c r="A58" s="143"/>
      <c r="B58" s="137">
        <v>7</v>
      </c>
      <c r="C58" s="137" t="s">
        <v>2072</v>
      </c>
      <c r="D58" s="137" t="s">
        <v>2048</v>
      </c>
      <c r="E58" s="137">
        <v>1000326122</v>
      </c>
      <c r="F58" s="137" t="s">
        <v>2108</v>
      </c>
      <c r="G58" s="137" t="s">
        <v>2109</v>
      </c>
      <c r="H58" s="137" t="s">
        <v>2116</v>
      </c>
      <c r="I58" s="137" t="s">
        <v>2097</v>
      </c>
      <c r="J58" s="137" t="s">
        <v>2045</v>
      </c>
      <c r="K58" s="137" t="s">
        <v>2048</v>
      </c>
      <c r="L58" s="139">
        <f t="shared" si="5"/>
        <v>1583331.04</v>
      </c>
      <c r="M58" s="140">
        <f t="shared" si="10"/>
        <v>21</v>
      </c>
      <c r="N58" s="141">
        <f t="shared" si="7"/>
        <v>0</v>
      </c>
      <c r="O58" s="141">
        <f t="shared" si="8"/>
        <v>1</v>
      </c>
      <c r="P58" s="141">
        <f t="shared" si="9"/>
        <v>0</v>
      </c>
      <c r="Q58" s="140">
        <v>0</v>
      </c>
      <c r="R58" s="145">
        <v>0</v>
      </c>
      <c r="S58" s="140">
        <v>21</v>
      </c>
      <c r="T58" s="145">
        <v>1583331.04</v>
      </c>
      <c r="U58" s="140">
        <v>0</v>
      </c>
      <c r="V58" s="145">
        <v>0</v>
      </c>
      <c r="W58" s="142" t="s">
        <v>2115</v>
      </c>
    </row>
    <row r="59" spans="1:23" x14ac:dyDescent="0.3">
      <c r="A59" s="143"/>
      <c r="B59" s="137">
        <v>12</v>
      </c>
      <c r="C59" s="137" t="s">
        <v>2072</v>
      </c>
      <c r="D59" s="137" t="s">
        <v>2048</v>
      </c>
      <c r="E59" s="137">
        <v>1000316262</v>
      </c>
      <c r="F59" s="137" t="s">
        <v>2117</v>
      </c>
      <c r="G59" s="137" t="s">
        <v>2118</v>
      </c>
      <c r="H59" s="137" t="s">
        <v>2118</v>
      </c>
      <c r="I59" s="137" t="s">
        <v>2097</v>
      </c>
      <c r="J59" s="137" t="s">
        <v>2047</v>
      </c>
      <c r="K59" s="137" t="s">
        <v>2048</v>
      </c>
      <c r="L59" s="139">
        <f t="shared" si="5"/>
        <v>147069777501432</v>
      </c>
      <c r="M59" s="140">
        <f t="shared" si="10"/>
        <v>1457818</v>
      </c>
      <c r="N59" s="141">
        <f t="shared" si="7"/>
        <v>2.9083956592362099E-4</v>
      </c>
      <c r="O59" s="141">
        <f t="shared" si="8"/>
        <v>0</v>
      </c>
      <c r="P59" s="141">
        <f t="shared" si="9"/>
        <v>0.99970916043407643</v>
      </c>
      <c r="Q59" s="140">
        <v>2</v>
      </c>
      <c r="R59" s="139">
        <v>42773710249</v>
      </c>
      <c r="S59" s="140">
        <v>0</v>
      </c>
      <c r="T59" s="139">
        <v>0</v>
      </c>
      <c r="U59" s="140">
        <v>1457816</v>
      </c>
      <c r="V59" s="139">
        <v>147027003791183</v>
      </c>
      <c r="W59" s="142"/>
    </row>
    <row r="60" spans="1:23" x14ac:dyDescent="0.3">
      <c r="A60" s="143"/>
      <c r="B60" s="137">
        <v>12</v>
      </c>
      <c r="C60" s="137" t="s">
        <v>2072</v>
      </c>
      <c r="D60" s="137" t="s">
        <v>2048</v>
      </c>
      <c r="E60" s="137">
        <v>1000316262</v>
      </c>
      <c r="F60" s="137" t="s">
        <v>2117</v>
      </c>
      <c r="G60" s="137" t="s">
        <v>2118</v>
      </c>
      <c r="H60" s="137" t="s">
        <v>2118</v>
      </c>
      <c r="I60" s="137" t="s">
        <v>2097</v>
      </c>
      <c r="J60" s="137" t="s">
        <v>2050</v>
      </c>
      <c r="K60" s="137" t="s">
        <v>2046</v>
      </c>
      <c r="L60" s="139">
        <f t="shared" si="5"/>
        <v>745518841905</v>
      </c>
      <c r="M60" s="140">
        <f t="shared" si="10"/>
        <v>34323</v>
      </c>
      <c r="N60" s="141">
        <f t="shared" si="7"/>
        <v>2.4255586786771356E-2</v>
      </c>
      <c r="O60" s="141">
        <f t="shared" si="8"/>
        <v>0.69955629974870281</v>
      </c>
      <c r="P60" s="141">
        <f t="shared" si="9"/>
        <v>0.27618811346452576</v>
      </c>
      <c r="Q60" s="140">
        <v>21</v>
      </c>
      <c r="R60" s="139">
        <v>18082996971</v>
      </c>
      <c r="S60" s="140">
        <v>2718</v>
      </c>
      <c r="T60" s="139">
        <v>521532402436</v>
      </c>
      <c r="U60" s="140">
        <v>31584</v>
      </c>
      <c r="V60" s="139">
        <v>205903442498</v>
      </c>
      <c r="W60" s="142"/>
    </row>
    <row r="61" spans="1:23" x14ac:dyDescent="0.3">
      <c r="A61" s="143"/>
      <c r="B61" s="137">
        <v>12</v>
      </c>
      <c r="C61" s="137" t="s">
        <v>2072</v>
      </c>
      <c r="D61" s="137" t="s">
        <v>2048</v>
      </c>
      <c r="E61" s="137">
        <v>1000316262</v>
      </c>
      <c r="F61" s="137" t="s">
        <v>2117</v>
      </c>
      <c r="G61" s="137" t="s">
        <v>2118</v>
      </c>
      <c r="H61" s="137" t="s">
        <v>2118</v>
      </c>
      <c r="I61" s="137" t="s">
        <v>2097</v>
      </c>
      <c r="J61" s="137" t="s">
        <v>2045</v>
      </c>
      <c r="K61" s="137" t="s">
        <v>2046</v>
      </c>
      <c r="L61" s="139">
        <f t="shared" si="5"/>
        <v>3659185228424</v>
      </c>
      <c r="M61" s="140">
        <f t="shared" si="10"/>
        <v>129201</v>
      </c>
      <c r="N61" s="141">
        <f t="shared" si="7"/>
        <v>6.8848837807673855E-4</v>
      </c>
      <c r="O61" s="141">
        <f t="shared" si="8"/>
        <v>0.17919654417943029</v>
      </c>
      <c r="P61" s="141">
        <f t="shared" si="9"/>
        <v>0.82011496744249301</v>
      </c>
      <c r="Q61" s="140">
        <v>2</v>
      </c>
      <c r="R61" s="139">
        <v>2519306503</v>
      </c>
      <c r="S61" s="140">
        <v>6048</v>
      </c>
      <c r="T61" s="139">
        <v>655713347446</v>
      </c>
      <c r="U61" s="140">
        <v>123151</v>
      </c>
      <c r="V61" s="139">
        <v>3000952574475</v>
      </c>
      <c r="W61" s="142"/>
    </row>
    <row r="62" spans="1:23" x14ac:dyDescent="0.3">
      <c r="A62" s="143"/>
      <c r="B62" s="137">
        <v>13</v>
      </c>
      <c r="C62" s="137" t="s">
        <v>2072</v>
      </c>
      <c r="D62" s="137" t="s">
        <v>2046</v>
      </c>
      <c r="E62" s="137">
        <v>1000326018</v>
      </c>
      <c r="F62" s="137" t="s">
        <v>2119</v>
      </c>
      <c r="G62" s="137" t="s">
        <v>2120</v>
      </c>
      <c r="H62" s="137" t="s">
        <v>2120</v>
      </c>
      <c r="I62" s="137" t="s">
        <v>2097</v>
      </c>
      <c r="J62" s="137" t="s">
        <v>2047</v>
      </c>
      <c r="K62" s="137" t="s">
        <v>2048</v>
      </c>
      <c r="L62" s="139">
        <f t="shared" si="5"/>
        <v>234737328710916</v>
      </c>
      <c r="M62" s="140">
        <f t="shared" si="10"/>
        <v>9700422</v>
      </c>
      <c r="N62" s="141">
        <f t="shared" si="7"/>
        <v>6.2888876475395053E-2</v>
      </c>
      <c r="O62" s="141">
        <f t="shared" si="8"/>
        <v>0</v>
      </c>
      <c r="P62" s="141">
        <f t="shared" si="9"/>
        <v>0.93711112352460491</v>
      </c>
      <c r="Q62" s="140">
        <v>18</v>
      </c>
      <c r="R62" s="139">
        <v>14762366869465</v>
      </c>
      <c r="S62" s="140">
        <v>0</v>
      </c>
      <c r="T62" s="139">
        <v>0</v>
      </c>
      <c r="U62" s="140">
        <v>9700404</v>
      </c>
      <c r="V62" s="139">
        <v>219974961841451</v>
      </c>
      <c r="W62" s="142"/>
    </row>
    <row r="63" spans="1:23" x14ac:dyDescent="0.3">
      <c r="A63" s="143"/>
      <c r="B63" s="137">
        <v>13</v>
      </c>
      <c r="C63" s="137" t="s">
        <v>2072</v>
      </c>
      <c r="D63" s="137" t="s">
        <v>2046</v>
      </c>
      <c r="E63" s="137">
        <v>1000326018</v>
      </c>
      <c r="F63" s="137" t="s">
        <v>2119</v>
      </c>
      <c r="G63" s="137" t="s">
        <v>2120</v>
      </c>
      <c r="H63" s="137" t="s">
        <v>2120</v>
      </c>
      <c r="I63" s="137" t="s">
        <v>2097</v>
      </c>
      <c r="J63" s="137" t="s">
        <v>2050</v>
      </c>
      <c r="K63" s="137" t="s">
        <v>2046</v>
      </c>
      <c r="L63" s="139">
        <f t="shared" si="5"/>
        <v>843311844883</v>
      </c>
      <c r="M63" s="140">
        <f t="shared" si="10"/>
        <v>542640</v>
      </c>
      <c r="N63" s="141">
        <f t="shared" si="7"/>
        <v>0.16592180861566441</v>
      </c>
      <c r="O63" s="141">
        <f t="shared" si="8"/>
        <v>0.19063154373848964</v>
      </c>
      <c r="P63" s="141">
        <f t="shared" si="9"/>
        <v>0.64344664764584591</v>
      </c>
      <c r="Q63" s="140">
        <v>896</v>
      </c>
      <c r="R63" s="139">
        <v>139923826530</v>
      </c>
      <c r="S63" s="140">
        <v>14556</v>
      </c>
      <c r="T63" s="139">
        <v>160761838843</v>
      </c>
      <c r="U63" s="140">
        <v>527188</v>
      </c>
      <c r="V63" s="139">
        <v>542626179510</v>
      </c>
      <c r="W63" s="142"/>
    </row>
    <row r="64" spans="1:23" x14ac:dyDescent="0.3">
      <c r="A64" s="143"/>
      <c r="B64" s="137">
        <v>13</v>
      </c>
      <c r="C64" s="137" t="s">
        <v>2072</v>
      </c>
      <c r="D64" s="137" t="s">
        <v>2077</v>
      </c>
      <c r="E64" s="137">
        <v>1000326018</v>
      </c>
      <c r="F64" s="137" t="s">
        <v>2119</v>
      </c>
      <c r="G64" s="137" t="s">
        <v>2120</v>
      </c>
      <c r="H64" s="137" t="s">
        <v>2120</v>
      </c>
      <c r="I64" s="137" t="s">
        <v>2097</v>
      </c>
      <c r="J64" s="137" t="s">
        <v>2045</v>
      </c>
      <c r="K64" s="137" t="s">
        <v>2046</v>
      </c>
      <c r="L64" s="139">
        <f t="shared" si="5"/>
        <v>4223521426263</v>
      </c>
      <c r="M64" s="140">
        <f t="shared" si="10"/>
        <v>613122</v>
      </c>
      <c r="N64" s="141">
        <f t="shared" si="7"/>
        <v>1.6295357668138021E-2</v>
      </c>
      <c r="O64" s="141">
        <f t="shared" si="8"/>
        <v>0.49217483575388354</v>
      </c>
      <c r="P64" s="141">
        <f t="shared" si="9"/>
        <v>0.49152980657797846</v>
      </c>
      <c r="Q64" s="140">
        <v>158</v>
      </c>
      <c r="R64" s="139">
        <v>68823792260</v>
      </c>
      <c r="S64" s="140">
        <v>579</v>
      </c>
      <c r="T64" s="139">
        <v>2078710964274</v>
      </c>
      <c r="U64" s="140">
        <v>612385</v>
      </c>
      <c r="V64" s="139">
        <v>2075986669729</v>
      </c>
      <c r="W64" s="142" t="s">
        <v>2121</v>
      </c>
    </row>
    <row r="65" spans="1:23" x14ac:dyDescent="0.3">
      <c r="A65" s="143"/>
      <c r="B65" s="137">
        <v>13</v>
      </c>
      <c r="C65" s="137" t="s">
        <v>2087</v>
      </c>
      <c r="D65" s="137" t="s">
        <v>2046</v>
      </c>
      <c r="E65" s="137">
        <v>1000326018</v>
      </c>
      <c r="F65" s="137" t="s">
        <v>2119</v>
      </c>
      <c r="G65" s="137" t="s">
        <v>2122</v>
      </c>
      <c r="H65" s="137" t="s">
        <v>2122</v>
      </c>
      <c r="I65" s="137" t="s">
        <v>2102</v>
      </c>
      <c r="J65" s="137" t="s">
        <v>2047</v>
      </c>
      <c r="K65" s="137" t="s">
        <v>2048</v>
      </c>
      <c r="L65" s="139">
        <f t="shared" si="5"/>
        <v>297958037490820</v>
      </c>
      <c r="M65" s="140">
        <f t="shared" si="10"/>
        <v>12819000</v>
      </c>
      <c r="N65" s="141">
        <f t="shared" si="7"/>
        <v>4.9936003548007701E-2</v>
      </c>
      <c r="O65" s="141">
        <f t="shared" si="8"/>
        <v>0</v>
      </c>
      <c r="P65" s="141">
        <f t="shared" si="9"/>
        <v>0.95006399645199224</v>
      </c>
      <c r="Q65" s="140">
        <v>95</v>
      </c>
      <c r="R65" s="139">
        <v>14878833617299</v>
      </c>
      <c r="S65" s="140">
        <v>0</v>
      </c>
      <c r="T65" s="139">
        <v>0</v>
      </c>
      <c r="U65" s="140">
        <v>12818905</v>
      </c>
      <c r="V65" s="139">
        <v>283079203873521</v>
      </c>
      <c r="W65" s="142"/>
    </row>
    <row r="66" spans="1:23" x14ac:dyDescent="0.3">
      <c r="A66" s="143"/>
      <c r="B66" s="137">
        <v>13</v>
      </c>
      <c r="C66" s="137" t="s">
        <v>2087</v>
      </c>
      <c r="D66" s="137" t="s">
        <v>2046</v>
      </c>
      <c r="E66" s="137">
        <v>1000326018</v>
      </c>
      <c r="F66" s="137" t="s">
        <v>2119</v>
      </c>
      <c r="G66" s="137" t="s">
        <v>2122</v>
      </c>
      <c r="H66" s="137" t="s">
        <v>2122</v>
      </c>
      <c r="I66" s="137" t="s">
        <v>2102</v>
      </c>
      <c r="J66" s="137" t="s">
        <v>2050</v>
      </c>
      <c r="K66" s="137" t="s">
        <v>2046</v>
      </c>
      <c r="L66" s="139">
        <f t="shared" si="5"/>
        <v>1183800801376</v>
      </c>
      <c r="M66" s="140">
        <f t="shared" si="10"/>
        <v>779303</v>
      </c>
      <c r="N66" s="141">
        <f t="shared" si="7"/>
        <v>0.13018686376192926</v>
      </c>
      <c r="O66" s="141">
        <f t="shared" si="8"/>
        <v>0.18929260065336448</v>
      </c>
      <c r="P66" s="141">
        <f t="shared" si="9"/>
        <v>0.68052053558470627</v>
      </c>
      <c r="Q66" s="140">
        <v>1310</v>
      </c>
      <c r="R66" s="139">
        <v>154115313650</v>
      </c>
      <c r="S66" s="140">
        <v>32760</v>
      </c>
      <c r="T66" s="139">
        <v>224084732348</v>
      </c>
      <c r="U66" s="140">
        <v>745233</v>
      </c>
      <c r="V66" s="139">
        <v>805600755378</v>
      </c>
      <c r="W66" s="142"/>
    </row>
    <row r="67" spans="1:23" x14ac:dyDescent="0.3">
      <c r="A67" s="143"/>
      <c r="B67" s="137">
        <v>13</v>
      </c>
      <c r="C67" s="137" t="s">
        <v>2087</v>
      </c>
      <c r="D67" s="137" t="s">
        <v>2077</v>
      </c>
      <c r="E67" s="137">
        <v>1000326018</v>
      </c>
      <c r="F67" s="137" t="s">
        <v>2119</v>
      </c>
      <c r="G67" s="137" t="s">
        <v>2122</v>
      </c>
      <c r="H67" s="137" t="s">
        <v>2122</v>
      </c>
      <c r="I67" s="137" t="s">
        <v>2102</v>
      </c>
      <c r="J67" s="137" t="s">
        <v>2045</v>
      </c>
      <c r="K67" s="137" t="s">
        <v>2048</v>
      </c>
      <c r="L67" s="139">
        <f t="shared" si="5"/>
        <v>5558447823656</v>
      </c>
      <c r="M67" s="140">
        <f t="shared" si="10"/>
        <v>807574</v>
      </c>
      <c r="N67" s="141">
        <f t="shared" si="7"/>
        <v>1.7525765740826149E-2</v>
      </c>
      <c r="O67" s="141">
        <f t="shared" si="8"/>
        <v>0.519985759996202</v>
      </c>
      <c r="P67" s="141">
        <f t="shared" si="9"/>
        <v>0.4624884742629719</v>
      </c>
      <c r="Q67" s="140">
        <v>254</v>
      </c>
      <c r="R67" s="139">
        <v>97416054440</v>
      </c>
      <c r="S67" s="140">
        <v>12701</v>
      </c>
      <c r="T67" s="139">
        <v>2890313715983</v>
      </c>
      <c r="U67" s="140">
        <v>794619</v>
      </c>
      <c r="V67" s="139">
        <v>2570718053233</v>
      </c>
      <c r="W67" s="142"/>
    </row>
    <row r="68" spans="1:23" x14ac:dyDescent="0.3">
      <c r="A68" s="143"/>
      <c r="B68" s="137">
        <v>14</v>
      </c>
      <c r="C68" s="137" t="s">
        <v>2072</v>
      </c>
      <c r="D68" s="137" t="s">
        <v>2046</v>
      </c>
      <c r="E68" s="137">
        <v>1000315188</v>
      </c>
      <c r="F68" s="137" t="s">
        <v>2123</v>
      </c>
      <c r="G68" s="137" t="s">
        <v>2124</v>
      </c>
      <c r="H68" s="137" t="s">
        <v>2124</v>
      </c>
      <c r="I68" s="137" t="s">
        <v>2097</v>
      </c>
      <c r="J68" s="137" t="s">
        <v>2047</v>
      </c>
      <c r="K68" s="137" t="s">
        <v>2048</v>
      </c>
      <c r="L68" s="139">
        <f t="shared" si="5"/>
        <v>98604186451390</v>
      </c>
      <c r="M68" s="140">
        <f t="shared" si="10"/>
        <v>663563</v>
      </c>
      <c r="N68" s="141">
        <f t="shared" si="7"/>
        <v>0.30550134758832398</v>
      </c>
      <c r="O68" s="141">
        <f t="shared" si="8"/>
        <v>0</v>
      </c>
      <c r="P68" s="141">
        <f t="shared" si="9"/>
        <v>0.69449865241167608</v>
      </c>
      <c r="Q68" s="140">
        <v>10</v>
      </c>
      <c r="R68" s="139">
        <v>30123711838750</v>
      </c>
      <c r="S68" s="140">
        <v>0</v>
      </c>
      <c r="T68" s="139">
        <v>0</v>
      </c>
      <c r="U68" s="140">
        <v>663553</v>
      </c>
      <c r="V68" s="139">
        <v>68480474612640</v>
      </c>
      <c r="W68" s="142"/>
    </row>
    <row r="69" spans="1:23" x14ac:dyDescent="0.3">
      <c r="A69" s="143"/>
      <c r="B69" s="137">
        <v>14</v>
      </c>
      <c r="C69" s="137" t="s">
        <v>2072</v>
      </c>
      <c r="D69" s="137" t="s">
        <v>2046</v>
      </c>
      <c r="E69" s="137">
        <v>1000315188</v>
      </c>
      <c r="F69" s="137" t="s">
        <v>2123</v>
      </c>
      <c r="G69" s="137" t="s">
        <v>2124</v>
      </c>
      <c r="H69" s="137" t="s">
        <v>2124</v>
      </c>
      <c r="I69" s="137" t="s">
        <v>2097</v>
      </c>
      <c r="J69" s="137" t="s">
        <v>2050</v>
      </c>
      <c r="K69" s="137" t="s">
        <v>2046</v>
      </c>
      <c r="L69" s="139">
        <f t="shared" ref="L69:L132" si="11">R69+T69+V69</f>
        <v>861155467875</v>
      </c>
      <c r="M69" s="140">
        <f t="shared" ref="M69:M100" si="12">Q69+S69+U69</f>
        <v>151960</v>
      </c>
      <c r="N69" s="141">
        <f t="shared" ref="N69:N132" si="13">R69/$L69</f>
        <v>8.977376662400955E-6</v>
      </c>
      <c r="O69" s="141">
        <f t="shared" ref="O69:O132" si="14">T69/$L69</f>
        <v>0.15398796551478031</v>
      </c>
      <c r="P69" s="141">
        <f t="shared" ref="P69:P132" si="15">V69/$L69</f>
        <v>0.84600305710855728</v>
      </c>
      <c r="Q69" s="140">
        <v>12</v>
      </c>
      <c r="R69" s="139">
        <v>7730917</v>
      </c>
      <c r="S69" s="140">
        <v>1238</v>
      </c>
      <c r="T69" s="139">
        <v>132607578490</v>
      </c>
      <c r="U69" s="140">
        <v>150710</v>
      </c>
      <c r="V69" s="139">
        <v>728540158468</v>
      </c>
      <c r="W69" s="142"/>
    </row>
    <row r="70" spans="1:23" x14ac:dyDescent="0.3">
      <c r="A70" s="143"/>
      <c r="B70" s="137">
        <v>14</v>
      </c>
      <c r="C70" s="137" t="s">
        <v>2072</v>
      </c>
      <c r="D70" s="137" t="s">
        <v>2046</v>
      </c>
      <c r="E70" s="137">
        <v>1000315188</v>
      </c>
      <c r="F70" s="137" t="s">
        <v>2123</v>
      </c>
      <c r="G70" s="137" t="s">
        <v>2124</v>
      </c>
      <c r="H70" s="137" t="s">
        <v>2124</v>
      </c>
      <c r="I70" s="137" t="s">
        <v>2097</v>
      </c>
      <c r="J70" s="137" t="s">
        <v>2045</v>
      </c>
      <c r="K70" s="137" t="s">
        <v>2046</v>
      </c>
      <c r="L70" s="139">
        <f t="shared" si="11"/>
        <v>6012600961752</v>
      </c>
      <c r="M70" s="140">
        <f t="shared" si="12"/>
        <v>23671</v>
      </c>
      <c r="N70" s="141">
        <f t="shared" si="13"/>
        <v>0</v>
      </c>
      <c r="O70" s="141">
        <f t="shared" si="14"/>
        <v>7.0812336176711253E-4</v>
      </c>
      <c r="P70" s="141">
        <f t="shared" si="15"/>
        <v>0.99929187663823293</v>
      </c>
      <c r="Q70" s="140">
        <v>0</v>
      </c>
      <c r="R70" s="139">
        <v>0</v>
      </c>
      <c r="S70" s="140">
        <v>34</v>
      </c>
      <c r="T70" s="139">
        <v>4257663206</v>
      </c>
      <c r="U70" s="140">
        <v>23637</v>
      </c>
      <c r="V70" s="139">
        <v>6008343298546</v>
      </c>
      <c r="W70" s="142"/>
    </row>
    <row r="71" spans="1:23" x14ac:dyDescent="0.3">
      <c r="A71" s="143"/>
      <c r="B71" s="137">
        <v>14</v>
      </c>
      <c r="C71" s="137" t="s">
        <v>2087</v>
      </c>
      <c r="D71" s="137" t="s">
        <v>2046</v>
      </c>
      <c r="E71" s="137">
        <v>1000315188</v>
      </c>
      <c r="F71" s="137" t="s">
        <v>2123</v>
      </c>
      <c r="G71" s="137" t="s">
        <v>2125</v>
      </c>
      <c r="H71" s="137" t="s">
        <v>2126</v>
      </c>
      <c r="I71" s="137" t="s">
        <v>2102</v>
      </c>
      <c r="J71" s="137" t="s">
        <v>2047</v>
      </c>
      <c r="K71" s="137" t="s">
        <v>2048</v>
      </c>
      <c r="L71" s="139">
        <f t="shared" si="11"/>
        <v>196604637024494</v>
      </c>
      <c r="M71" s="140">
        <f t="shared" si="12"/>
        <v>1451149</v>
      </c>
      <c r="N71" s="141">
        <f t="shared" si="13"/>
        <v>0.30530289726474719</v>
      </c>
      <c r="O71" s="141">
        <f t="shared" si="14"/>
        <v>0</v>
      </c>
      <c r="P71" s="141">
        <f t="shared" si="15"/>
        <v>0.69469710273525287</v>
      </c>
      <c r="Q71" s="140">
        <v>17</v>
      </c>
      <c r="R71" s="139">
        <v>60023965299262</v>
      </c>
      <c r="S71" s="140">
        <v>0</v>
      </c>
      <c r="T71" s="139">
        <v>0</v>
      </c>
      <c r="U71" s="140">
        <v>1451132</v>
      </c>
      <c r="V71" s="139">
        <v>136580671725232</v>
      </c>
      <c r="W71" s="142"/>
    </row>
    <row r="72" spans="1:23" x14ac:dyDescent="0.3">
      <c r="A72" s="143"/>
      <c r="B72" s="137">
        <v>14</v>
      </c>
      <c r="C72" s="137" t="s">
        <v>2087</v>
      </c>
      <c r="D72" s="137" t="s">
        <v>2046</v>
      </c>
      <c r="E72" s="137">
        <v>1000315188</v>
      </c>
      <c r="F72" s="137" t="s">
        <v>2123</v>
      </c>
      <c r="G72" s="137" t="s">
        <v>2125</v>
      </c>
      <c r="H72" s="137" t="s">
        <v>2126</v>
      </c>
      <c r="I72" s="137" t="s">
        <v>2102</v>
      </c>
      <c r="J72" s="137" t="s">
        <v>2050</v>
      </c>
      <c r="K72" s="137" t="s">
        <v>2046</v>
      </c>
      <c r="L72" s="139">
        <f t="shared" si="11"/>
        <v>1679012697884</v>
      </c>
      <c r="M72" s="140">
        <f t="shared" si="12"/>
        <v>276905</v>
      </c>
      <c r="N72" s="141">
        <f t="shared" si="13"/>
        <v>7.1252064472632855E-5</v>
      </c>
      <c r="O72" s="141">
        <f t="shared" si="14"/>
        <v>0.14388634706066458</v>
      </c>
      <c r="P72" s="141">
        <f t="shared" si="15"/>
        <v>0.85604240087486283</v>
      </c>
      <c r="Q72" s="140">
        <v>6</v>
      </c>
      <c r="R72" s="139">
        <v>119633121</v>
      </c>
      <c r="S72" s="140">
        <v>1563</v>
      </c>
      <c r="T72" s="139">
        <v>241587003767</v>
      </c>
      <c r="U72" s="140">
        <v>275336</v>
      </c>
      <c r="V72" s="139">
        <v>1437306060996</v>
      </c>
      <c r="W72" s="142"/>
    </row>
    <row r="73" spans="1:23" x14ac:dyDescent="0.3">
      <c r="A73" s="143"/>
      <c r="B73" s="137">
        <v>14</v>
      </c>
      <c r="C73" s="137" t="s">
        <v>2087</v>
      </c>
      <c r="D73" s="137" t="s">
        <v>2046</v>
      </c>
      <c r="E73" s="137">
        <v>1000315188</v>
      </c>
      <c r="F73" s="137" t="s">
        <v>2123</v>
      </c>
      <c r="G73" s="137" t="s">
        <v>2125</v>
      </c>
      <c r="H73" s="137" t="s">
        <v>2126</v>
      </c>
      <c r="I73" s="137" t="s">
        <v>2102</v>
      </c>
      <c r="J73" s="137" t="s">
        <v>2045</v>
      </c>
      <c r="K73" s="137" t="s">
        <v>2046</v>
      </c>
      <c r="L73" s="139">
        <f t="shared" si="11"/>
        <v>12229961052969</v>
      </c>
      <c r="M73" s="140">
        <f t="shared" si="12"/>
        <v>48823</v>
      </c>
      <c r="N73" s="141">
        <f t="shared" si="13"/>
        <v>9.6840640200769907E-5</v>
      </c>
      <c r="O73" s="141">
        <f t="shared" si="14"/>
        <v>1.6355427107549189E-3</v>
      </c>
      <c r="P73" s="141">
        <f t="shared" si="15"/>
        <v>0.99826761664904429</v>
      </c>
      <c r="Q73" s="140">
        <v>1</v>
      </c>
      <c r="R73" s="139">
        <v>1184357258</v>
      </c>
      <c r="S73" s="140">
        <v>90</v>
      </c>
      <c r="T73" s="139">
        <v>20002623653</v>
      </c>
      <c r="U73" s="140">
        <v>48732</v>
      </c>
      <c r="V73" s="139">
        <v>12208774072058</v>
      </c>
      <c r="W73" s="142"/>
    </row>
    <row r="74" spans="1:23" x14ac:dyDescent="0.3">
      <c r="A74" s="143"/>
      <c r="B74" s="137">
        <v>14</v>
      </c>
      <c r="C74" s="137" t="s">
        <v>2087</v>
      </c>
      <c r="D74" s="137" t="s">
        <v>2046</v>
      </c>
      <c r="E74" s="137">
        <v>1000315188</v>
      </c>
      <c r="F74" s="137" t="s">
        <v>2123</v>
      </c>
      <c r="G74" s="137" t="s">
        <v>2125</v>
      </c>
      <c r="H74" s="137" t="s">
        <v>2127</v>
      </c>
      <c r="I74" s="137" t="s">
        <v>2102</v>
      </c>
      <c r="J74" s="137" t="s">
        <v>2047</v>
      </c>
      <c r="K74" s="137" t="s">
        <v>2048</v>
      </c>
      <c r="L74" s="139">
        <f t="shared" si="11"/>
        <v>6623869767</v>
      </c>
      <c r="M74" s="140">
        <f t="shared" si="12"/>
        <v>31379</v>
      </c>
      <c r="N74" s="141">
        <f t="shared" si="13"/>
        <v>7.6172326411622221E-3</v>
      </c>
      <c r="O74" s="141">
        <f t="shared" si="14"/>
        <v>0</v>
      </c>
      <c r="P74" s="141">
        <f t="shared" si="15"/>
        <v>0.99238276735883779</v>
      </c>
      <c r="Q74" s="140">
        <v>3</v>
      </c>
      <c r="R74" s="139">
        <v>50455557</v>
      </c>
      <c r="S74" s="140">
        <v>0</v>
      </c>
      <c r="T74" s="139">
        <v>0</v>
      </c>
      <c r="U74" s="140">
        <v>31376</v>
      </c>
      <c r="V74" s="139">
        <v>6573414210</v>
      </c>
      <c r="W74" s="142"/>
    </row>
    <row r="75" spans="1:23" x14ac:dyDescent="0.3">
      <c r="A75" s="143"/>
      <c r="B75" s="137">
        <v>14</v>
      </c>
      <c r="C75" s="137" t="s">
        <v>2087</v>
      </c>
      <c r="D75" s="137" t="s">
        <v>2046</v>
      </c>
      <c r="E75" s="137">
        <v>1000315188</v>
      </c>
      <c r="F75" s="137" t="s">
        <v>2123</v>
      </c>
      <c r="G75" s="137" t="s">
        <v>2125</v>
      </c>
      <c r="H75" s="137" t="s">
        <v>2127</v>
      </c>
      <c r="I75" s="137" t="s">
        <v>2102</v>
      </c>
      <c r="J75" s="137" t="s">
        <v>2050</v>
      </c>
      <c r="K75" s="137" t="s">
        <v>2046</v>
      </c>
      <c r="L75" s="139">
        <f t="shared" si="11"/>
        <v>140614428</v>
      </c>
      <c r="M75" s="140">
        <f t="shared" si="12"/>
        <v>4338</v>
      </c>
      <c r="N75" s="141">
        <f t="shared" si="13"/>
        <v>0</v>
      </c>
      <c r="O75" s="141">
        <f t="shared" si="14"/>
        <v>3.0134389907698518E-3</v>
      </c>
      <c r="P75" s="141">
        <f t="shared" si="15"/>
        <v>0.99698656100923011</v>
      </c>
      <c r="Q75" s="140">
        <v>0</v>
      </c>
      <c r="R75" s="139">
        <v>0</v>
      </c>
      <c r="S75" s="140">
        <v>49</v>
      </c>
      <c r="T75" s="139">
        <v>423733</v>
      </c>
      <c r="U75" s="140">
        <v>4289</v>
      </c>
      <c r="V75" s="139">
        <v>140190695</v>
      </c>
      <c r="W75" s="142"/>
    </row>
    <row r="76" spans="1:23" x14ac:dyDescent="0.3">
      <c r="A76" s="143"/>
      <c r="B76" s="137">
        <v>14</v>
      </c>
      <c r="C76" s="137" t="s">
        <v>2087</v>
      </c>
      <c r="D76" s="137" t="s">
        <v>2046</v>
      </c>
      <c r="E76" s="137">
        <v>1000315188</v>
      </c>
      <c r="F76" s="137" t="s">
        <v>2123</v>
      </c>
      <c r="G76" s="137" t="s">
        <v>2125</v>
      </c>
      <c r="H76" s="137" t="s">
        <v>2127</v>
      </c>
      <c r="I76" s="137" t="s">
        <v>2102</v>
      </c>
      <c r="J76" s="137" t="s">
        <v>2045</v>
      </c>
      <c r="K76" s="137" t="s">
        <v>2046</v>
      </c>
      <c r="L76" s="139">
        <f t="shared" si="11"/>
        <v>1114435016</v>
      </c>
      <c r="M76" s="140">
        <f t="shared" si="12"/>
        <v>2723</v>
      </c>
      <c r="N76" s="141">
        <f t="shared" si="13"/>
        <v>0</v>
      </c>
      <c r="O76" s="141">
        <f t="shared" si="14"/>
        <v>1.2738142463391514E-2</v>
      </c>
      <c r="P76" s="141">
        <f t="shared" si="15"/>
        <v>0.98726185753660844</v>
      </c>
      <c r="Q76" s="140">
        <v>0</v>
      </c>
      <c r="R76" s="139">
        <v>0</v>
      </c>
      <c r="S76" s="140">
        <v>3</v>
      </c>
      <c r="T76" s="139">
        <v>14195832</v>
      </c>
      <c r="U76" s="140">
        <v>2720</v>
      </c>
      <c r="V76" s="139">
        <v>1100239184</v>
      </c>
      <c r="W76" s="142"/>
    </row>
    <row r="77" spans="1:23" x14ac:dyDescent="0.3">
      <c r="A77" s="143"/>
      <c r="B77" s="137">
        <v>14</v>
      </c>
      <c r="C77" s="137" t="s">
        <v>2087</v>
      </c>
      <c r="D77" s="137" t="s">
        <v>2046</v>
      </c>
      <c r="E77" s="137">
        <v>1000315188</v>
      </c>
      <c r="F77" s="137" t="s">
        <v>2123</v>
      </c>
      <c r="G77" s="137" t="s">
        <v>2125</v>
      </c>
      <c r="H77" s="137" t="s">
        <v>2128</v>
      </c>
      <c r="I77" s="137" t="s">
        <v>2102</v>
      </c>
      <c r="J77" s="137" t="s">
        <v>2047</v>
      </c>
      <c r="K77" s="137" t="s">
        <v>2048</v>
      </c>
      <c r="L77" s="139">
        <f t="shared" si="11"/>
        <v>105593593822</v>
      </c>
      <c r="M77" s="140">
        <f t="shared" si="12"/>
        <v>17757</v>
      </c>
      <c r="N77" s="141">
        <f t="shared" si="13"/>
        <v>3.6526874381241192E-2</v>
      </c>
      <c r="O77" s="141">
        <f t="shared" si="14"/>
        <v>0</v>
      </c>
      <c r="P77" s="141">
        <f t="shared" si="15"/>
        <v>0.96347312561875886</v>
      </c>
      <c r="Q77" s="140">
        <v>3</v>
      </c>
      <c r="R77" s="139">
        <v>3857003937</v>
      </c>
      <c r="S77" s="140">
        <v>0</v>
      </c>
      <c r="T77" s="139">
        <v>0</v>
      </c>
      <c r="U77" s="140">
        <v>17754</v>
      </c>
      <c r="V77" s="139">
        <v>101736589885</v>
      </c>
      <c r="W77" s="142"/>
    </row>
    <row r="78" spans="1:23" x14ac:dyDescent="0.3">
      <c r="A78" s="143"/>
      <c r="B78" s="137">
        <v>14</v>
      </c>
      <c r="C78" s="137" t="s">
        <v>2087</v>
      </c>
      <c r="D78" s="137" t="s">
        <v>2046</v>
      </c>
      <c r="E78" s="137">
        <v>1000315188</v>
      </c>
      <c r="F78" s="137" t="s">
        <v>2123</v>
      </c>
      <c r="G78" s="137" t="s">
        <v>2125</v>
      </c>
      <c r="H78" s="137" t="s">
        <v>2128</v>
      </c>
      <c r="I78" s="137" t="s">
        <v>2102</v>
      </c>
      <c r="J78" s="137" t="s">
        <v>2050</v>
      </c>
      <c r="K78" s="137" t="s">
        <v>2046</v>
      </c>
      <c r="L78" s="139">
        <f t="shared" si="11"/>
        <v>734822954</v>
      </c>
      <c r="M78" s="140">
        <f t="shared" si="12"/>
        <v>1695</v>
      </c>
      <c r="N78" s="141">
        <f t="shared" si="13"/>
        <v>0</v>
      </c>
      <c r="O78" s="141">
        <f t="shared" si="14"/>
        <v>3.964579473384279E-3</v>
      </c>
      <c r="P78" s="141">
        <f t="shared" si="15"/>
        <v>0.99603542052661576</v>
      </c>
      <c r="Q78" s="140">
        <v>0</v>
      </c>
      <c r="R78" s="139">
        <v>0</v>
      </c>
      <c r="S78" s="140">
        <v>48</v>
      </c>
      <c r="T78" s="139">
        <v>2913264</v>
      </c>
      <c r="U78" s="140">
        <v>1647</v>
      </c>
      <c r="V78" s="139">
        <v>731909690</v>
      </c>
      <c r="W78" s="142"/>
    </row>
    <row r="79" spans="1:23" x14ac:dyDescent="0.3">
      <c r="A79" s="143"/>
      <c r="B79" s="137">
        <v>14</v>
      </c>
      <c r="C79" s="137" t="s">
        <v>2087</v>
      </c>
      <c r="D79" s="137" t="s">
        <v>2046</v>
      </c>
      <c r="E79" s="137">
        <v>1000315188</v>
      </c>
      <c r="F79" s="137" t="s">
        <v>2123</v>
      </c>
      <c r="G79" s="137" t="s">
        <v>2125</v>
      </c>
      <c r="H79" s="137" t="s">
        <v>2128</v>
      </c>
      <c r="I79" s="137" t="s">
        <v>2102</v>
      </c>
      <c r="J79" s="137" t="s">
        <v>2045</v>
      </c>
      <c r="K79" s="137" t="s">
        <v>2046</v>
      </c>
      <c r="L79" s="139">
        <f t="shared" si="11"/>
        <v>9069380005</v>
      </c>
      <c r="M79" s="140">
        <f t="shared" si="12"/>
        <v>808</v>
      </c>
      <c r="N79" s="141">
        <f t="shared" si="13"/>
        <v>0</v>
      </c>
      <c r="O79" s="141">
        <f t="shared" si="14"/>
        <v>0</v>
      </c>
      <c r="P79" s="141">
        <f t="shared" si="15"/>
        <v>1</v>
      </c>
      <c r="Q79" s="140">
        <v>0</v>
      </c>
      <c r="R79" s="139">
        <v>0</v>
      </c>
      <c r="S79" s="140">
        <v>0</v>
      </c>
      <c r="T79" s="139">
        <v>0</v>
      </c>
      <c r="U79" s="140">
        <v>808</v>
      </c>
      <c r="V79" s="139">
        <v>9069380005</v>
      </c>
      <c r="W79" s="142"/>
    </row>
    <row r="80" spans="1:23" x14ac:dyDescent="0.3">
      <c r="A80" s="143"/>
      <c r="B80" s="137">
        <v>15</v>
      </c>
      <c r="C80" s="137" t="s">
        <v>2072</v>
      </c>
      <c r="D80" s="137" t="s">
        <v>2046</v>
      </c>
      <c r="E80" s="137">
        <v>1000316943</v>
      </c>
      <c r="F80" s="137" t="s">
        <v>2129</v>
      </c>
      <c r="G80" s="137" t="s">
        <v>2130</v>
      </c>
      <c r="H80" s="137" t="s">
        <v>2131</v>
      </c>
      <c r="I80" s="137" t="s">
        <v>2097</v>
      </c>
      <c r="J80" s="137" t="s">
        <v>2047</v>
      </c>
      <c r="K80" s="137" t="s">
        <v>2048</v>
      </c>
      <c r="L80" s="139">
        <f t="shared" si="11"/>
        <v>131416145156638</v>
      </c>
      <c r="M80" s="140">
        <f t="shared" si="12"/>
        <v>727056</v>
      </c>
      <c r="N80" s="141">
        <f t="shared" si="13"/>
        <v>5.4514505795752545E-2</v>
      </c>
      <c r="O80" s="141">
        <f t="shared" si="14"/>
        <v>0.20414680626768386</v>
      </c>
      <c r="P80" s="141">
        <f t="shared" si="15"/>
        <v>0.74133868793656355</v>
      </c>
      <c r="Q80" s="140">
        <v>24</v>
      </c>
      <c r="R80" s="139">
        <v>7164086206797</v>
      </c>
      <c r="S80" s="140">
        <v>11144</v>
      </c>
      <c r="T80" s="139">
        <v>26828186325738</v>
      </c>
      <c r="U80" s="140">
        <v>715888</v>
      </c>
      <c r="V80" s="139">
        <v>97423872624103</v>
      </c>
      <c r="W80" s="142"/>
    </row>
    <row r="81" spans="1:23" x14ac:dyDescent="0.3">
      <c r="A81" s="143"/>
      <c r="B81" s="137">
        <v>15</v>
      </c>
      <c r="C81" s="137" t="s">
        <v>2072</v>
      </c>
      <c r="D81" s="137" t="s">
        <v>2046</v>
      </c>
      <c r="E81" s="137">
        <v>1000316943</v>
      </c>
      <c r="F81" s="137" t="s">
        <v>2129</v>
      </c>
      <c r="G81" s="137" t="s">
        <v>2130</v>
      </c>
      <c r="H81" s="137" t="s">
        <v>2131</v>
      </c>
      <c r="I81" s="137" t="s">
        <v>2097</v>
      </c>
      <c r="J81" s="137" t="s">
        <v>2050</v>
      </c>
      <c r="K81" s="137" t="s">
        <v>2046</v>
      </c>
      <c r="L81" s="139">
        <f t="shared" si="11"/>
        <v>156107343876</v>
      </c>
      <c r="M81" s="140">
        <f t="shared" si="12"/>
        <v>1359</v>
      </c>
      <c r="N81" s="141">
        <f t="shared" si="13"/>
        <v>0.13884441404125553</v>
      </c>
      <c r="O81" s="141">
        <f t="shared" si="14"/>
        <v>0.55153862906277351</v>
      </c>
      <c r="P81" s="141">
        <f t="shared" si="15"/>
        <v>0.30961695689597091</v>
      </c>
      <c r="Q81" s="140">
        <v>25</v>
      </c>
      <c r="R81" s="139">
        <v>21674632688</v>
      </c>
      <c r="S81" s="140">
        <v>110</v>
      </c>
      <c r="T81" s="139">
        <v>86099230428</v>
      </c>
      <c r="U81" s="140">
        <v>1224</v>
      </c>
      <c r="V81" s="139">
        <v>48333480760</v>
      </c>
      <c r="W81" s="142"/>
    </row>
    <row r="82" spans="1:23" x14ac:dyDescent="0.3">
      <c r="A82" s="143"/>
      <c r="B82" s="137">
        <v>15</v>
      </c>
      <c r="C82" s="137" t="s">
        <v>2072</v>
      </c>
      <c r="D82" s="137" t="s">
        <v>2046</v>
      </c>
      <c r="E82" s="137">
        <v>1000316943</v>
      </c>
      <c r="F82" s="137" t="s">
        <v>2129</v>
      </c>
      <c r="G82" s="137" t="s">
        <v>2130</v>
      </c>
      <c r="H82" s="137" t="s">
        <v>2131</v>
      </c>
      <c r="I82" s="137" t="s">
        <v>2097</v>
      </c>
      <c r="J82" s="137" t="s">
        <v>2045</v>
      </c>
      <c r="K82" s="137" t="s">
        <v>2046</v>
      </c>
      <c r="L82" s="139">
        <f t="shared" si="11"/>
        <v>237480504556</v>
      </c>
      <c r="M82" s="140">
        <f t="shared" si="12"/>
        <v>2369</v>
      </c>
      <c r="N82" s="141">
        <f t="shared" si="13"/>
        <v>2.7508802232898689E-2</v>
      </c>
      <c r="O82" s="141">
        <f t="shared" si="14"/>
        <v>0.17852377287249138</v>
      </c>
      <c r="P82" s="141">
        <f t="shared" si="15"/>
        <v>0.79396742489460992</v>
      </c>
      <c r="Q82" s="140">
        <v>4</v>
      </c>
      <c r="R82" s="139">
        <v>6532804234</v>
      </c>
      <c r="S82" s="140">
        <v>108</v>
      </c>
      <c r="T82" s="139">
        <v>42395915657</v>
      </c>
      <c r="U82" s="140">
        <v>2257</v>
      </c>
      <c r="V82" s="139">
        <v>188551784665</v>
      </c>
      <c r="W82" s="142"/>
    </row>
    <row r="83" spans="1:23" x14ac:dyDescent="0.3">
      <c r="A83" s="143"/>
      <c r="B83" s="137">
        <v>15</v>
      </c>
      <c r="C83" s="137" t="s">
        <v>2072</v>
      </c>
      <c r="D83" s="137" t="s">
        <v>2046</v>
      </c>
      <c r="E83" s="137">
        <v>1000316943</v>
      </c>
      <c r="F83" s="137" t="s">
        <v>2129</v>
      </c>
      <c r="G83" s="137" t="s">
        <v>2132</v>
      </c>
      <c r="H83" s="137" t="s">
        <v>2132</v>
      </c>
      <c r="I83" s="137" t="s">
        <v>2133</v>
      </c>
      <c r="J83" s="137" t="s">
        <v>2047</v>
      </c>
      <c r="K83" s="137" t="s">
        <v>2048</v>
      </c>
      <c r="L83" s="139">
        <f t="shared" si="11"/>
        <v>202789453131696</v>
      </c>
      <c r="M83" s="140">
        <f t="shared" si="12"/>
        <v>1080189</v>
      </c>
      <c r="N83" s="141">
        <f t="shared" si="13"/>
        <v>2.2210899398505273E-2</v>
      </c>
      <c r="O83" s="141">
        <f t="shared" si="14"/>
        <v>0</v>
      </c>
      <c r="P83" s="141">
        <f t="shared" si="15"/>
        <v>0.97778910060149471</v>
      </c>
      <c r="Q83" s="140">
        <v>24</v>
      </c>
      <c r="R83" s="139">
        <v>4504136142586</v>
      </c>
      <c r="S83" s="140">
        <v>0</v>
      </c>
      <c r="T83" s="139">
        <v>0</v>
      </c>
      <c r="U83" s="140">
        <v>1080165</v>
      </c>
      <c r="V83" s="139">
        <v>198285316989110</v>
      </c>
      <c r="W83" s="142"/>
    </row>
    <row r="84" spans="1:23" x14ac:dyDescent="0.3">
      <c r="A84" s="143"/>
      <c r="B84" s="137">
        <v>15</v>
      </c>
      <c r="C84" s="137" t="s">
        <v>2072</v>
      </c>
      <c r="D84" s="137" t="s">
        <v>2046</v>
      </c>
      <c r="E84" s="137">
        <v>1000316943</v>
      </c>
      <c r="F84" s="137" t="s">
        <v>2129</v>
      </c>
      <c r="G84" s="137" t="s">
        <v>2132</v>
      </c>
      <c r="H84" s="137" t="s">
        <v>2132</v>
      </c>
      <c r="I84" s="137" t="s">
        <v>2133</v>
      </c>
      <c r="J84" s="137" t="s">
        <v>2050</v>
      </c>
      <c r="K84" s="137" t="s">
        <v>2046</v>
      </c>
      <c r="L84" s="139">
        <f t="shared" si="11"/>
        <v>201860753557</v>
      </c>
      <c r="M84" s="140">
        <f t="shared" si="12"/>
        <v>2154</v>
      </c>
      <c r="N84" s="141">
        <f t="shared" si="13"/>
        <v>0.15392342733540013</v>
      </c>
      <c r="O84" s="141">
        <f t="shared" si="14"/>
        <v>0.68984737004203589</v>
      </c>
      <c r="P84" s="141">
        <f t="shared" si="15"/>
        <v>0.15622920262256396</v>
      </c>
      <c r="Q84" s="140">
        <v>37</v>
      </c>
      <c r="R84" s="139">
        <v>31071099032</v>
      </c>
      <c r="S84" s="140">
        <v>195</v>
      </c>
      <c r="T84" s="139">
        <v>139253109956</v>
      </c>
      <c r="U84" s="140">
        <v>1922</v>
      </c>
      <c r="V84" s="139">
        <v>31536544569</v>
      </c>
      <c r="W84" s="142"/>
    </row>
    <row r="85" spans="1:23" x14ac:dyDescent="0.3">
      <c r="A85" s="143"/>
      <c r="B85" s="137">
        <v>15</v>
      </c>
      <c r="C85" s="137" t="s">
        <v>2072</v>
      </c>
      <c r="D85" s="137" t="s">
        <v>2077</v>
      </c>
      <c r="E85" s="137">
        <v>1000316943</v>
      </c>
      <c r="F85" s="137" t="s">
        <v>2129</v>
      </c>
      <c r="G85" s="137" t="s">
        <v>2132</v>
      </c>
      <c r="H85" s="137" t="s">
        <v>2132</v>
      </c>
      <c r="I85" s="137" t="s">
        <v>2133</v>
      </c>
      <c r="J85" s="137" t="s">
        <v>2045</v>
      </c>
      <c r="K85" s="137" t="s">
        <v>2046</v>
      </c>
      <c r="L85" s="139">
        <f t="shared" si="11"/>
        <v>331208077793</v>
      </c>
      <c r="M85" s="140">
        <f t="shared" si="12"/>
        <v>3339</v>
      </c>
      <c r="N85" s="141">
        <f t="shared" si="13"/>
        <v>2.0115468120206603E-3</v>
      </c>
      <c r="O85" s="141">
        <f t="shared" si="14"/>
        <v>0.51154361450353736</v>
      </c>
      <c r="P85" s="141">
        <f t="shared" si="15"/>
        <v>0.48644483868444199</v>
      </c>
      <c r="Q85" s="140">
        <v>3</v>
      </c>
      <c r="R85" s="139">
        <v>666240553</v>
      </c>
      <c r="S85" s="140">
        <v>251</v>
      </c>
      <c r="T85" s="139">
        <v>169427377267</v>
      </c>
      <c r="U85" s="140">
        <v>3085</v>
      </c>
      <c r="V85" s="139">
        <v>161114459973</v>
      </c>
      <c r="W85" s="142"/>
    </row>
    <row r="86" spans="1:23" x14ac:dyDescent="0.3">
      <c r="A86" s="143"/>
      <c r="B86" s="137">
        <v>15</v>
      </c>
      <c r="C86" s="137" t="s">
        <v>2087</v>
      </c>
      <c r="D86" s="137" t="s">
        <v>2046</v>
      </c>
      <c r="E86" s="137">
        <v>1000316943</v>
      </c>
      <c r="F86" s="137" t="s">
        <v>2129</v>
      </c>
      <c r="G86" s="137" t="s">
        <v>2134</v>
      </c>
      <c r="H86" s="137" t="s">
        <v>2134</v>
      </c>
      <c r="I86" s="137" t="s">
        <v>2102</v>
      </c>
      <c r="J86" s="137" t="s">
        <v>2047</v>
      </c>
      <c r="K86" s="137" t="s">
        <v>2048</v>
      </c>
      <c r="L86" s="139">
        <f t="shared" si="11"/>
        <v>359483551377234</v>
      </c>
      <c r="M86" s="140">
        <f t="shared" si="12"/>
        <v>1478397</v>
      </c>
      <c r="N86" s="141">
        <f t="shared" si="13"/>
        <v>4.6470802207140859E-2</v>
      </c>
      <c r="O86" s="141">
        <f t="shared" si="14"/>
        <v>0</v>
      </c>
      <c r="P86" s="141">
        <f t="shared" si="15"/>
        <v>0.95352919779285916</v>
      </c>
      <c r="Q86" s="140">
        <v>76</v>
      </c>
      <c r="R86" s="139">
        <v>16705489012772</v>
      </c>
      <c r="S86" s="140">
        <v>0</v>
      </c>
      <c r="T86" s="139">
        <v>0</v>
      </c>
      <c r="U86" s="140">
        <v>1478321</v>
      </c>
      <c r="V86" s="139">
        <v>342778062364462</v>
      </c>
      <c r="W86" s="142"/>
    </row>
    <row r="87" spans="1:23" x14ac:dyDescent="0.3">
      <c r="A87" s="143"/>
      <c r="B87" s="137">
        <v>15</v>
      </c>
      <c r="C87" s="137" t="s">
        <v>2087</v>
      </c>
      <c r="D87" s="137" t="s">
        <v>2046</v>
      </c>
      <c r="E87" s="137">
        <v>1000316943</v>
      </c>
      <c r="F87" s="137" t="s">
        <v>2129</v>
      </c>
      <c r="G87" s="137" t="s">
        <v>2132</v>
      </c>
      <c r="H87" s="137" t="s">
        <v>2132</v>
      </c>
      <c r="I87" s="137" t="s">
        <v>2102</v>
      </c>
      <c r="J87" s="137" t="s">
        <v>2050</v>
      </c>
      <c r="K87" s="137" t="s">
        <v>2048</v>
      </c>
      <c r="L87" s="139">
        <f t="shared" si="11"/>
        <v>1069005331916</v>
      </c>
      <c r="M87" s="140">
        <f t="shared" si="12"/>
        <v>3551</v>
      </c>
      <c r="N87" s="141">
        <f t="shared" si="13"/>
        <v>3.9718949235639914E-2</v>
      </c>
      <c r="O87" s="141">
        <f t="shared" si="14"/>
        <v>0.91595367548451112</v>
      </c>
      <c r="P87" s="141">
        <f t="shared" si="15"/>
        <v>4.4327375279848931E-2</v>
      </c>
      <c r="Q87" s="140">
        <v>45</v>
      </c>
      <c r="R87" s="139">
        <v>42459768511</v>
      </c>
      <c r="S87" s="140">
        <v>437</v>
      </c>
      <c r="T87" s="139">
        <v>979159362881</v>
      </c>
      <c r="U87" s="140">
        <v>3069</v>
      </c>
      <c r="V87" s="139">
        <v>47386200524</v>
      </c>
      <c r="W87" s="142"/>
    </row>
    <row r="88" spans="1:23" x14ac:dyDescent="0.3">
      <c r="A88" s="143"/>
      <c r="B88" s="137">
        <v>15</v>
      </c>
      <c r="C88" s="137" t="s">
        <v>2087</v>
      </c>
      <c r="D88" s="137" t="s">
        <v>2077</v>
      </c>
      <c r="E88" s="137">
        <v>1000316943</v>
      </c>
      <c r="F88" s="137" t="s">
        <v>2129</v>
      </c>
      <c r="G88" s="137" t="s">
        <v>2132</v>
      </c>
      <c r="H88" s="137" t="s">
        <v>2132</v>
      </c>
      <c r="I88" s="137" t="s">
        <v>2102</v>
      </c>
      <c r="J88" s="137" t="s">
        <v>2045</v>
      </c>
      <c r="K88" s="137" t="s">
        <v>2048</v>
      </c>
      <c r="L88" s="139">
        <f t="shared" si="11"/>
        <v>446958756397</v>
      </c>
      <c r="M88" s="140">
        <f t="shared" si="12"/>
        <v>4730</v>
      </c>
      <c r="N88" s="141">
        <f t="shared" si="13"/>
        <v>5.713684849999151E-3</v>
      </c>
      <c r="O88" s="141">
        <f t="shared" si="14"/>
        <v>0.50977371206398259</v>
      </c>
      <c r="P88" s="141">
        <f t="shared" si="15"/>
        <v>0.48451260308601829</v>
      </c>
      <c r="Q88" s="140">
        <v>4</v>
      </c>
      <c r="R88" s="139">
        <v>2553781475</v>
      </c>
      <c r="S88" s="140">
        <v>356</v>
      </c>
      <c r="T88" s="139">
        <v>227847824388</v>
      </c>
      <c r="U88" s="140">
        <v>4370</v>
      </c>
      <c r="V88" s="139">
        <v>216557150534</v>
      </c>
      <c r="W88" s="142"/>
    </row>
    <row r="89" spans="1:23" x14ac:dyDescent="0.3">
      <c r="A89" s="143"/>
      <c r="B89" s="137">
        <v>15</v>
      </c>
      <c r="C89" s="137" t="s">
        <v>2087</v>
      </c>
      <c r="D89" s="137" t="s">
        <v>2077</v>
      </c>
      <c r="E89" s="137">
        <v>1000316943</v>
      </c>
      <c r="F89" s="137" t="s">
        <v>2129</v>
      </c>
      <c r="G89" s="137" t="s">
        <v>2132</v>
      </c>
      <c r="H89" s="137" t="s">
        <v>2132</v>
      </c>
      <c r="I89" s="137" t="s">
        <v>2102</v>
      </c>
      <c r="J89" s="137" t="s">
        <v>2045</v>
      </c>
      <c r="K89" s="137" t="s">
        <v>2048</v>
      </c>
      <c r="L89" s="139">
        <f t="shared" si="11"/>
        <v>376139489424408</v>
      </c>
      <c r="M89" s="140">
        <f t="shared" si="12"/>
        <v>2105777</v>
      </c>
      <c r="N89" s="141">
        <f t="shared" si="13"/>
        <v>6.6136979721490866E-2</v>
      </c>
      <c r="O89" s="141">
        <f t="shared" si="14"/>
        <v>0.41095946220296087</v>
      </c>
      <c r="P89" s="141">
        <f t="shared" si="15"/>
        <v>0.52290355807554822</v>
      </c>
      <c r="Q89" s="140">
        <v>2445</v>
      </c>
      <c r="R89" s="139">
        <v>24876729784514</v>
      </c>
      <c r="S89" s="140">
        <v>79480</v>
      </c>
      <c r="T89" s="139">
        <v>154578082287151</v>
      </c>
      <c r="U89" s="140">
        <v>2023852</v>
      </c>
      <c r="V89" s="139">
        <v>196684677352743</v>
      </c>
      <c r="W89" s="142"/>
    </row>
    <row r="90" spans="1:23" x14ac:dyDescent="0.3">
      <c r="A90" s="143"/>
      <c r="B90" s="137">
        <v>15</v>
      </c>
      <c r="C90" s="137" t="s">
        <v>2072</v>
      </c>
      <c r="D90" s="137" t="s">
        <v>2046</v>
      </c>
      <c r="E90" s="137">
        <v>1000316943</v>
      </c>
      <c r="F90" s="137" t="s">
        <v>2129</v>
      </c>
      <c r="G90" s="137" t="s">
        <v>2135</v>
      </c>
      <c r="H90" s="137" t="s">
        <v>2135</v>
      </c>
      <c r="I90" s="137" t="s">
        <v>2136</v>
      </c>
      <c r="J90" s="137" t="s">
        <v>2047</v>
      </c>
      <c r="K90" s="137" t="s">
        <v>2048</v>
      </c>
      <c r="L90" s="139">
        <f t="shared" si="11"/>
        <v>337578773795986</v>
      </c>
      <c r="M90" s="140">
        <f t="shared" si="12"/>
        <v>691292</v>
      </c>
      <c r="N90" s="141">
        <f t="shared" si="13"/>
        <v>3.0184565802881536E-2</v>
      </c>
      <c r="O90" s="141">
        <f t="shared" si="14"/>
        <v>0</v>
      </c>
      <c r="P90" s="141">
        <f t="shared" si="15"/>
        <v>0.96981543419711846</v>
      </c>
      <c r="Q90" s="140">
        <v>30</v>
      </c>
      <c r="R90" s="139">
        <v>10189668711301</v>
      </c>
      <c r="S90" s="140">
        <v>0</v>
      </c>
      <c r="T90" s="139">
        <v>0</v>
      </c>
      <c r="U90" s="140">
        <v>691262</v>
      </c>
      <c r="V90" s="139">
        <v>327389105084685</v>
      </c>
      <c r="W90" s="142"/>
    </row>
    <row r="91" spans="1:23" x14ac:dyDescent="0.3">
      <c r="A91" s="143"/>
      <c r="B91" s="137">
        <v>15</v>
      </c>
      <c r="C91" s="137" t="s">
        <v>2072</v>
      </c>
      <c r="D91" s="137" t="s">
        <v>2046</v>
      </c>
      <c r="E91" s="137">
        <v>1000316943</v>
      </c>
      <c r="F91" s="137" t="s">
        <v>2129</v>
      </c>
      <c r="G91" s="137" t="s">
        <v>2135</v>
      </c>
      <c r="H91" s="137" t="s">
        <v>2135</v>
      </c>
      <c r="I91" s="137" t="s">
        <v>2136</v>
      </c>
      <c r="J91" s="137" t="s">
        <v>2050</v>
      </c>
      <c r="K91" s="137" t="s">
        <v>2046</v>
      </c>
      <c r="L91" s="139">
        <f t="shared" si="11"/>
        <v>313267259406</v>
      </c>
      <c r="M91" s="140">
        <f t="shared" si="12"/>
        <v>104703</v>
      </c>
      <c r="N91" s="141">
        <f t="shared" si="13"/>
        <v>1.9875804141825187E-2</v>
      </c>
      <c r="O91" s="141">
        <f t="shared" si="14"/>
        <v>0.28119649432893407</v>
      </c>
      <c r="P91" s="141">
        <f t="shared" si="15"/>
        <v>0.69892770152924077</v>
      </c>
      <c r="Q91" s="140">
        <v>103</v>
      </c>
      <c r="R91" s="139">
        <v>6226438692</v>
      </c>
      <c r="S91" s="140">
        <v>4905</v>
      </c>
      <c r="T91" s="139">
        <v>88089655133</v>
      </c>
      <c r="U91" s="140">
        <v>99695</v>
      </c>
      <c r="V91" s="139">
        <v>218951165581</v>
      </c>
      <c r="W91" s="142"/>
    </row>
    <row r="92" spans="1:23" x14ac:dyDescent="0.3">
      <c r="A92" s="143"/>
      <c r="B92" s="137">
        <v>15</v>
      </c>
      <c r="C92" s="137" t="s">
        <v>2072</v>
      </c>
      <c r="D92" s="137" t="s">
        <v>2077</v>
      </c>
      <c r="E92" s="137">
        <v>1000316943</v>
      </c>
      <c r="F92" s="137" t="s">
        <v>2129</v>
      </c>
      <c r="G92" s="137" t="s">
        <v>2135</v>
      </c>
      <c r="H92" s="137" t="s">
        <v>2135</v>
      </c>
      <c r="I92" s="137" t="s">
        <v>2136</v>
      </c>
      <c r="J92" s="137" t="s">
        <v>2045</v>
      </c>
      <c r="K92" s="137" t="s">
        <v>2046</v>
      </c>
      <c r="L92" s="139">
        <f t="shared" si="11"/>
        <v>4663600490524</v>
      </c>
      <c r="M92" s="140">
        <f t="shared" si="12"/>
        <v>1741</v>
      </c>
      <c r="N92" s="141">
        <f t="shared" si="13"/>
        <v>2.1200961832150998E-5</v>
      </c>
      <c r="O92" s="141">
        <f t="shared" si="14"/>
        <v>0.73298244399659485</v>
      </c>
      <c r="P92" s="141">
        <f t="shared" si="15"/>
        <v>0.26699635504157304</v>
      </c>
      <c r="Q92" s="140">
        <v>4</v>
      </c>
      <c r="R92" s="139">
        <v>98872816</v>
      </c>
      <c r="S92" s="140">
        <v>363</v>
      </c>
      <c r="T92" s="139">
        <v>3418337285368</v>
      </c>
      <c r="U92" s="140">
        <v>1374</v>
      </c>
      <c r="V92" s="139">
        <v>1245164332340</v>
      </c>
      <c r="W92" s="142"/>
    </row>
    <row r="93" spans="1:23" x14ac:dyDescent="0.3">
      <c r="A93" s="143"/>
      <c r="B93" s="137">
        <v>15</v>
      </c>
      <c r="C93" s="137" t="s">
        <v>2087</v>
      </c>
      <c r="D93" s="137" t="s">
        <v>2046</v>
      </c>
      <c r="E93" s="137">
        <v>1000316943</v>
      </c>
      <c r="F93" s="137" t="s">
        <v>2129</v>
      </c>
      <c r="G93" s="137" t="s">
        <v>2137</v>
      </c>
      <c r="H93" s="137" t="s">
        <v>2137</v>
      </c>
      <c r="I93" s="137" t="s">
        <v>2102</v>
      </c>
      <c r="J93" s="137" t="s">
        <v>2047</v>
      </c>
      <c r="K93" s="137" t="s">
        <v>2048</v>
      </c>
      <c r="L93" s="139">
        <f t="shared" si="11"/>
        <v>364016728107616</v>
      </c>
      <c r="M93" s="140">
        <f t="shared" si="12"/>
        <v>830568</v>
      </c>
      <c r="N93" s="141">
        <f t="shared" si="13"/>
        <v>3.568644049470597E-2</v>
      </c>
      <c r="O93" s="141">
        <f t="shared" si="14"/>
        <v>0</v>
      </c>
      <c r="P93" s="141">
        <f t="shared" si="15"/>
        <v>0.96431355950529407</v>
      </c>
      <c r="Q93" s="140">
        <v>55</v>
      </c>
      <c r="R93" s="139">
        <v>12990461306690</v>
      </c>
      <c r="S93" s="140">
        <v>0</v>
      </c>
      <c r="T93" s="139">
        <v>0</v>
      </c>
      <c r="U93" s="140">
        <v>830513</v>
      </c>
      <c r="V93" s="139">
        <v>351026266800926</v>
      </c>
      <c r="W93" s="142"/>
    </row>
    <row r="94" spans="1:23" x14ac:dyDescent="0.3">
      <c r="A94" s="143"/>
      <c r="B94" s="137">
        <v>15</v>
      </c>
      <c r="C94" s="137" t="s">
        <v>2087</v>
      </c>
      <c r="D94" s="137" t="s">
        <v>2046</v>
      </c>
      <c r="E94" s="137">
        <v>1000316943</v>
      </c>
      <c r="F94" s="137" t="s">
        <v>2129</v>
      </c>
      <c r="G94" s="137" t="s">
        <v>2137</v>
      </c>
      <c r="H94" s="137" t="s">
        <v>2137</v>
      </c>
      <c r="I94" s="137" t="s">
        <v>2102</v>
      </c>
      <c r="J94" s="137" t="s">
        <v>2050</v>
      </c>
      <c r="K94" s="137" t="s">
        <v>2046</v>
      </c>
      <c r="L94" s="139">
        <f t="shared" si="11"/>
        <v>400260946524</v>
      </c>
      <c r="M94" s="140">
        <f t="shared" si="12"/>
        <v>128347</v>
      </c>
      <c r="N94" s="141">
        <f t="shared" si="13"/>
        <v>1.5427468896543322E-2</v>
      </c>
      <c r="O94" s="141">
        <f t="shared" si="14"/>
        <v>0.28785928144026757</v>
      </c>
      <c r="P94" s="141">
        <f t="shared" si="15"/>
        <v>0.69671324966318915</v>
      </c>
      <c r="Q94" s="140">
        <v>158</v>
      </c>
      <c r="R94" s="139">
        <v>6175013303</v>
      </c>
      <c r="S94" s="140">
        <v>5596</v>
      </c>
      <c r="T94" s="139">
        <v>115218828455</v>
      </c>
      <c r="U94" s="140">
        <v>122593</v>
      </c>
      <c r="V94" s="139">
        <v>278867104766</v>
      </c>
      <c r="W94" s="142"/>
    </row>
    <row r="95" spans="1:23" x14ac:dyDescent="0.3">
      <c r="A95" s="143"/>
      <c r="B95" s="137">
        <v>15</v>
      </c>
      <c r="C95" s="137" t="s">
        <v>2087</v>
      </c>
      <c r="D95" s="137" t="s">
        <v>2077</v>
      </c>
      <c r="E95" s="137">
        <v>1000316943</v>
      </c>
      <c r="F95" s="137" t="s">
        <v>2129</v>
      </c>
      <c r="G95" s="137" t="s">
        <v>2137</v>
      </c>
      <c r="H95" s="137" t="s">
        <v>2137</v>
      </c>
      <c r="I95" s="137" t="s">
        <v>2102</v>
      </c>
      <c r="J95" s="137" t="s">
        <v>2045</v>
      </c>
      <c r="K95" s="137" t="s">
        <v>2048</v>
      </c>
      <c r="L95" s="139">
        <f t="shared" si="11"/>
        <v>5477298199774</v>
      </c>
      <c r="M95" s="140">
        <f t="shared" si="12"/>
        <v>2176</v>
      </c>
      <c r="N95" s="141">
        <f t="shared" si="13"/>
        <v>2.0706506540885372E-5</v>
      </c>
      <c r="O95" s="141">
        <f t="shared" si="14"/>
        <v>0.71893498648649057</v>
      </c>
      <c r="P95" s="141">
        <f t="shared" si="15"/>
        <v>0.28104430700696853</v>
      </c>
      <c r="Q95" s="140">
        <v>5</v>
      </c>
      <c r="R95" s="139">
        <v>113415711</v>
      </c>
      <c r="S95" s="140">
        <v>408</v>
      </c>
      <c r="T95" s="139">
        <v>3937821307237</v>
      </c>
      <c r="U95" s="140">
        <v>1763</v>
      </c>
      <c r="V95" s="139">
        <v>1539363476826</v>
      </c>
      <c r="W95" s="142"/>
    </row>
    <row r="96" spans="1:23" x14ac:dyDescent="0.3">
      <c r="A96" s="143"/>
      <c r="B96" s="137">
        <v>18</v>
      </c>
      <c r="C96" s="137" t="s">
        <v>2072</v>
      </c>
      <c r="D96" s="137" t="s">
        <v>2046</v>
      </c>
      <c r="E96" s="137">
        <v>1001345756</v>
      </c>
      <c r="F96" s="137" t="s">
        <v>2138</v>
      </c>
      <c r="G96" s="137" t="s">
        <v>2139</v>
      </c>
      <c r="H96" s="137" t="s">
        <v>2139</v>
      </c>
      <c r="I96" s="137" t="s">
        <v>2097</v>
      </c>
      <c r="J96" s="137" t="s">
        <v>2047</v>
      </c>
      <c r="K96" s="137" t="s">
        <v>2048</v>
      </c>
      <c r="L96" s="139">
        <f t="shared" si="11"/>
        <v>37953075644262</v>
      </c>
      <c r="M96" s="140">
        <f t="shared" si="12"/>
        <v>535261</v>
      </c>
      <c r="N96" s="141">
        <f t="shared" si="13"/>
        <v>1.1809923477328651E-2</v>
      </c>
      <c r="O96" s="141">
        <f t="shared" si="14"/>
        <v>0</v>
      </c>
      <c r="P96" s="141">
        <f t="shared" si="15"/>
        <v>0.98819007652267132</v>
      </c>
      <c r="Q96" s="140">
        <v>4</v>
      </c>
      <c r="R96" s="139">
        <v>448222919088</v>
      </c>
      <c r="S96" s="140">
        <v>0</v>
      </c>
      <c r="T96" s="139">
        <v>0</v>
      </c>
      <c r="U96" s="140">
        <v>535257</v>
      </c>
      <c r="V96" s="139">
        <v>37504852725174</v>
      </c>
      <c r="W96" s="142"/>
    </row>
    <row r="97" spans="1:23" x14ac:dyDescent="0.3">
      <c r="A97" s="143"/>
      <c r="B97" s="137">
        <v>18</v>
      </c>
      <c r="C97" s="137" t="s">
        <v>2072</v>
      </c>
      <c r="D97" s="137" t="s">
        <v>2046</v>
      </c>
      <c r="E97" s="137">
        <v>1001345756</v>
      </c>
      <c r="F97" s="137" t="s">
        <v>2138</v>
      </c>
      <c r="G97" s="137" t="s">
        <v>2139</v>
      </c>
      <c r="H97" s="137" t="s">
        <v>2139</v>
      </c>
      <c r="I97" s="137" t="s">
        <v>2097</v>
      </c>
      <c r="J97" s="137" t="s">
        <v>2050</v>
      </c>
      <c r="K97" s="137" t="s">
        <v>2046</v>
      </c>
      <c r="L97" s="139">
        <f t="shared" si="11"/>
        <v>30409934833</v>
      </c>
      <c r="M97" s="140">
        <f t="shared" si="12"/>
        <v>14594</v>
      </c>
      <c r="N97" s="141">
        <f t="shared" si="13"/>
        <v>0</v>
      </c>
      <c r="O97" s="141">
        <f t="shared" si="14"/>
        <v>0.20110743684867929</v>
      </c>
      <c r="P97" s="141">
        <f t="shared" si="15"/>
        <v>0.79889256315132073</v>
      </c>
      <c r="Q97" s="140">
        <v>0</v>
      </c>
      <c r="R97" s="139">
        <v>0</v>
      </c>
      <c r="S97" s="140">
        <v>999</v>
      </c>
      <c r="T97" s="139">
        <v>6115664049</v>
      </c>
      <c r="U97" s="140">
        <v>13595</v>
      </c>
      <c r="V97" s="139">
        <v>24294270784</v>
      </c>
      <c r="W97" s="142"/>
    </row>
    <row r="98" spans="1:23" x14ac:dyDescent="0.3">
      <c r="A98" s="143"/>
      <c r="B98" s="137">
        <v>18</v>
      </c>
      <c r="C98" s="137" t="s">
        <v>2072</v>
      </c>
      <c r="D98" s="137" t="s">
        <v>2046</v>
      </c>
      <c r="E98" s="137">
        <v>1001345756</v>
      </c>
      <c r="F98" s="137" t="s">
        <v>2138</v>
      </c>
      <c r="G98" s="137" t="s">
        <v>2139</v>
      </c>
      <c r="H98" s="137" t="s">
        <v>2139</v>
      </c>
      <c r="I98" s="137" t="s">
        <v>2097</v>
      </c>
      <c r="J98" s="137" t="s">
        <v>2045</v>
      </c>
      <c r="K98" s="137" t="s">
        <v>2046</v>
      </c>
      <c r="L98" s="139">
        <f t="shared" si="11"/>
        <v>1281380106491</v>
      </c>
      <c r="M98" s="140">
        <f t="shared" si="12"/>
        <v>47787</v>
      </c>
      <c r="N98" s="141">
        <f t="shared" si="13"/>
        <v>2.5022244150334948E-2</v>
      </c>
      <c r="O98" s="141">
        <f t="shared" si="14"/>
        <v>9.2427229514532694E-2</v>
      </c>
      <c r="P98" s="141">
        <f t="shared" si="15"/>
        <v>0.88255052633513231</v>
      </c>
      <c r="Q98" s="140">
        <v>24</v>
      </c>
      <c r="R98" s="139">
        <v>32063005874</v>
      </c>
      <c r="S98" s="140">
        <v>294</v>
      </c>
      <c r="T98" s="139">
        <v>118434413198</v>
      </c>
      <c r="U98" s="140">
        <v>47469</v>
      </c>
      <c r="V98" s="139">
        <v>1130882687419</v>
      </c>
      <c r="W98" s="142"/>
    </row>
    <row r="99" spans="1:23" x14ac:dyDescent="0.3">
      <c r="A99" s="143"/>
      <c r="B99" s="137">
        <v>18</v>
      </c>
      <c r="C99" s="137" t="s">
        <v>2072</v>
      </c>
      <c r="D99" s="137" t="s">
        <v>2046</v>
      </c>
      <c r="E99" s="137">
        <v>1001345756</v>
      </c>
      <c r="F99" s="137" t="s">
        <v>2138</v>
      </c>
      <c r="G99" s="137" t="s">
        <v>2140</v>
      </c>
      <c r="H99" s="137" t="s">
        <v>2140</v>
      </c>
      <c r="I99" s="137" t="s">
        <v>2133</v>
      </c>
      <c r="J99" s="137" t="s">
        <v>2047</v>
      </c>
      <c r="K99" s="137" t="s">
        <v>2048</v>
      </c>
      <c r="L99" s="139">
        <f t="shared" si="11"/>
        <v>56050054517538</v>
      </c>
      <c r="M99" s="140">
        <f t="shared" si="12"/>
        <v>804885</v>
      </c>
      <c r="N99" s="141">
        <f t="shared" si="13"/>
        <v>8.0803967547129867E-3</v>
      </c>
      <c r="O99" s="141">
        <f t="shared" si="14"/>
        <v>0</v>
      </c>
      <c r="P99" s="141">
        <f t="shared" si="15"/>
        <v>0.99191960324528705</v>
      </c>
      <c r="Q99" s="140">
        <v>8</v>
      </c>
      <c r="R99" s="139">
        <v>452906678625</v>
      </c>
      <c r="S99" s="140">
        <v>0</v>
      </c>
      <c r="T99" s="139">
        <v>0</v>
      </c>
      <c r="U99" s="140">
        <v>804877</v>
      </c>
      <c r="V99" s="139">
        <v>55597147838913</v>
      </c>
      <c r="W99" s="142"/>
    </row>
    <row r="100" spans="1:23" x14ac:dyDescent="0.3">
      <c r="A100" s="143"/>
      <c r="B100" s="137">
        <v>18</v>
      </c>
      <c r="C100" s="137" t="s">
        <v>2072</v>
      </c>
      <c r="D100" s="137" t="s">
        <v>2046</v>
      </c>
      <c r="E100" s="137">
        <v>1001345756</v>
      </c>
      <c r="F100" s="137" t="s">
        <v>2138</v>
      </c>
      <c r="G100" s="137" t="s">
        <v>2140</v>
      </c>
      <c r="H100" s="137" t="s">
        <v>2140</v>
      </c>
      <c r="I100" s="137" t="s">
        <v>2133</v>
      </c>
      <c r="J100" s="137" t="s">
        <v>2045</v>
      </c>
      <c r="K100" s="137" t="s">
        <v>2046</v>
      </c>
      <c r="L100" s="139">
        <f t="shared" si="11"/>
        <v>2017843015551</v>
      </c>
      <c r="M100" s="140">
        <f t="shared" si="12"/>
        <v>72140</v>
      </c>
      <c r="N100" s="141">
        <f t="shared" si="13"/>
        <v>2.7619275951841962E-2</v>
      </c>
      <c r="O100" s="141">
        <f t="shared" si="14"/>
        <v>0.10819509491990115</v>
      </c>
      <c r="P100" s="141">
        <f t="shared" si="15"/>
        <v>0.86418562912825692</v>
      </c>
      <c r="Q100" s="140">
        <v>45</v>
      </c>
      <c r="R100" s="139">
        <v>55731363074</v>
      </c>
      <c r="S100" s="140">
        <v>320</v>
      </c>
      <c r="T100" s="139">
        <v>218320716601</v>
      </c>
      <c r="U100" s="140">
        <v>71775</v>
      </c>
      <c r="V100" s="139">
        <v>1743790935876</v>
      </c>
      <c r="W100" s="142"/>
    </row>
    <row r="101" spans="1:23" x14ac:dyDescent="0.3">
      <c r="A101" s="143"/>
      <c r="B101" s="137">
        <v>18</v>
      </c>
      <c r="C101" s="137" t="s">
        <v>2087</v>
      </c>
      <c r="D101" s="137" t="s">
        <v>2046</v>
      </c>
      <c r="E101" s="137">
        <v>1001345756</v>
      </c>
      <c r="F101" s="137" t="s">
        <v>2138</v>
      </c>
      <c r="G101" s="137" t="s">
        <v>2141</v>
      </c>
      <c r="H101" s="137" t="s">
        <v>2141</v>
      </c>
      <c r="I101" s="137" t="s">
        <v>2102</v>
      </c>
      <c r="J101" s="137" t="s">
        <v>2047</v>
      </c>
      <c r="K101" s="137" t="s">
        <v>2048</v>
      </c>
      <c r="L101" s="139">
        <f t="shared" si="11"/>
        <v>118660402633822</v>
      </c>
      <c r="M101" s="140">
        <f t="shared" ref="M101:M120" si="16">Q101+S101+U101</f>
        <v>1084326</v>
      </c>
      <c r="N101" s="141">
        <f t="shared" si="13"/>
        <v>1.4597052729284255E-2</v>
      </c>
      <c r="O101" s="141">
        <f t="shared" si="14"/>
        <v>0.34749683903145601</v>
      </c>
      <c r="P101" s="141">
        <f t="shared" si="15"/>
        <v>0.63790610823925975</v>
      </c>
      <c r="Q101" s="140">
        <v>23</v>
      </c>
      <c r="R101" s="139">
        <v>1732092154124</v>
      </c>
      <c r="S101" s="140">
        <v>9217</v>
      </c>
      <c r="T101" s="139">
        <v>41234114833453</v>
      </c>
      <c r="U101" s="140">
        <v>1075086</v>
      </c>
      <c r="V101" s="139">
        <v>75694195646245</v>
      </c>
      <c r="W101" s="142"/>
    </row>
    <row r="102" spans="1:23" x14ac:dyDescent="0.3">
      <c r="A102" s="143"/>
      <c r="B102" s="137">
        <v>18</v>
      </c>
      <c r="C102" s="137" t="s">
        <v>2087</v>
      </c>
      <c r="D102" s="137" t="s">
        <v>2046</v>
      </c>
      <c r="E102" s="137">
        <v>1001345756</v>
      </c>
      <c r="F102" s="137" t="s">
        <v>2138</v>
      </c>
      <c r="G102" s="137" t="s">
        <v>2141</v>
      </c>
      <c r="H102" s="137" t="s">
        <v>2141</v>
      </c>
      <c r="I102" s="137" t="s">
        <v>2102</v>
      </c>
      <c r="J102" s="137" t="s">
        <v>2045</v>
      </c>
      <c r="K102" s="137" t="s">
        <v>2046</v>
      </c>
      <c r="L102" s="139">
        <f t="shared" si="11"/>
        <v>2935658398892</v>
      </c>
      <c r="M102" s="140">
        <f t="shared" si="16"/>
        <v>96934</v>
      </c>
      <c r="N102" s="141">
        <f t="shared" si="13"/>
        <v>4.3381042637340293E-2</v>
      </c>
      <c r="O102" s="141">
        <f t="shared" si="14"/>
        <v>0.13332871005248029</v>
      </c>
      <c r="P102" s="141">
        <f t="shared" si="15"/>
        <v>0.82329024731017941</v>
      </c>
      <c r="Q102" s="140">
        <v>48</v>
      </c>
      <c r="R102" s="139">
        <v>127351922171</v>
      </c>
      <c r="S102" s="140">
        <v>161</v>
      </c>
      <c r="T102" s="139">
        <v>391407547479</v>
      </c>
      <c r="U102" s="140">
        <v>96725</v>
      </c>
      <c r="V102" s="139">
        <v>2416898929242</v>
      </c>
      <c r="W102" s="142"/>
    </row>
    <row r="103" spans="1:23" x14ac:dyDescent="0.3">
      <c r="A103" s="143"/>
      <c r="B103" s="137">
        <v>19</v>
      </c>
      <c r="C103" s="137" t="s">
        <v>2072</v>
      </c>
      <c r="D103" s="137" t="s">
        <v>2046</v>
      </c>
      <c r="E103" s="137">
        <v>1000317405</v>
      </c>
      <c r="F103" s="137" t="s">
        <v>2142</v>
      </c>
      <c r="G103" s="137" t="s">
        <v>2143</v>
      </c>
      <c r="H103" s="137" t="s">
        <v>2143</v>
      </c>
      <c r="I103" s="137" t="s">
        <v>2097</v>
      </c>
      <c r="J103" s="137" t="s">
        <v>2047</v>
      </c>
      <c r="K103" s="137" t="s">
        <v>2048</v>
      </c>
      <c r="L103" s="139">
        <f t="shared" si="11"/>
        <v>152206959814748</v>
      </c>
      <c r="M103" s="140">
        <f t="shared" si="16"/>
        <v>2959833</v>
      </c>
      <c r="N103" s="141">
        <f t="shared" si="13"/>
        <v>1.367213361552448E-4</v>
      </c>
      <c r="O103" s="141">
        <f t="shared" si="14"/>
        <v>5.1684030944942137E-2</v>
      </c>
      <c r="P103" s="141">
        <f t="shared" si="15"/>
        <v>0.94817924771890261</v>
      </c>
      <c r="Q103" s="140">
        <v>37</v>
      </c>
      <c r="R103" s="139">
        <v>20809938918</v>
      </c>
      <c r="S103" s="140">
        <v>54263</v>
      </c>
      <c r="T103" s="139">
        <v>7866669221101</v>
      </c>
      <c r="U103" s="140">
        <v>2905533</v>
      </c>
      <c r="V103" s="139">
        <v>144319480654729</v>
      </c>
      <c r="W103" s="142"/>
    </row>
    <row r="104" spans="1:23" x14ac:dyDescent="0.3">
      <c r="A104" s="143"/>
      <c r="B104" s="137">
        <v>19</v>
      </c>
      <c r="C104" s="137" t="s">
        <v>2072</v>
      </c>
      <c r="D104" s="137" t="s">
        <v>2046</v>
      </c>
      <c r="E104" s="137">
        <v>1000317405</v>
      </c>
      <c r="F104" s="137" t="s">
        <v>2142</v>
      </c>
      <c r="G104" s="137" t="s">
        <v>2143</v>
      </c>
      <c r="H104" s="137" t="s">
        <v>2143</v>
      </c>
      <c r="I104" s="137" t="s">
        <v>2097</v>
      </c>
      <c r="J104" s="137" t="s">
        <v>2050</v>
      </c>
      <c r="K104" s="137" t="s">
        <v>2046</v>
      </c>
      <c r="L104" s="139">
        <f t="shared" si="11"/>
        <v>812328281439</v>
      </c>
      <c r="M104" s="140">
        <f t="shared" si="16"/>
        <v>265561</v>
      </c>
      <c r="N104" s="141">
        <f t="shared" si="13"/>
        <v>1.2827945677996815E-2</v>
      </c>
      <c r="O104" s="141">
        <f t="shared" si="14"/>
        <v>0.11484038246304153</v>
      </c>
      <c r="P104" s="141">
        <f t="shared" si="15"/>
        <v>0.87233167185896165</v>
      </c>
      <c r="Q104" s="140">
        <v>289</v>
      </c>
      <c r="R104" s="139">
        <v>10420503067</v>
      </c>
      <c r="S104" s="140">
        <v>12207</v>
      </c>
      <c r="T104" s="139">
        <v>93288090526</v>
      </c>
      <c r="U104" s="140">
        <v>253065</v>
      </c>
      <c r="V104" s="139">
        <v>708619687846</v>
      </c>
      <c r="W104" s="142"/>
    </row>
    <row r="105" spans="1:23" x14ac:dyDescent="0.3">
      <c r="A105" s="143"/>
      <c r="B105" s="137">
        <v>19</v>
      </c>
      <c r="C105" s="137" t="s">
        <v>2072</v>
      </c>
      <c r="D105" s="137" t="s">
        <v>2077</v>
      </c>
      <c r="E105" s="137">
        <v>1000317405</v>
      </c>
      <c r="F105" s="137" t="s">
        <v>2142</v>
      </c>
      <c r="G105" s="137" t="s">
        <v>2143</v>
      </c>
      <c r="H105" s="137" t="s">
        <v>2143</v>
      </c>
      <c r="I105" s="137" t="s">
        <v>2097</v>
      </c>
      <c r="J105" s="137" t="s">
        <v>2045</v>
      </c>
      <c r="K105" s="137" t="s">
        <v>2046</v>
      </c>
      <c r="L105" s="139">
        <f t="shared" si="11"/>
        <v>3169530464638</v>
      </c>
      <c r="M105" s="140">
        <f t="shared" si="16"/>
        <v>98911</v>
      </c>
      <c r="N105" s="141">
        <f t="shared" si="13"/>
        <v>8.1000851235964469E-2</v>
      </c>
      <c r="O105" s="141">
        <f t="shared" si="14"/>
        <v>0.29501067511360674</v>
      </c>
      <c r="P105" s="141">
        <f t="shared" si="15"/>
        <v>0.62398847365042875</v>
      </c>
      <c r="Q105" s="140">
        <v>1331</v>
      </c>
      <c r="R105" s="139">
        <v>256734665654</v>
      </c>
      <c r="S105" s="140">
        <v>11553</v>
      </c>
      <c r="T105" s="139">
        <v>935045322166</v>
      </c>
      <c r="U105" s="140">
        <v>86027</v>
      </c>
      <c r="V105" s="139">
        <v>1977750476818</v>
      </c>
      <c r="W105" s="142"/>
    </row>
    <row r="106" spans="1:23" x14ac:dyDescent="0.3">
      <c r="A106" s="143"/>
      <c r="B106" s="137">
        <v>19</v>
      </c>
      <c r="C106" s="137" t="s">
        <v>2087</v>
      </c>
      <c r="D106" s="137" t="s">
        <v>2046</v>
      </c>
      <c r="E106" s="137">
        <v>1000317405</v>
      </c>
      <c r="F106" s="137" t="s">
        <v>2142</v>
      </c>
      <c r="G106" s="137" t="s">
        <v>2142</v>
      </c>
      <c r="H106" s="137" t="s">
        <v>2142</v>
      </c>
      <c r="I106" s="137" t="s">
        <v>2144</v>
      </c>
      <c r="J106" s="137" t="s">
        <v>2047</v>
      </c>
      <c r="K106" s="137" t="s">
        <v>2048</v>
      </c>
      <c r="L106" s="139">
        <f t="shared" si="11"/>
        <v>147149827901230</v>
      </c>
      <c r="M106" s="140">
        <f t="shared" si="16"/>
        <v>2987218</v>
      </c>
      <c r="N106" s="141">
        <f t="shared" si="13"/>
        <v>4.5136939577382143E-3</v>
      </c>
      <c r="O106" s="141">
        <f t="shared" si="14"/>
        <v>0</v>
      </c>
      <c r="P106" s="141">
        <f t="shared" si="15"/>
        <v>0.99548630604226174</v>
      </c>
      <c r="Q106" s="140">
        <v>268</v>
      </c>
      <c r="R106" s="139">
        <v>664189289080</v>
      </c>
      <c r="S106" s="140">
        <v>0</v>
      </c>
      <c r="T106" s="139">
        <v>0</v>
      </c>
      <c r="U106" s="140">
        <v>2986950</v>
      </c>
      <c r="V106" s="139">
        <v>146485638612150</v>
      </c>
      <c r="W106" s="142"/>
    </row>
    <row r="107" spans="1:23" x14ac:dyDescent="0.3">
      <c r="A107" s="143"/>
      <c r="B107" s="137">
        <v>19</v>
      </c>
      <c r="C107" s="137" t="s">
        <v>2087</v>
      </c>
      <c r="D107" s="137" t="s">
        <v>2046</v>
      </c>
      <c r="E107" s="137">
        <v>1000317405</v>
      </c>
      <c r="F107" s="137" t="s">
        <v>2142</v>
      </c>
      <c r="G107" s="137" t="s">
        <v>2142</v>
      </c>
      <c r="H107" s="137" t="s">
        <v>2142</v>
      </c>
      <c r="I107" s="137" t="s">
        <v>2144</v>
      </c>
      <c r="J107" s="137" t="s">
        <v>2050</v>
      </c>
      <c r="K107" s="137" t="s">
        <v>2046</v>
      </c>
      <c r="L107" s="139">
        <f t="shared" si="11"/>
        <v>874001172115</v>
      </c>
      <c r="M107" s="140">
        <f t="shared" si="16"/>
        <v>264859</v>
      </c>
      <c r="N107" s="141">
        <f t="shared" si="13"/>
        <v>1.1279054877174592E-2</v>
      </c>
      <c r="O107" s="141">
        <f t="shared" si="14"/>
        <v>0.29200141724457529</v>
      </c>
      <c r="P107" s="141">
        <f t="shared" si="15"/>
        <v>0.69671952787825009</v>
      </c>
      <c r="Q107" s="140">
        <v>183</v>
      </c>
      <c r="R107" s="139">
        <v>9857907183</v>
      </c>
      <c r="S107" s="140">
        <v>26447</v>
      </c>
      <c r="T107" s="139">
        <v>255209580931</v>
      </c>
      <c r="U107" s="140">
        <v>238229</v>
      </c>
      <c r="V107" s="139">
        <v>608933684001</v>
      </c>
      <c r="W107" s="142"/>
    </row>
    <row r="108" spans="1:23" x14ac:dyDescent="0.3">
      <c r="A108" s="143"/>
      <c r="B108" s="137">
        <v>19</v>
      </c>
      <c r="C108" s="137" t="s">
        <v>2087</v>
      </c>
      <c r="D108" s="137" t="s">
        <v>2077</v>
      </c>
      <c r="E108" s="137">
        <v>1000317405</v>
      </c>
      <c r="F108" s="137" t="s">
        <v>2142</v>
      </c>
      <c r="G108" s="137" t="s">
        <v>2142</v>
      </c>
      <c r="H108" s="137" t="s">
        <v>2142</v>
      </c>
      <c r="I108" s="137" t="s">
        <v>2144</v>
      </c>
      <c r="J108" s="137" t="s">
        <v>2045</v>
      </c>
      <c r="K108" s="137" t="s">
        <v>2048</v>
      </c>
      <c r="L108" s="139">
        <f t="shared" si="11"/>
        <v>3199496939524</v>
      </c>
      <c r="M108" s="140">
        <f t="shared" si="16"/>
        <v>99931</v>
      </c>
      <c r="N108" s="141">
        <f t="shared" si="13"/>
        <v>7.5385519385708019E-2</v>
      </c>
      <c r="O108" s="141">
        <f t="shared" si="14"/>
        <v>0.40854427604655469</v>
      </c>
      <c r="P108" s="141">
        <f t="shared" si="15"/>
        <v>0.51607020456773722</v>
      </c>
      <c r="Q108" s="140">
        <v>1254</v>
      </c>
      <c r="R108" s="139">
        <v>241195738559</v>
      </c>
      <c r="S108" s="140">
        <v>22600</v>
      </c>
      <c r="T108" s="139">
        <v>1307136160871</v>
      </c>
      <c r="U108" s="140">
        <v>76077</v>
      </c>
      <c r="V108" s="139">
        <v>1651165040094</v>
      </c>
      <c r="W108" s="142"/>
    </row>
    <row r="109" spans="1:23" x14ac:dyDescent="0.3">
      <c r="A109" s="143"/>
      <c r="B109" s="137">
        <v>22</v>
      </c>
      <c r="C109" s="137" t="s">
        <v>2072</v>
      </c>
      <c r="D109" s="137" t="s">
        <v>2046</v>
      </c>
      <c r="E109" s="137">
        <v>1000953509</v>
      </c>
      <c r="F109" s="137" t="s">
        <v>2145</v>
      </c>
      <c r="G109" s="137" t="s">
        <v>2146</v>
      </c>
      <c r="H109" s="137" t="s">
        <v>2147</v>
      </c>
      <c r="I109" s="137" t="s">
        <v>2097</v>
      </c>
      <c r="J109" s="137" t="s">
        <v>2047</v>
      </c>
      <c r="K109" s="137" t="s">
        <v>2048</v>
      </c>
      <c r="L109" s="139">
        <f t="shared" si="11"/>
        <v>12065311837866</v>
      </c>
      <c r="M109" s="140">
        <f t="shared" si="16"/>
        <v>270262</v>
      </c>
      <c r="N109" s="141">
        <f t="shared" si="13"/>
        <v>9.441366956923003E-2</v>
      </c>
      <c r="O109" s="141">
        <f t="shared" si="14"/>
        <v>0</v>
      </c>
      <c r="P109" s="141">
        <f t="shared" si="15"/>
        <v>0.90558633043076997</v>
      </c>
      <c r="Q109" s="140">
        <v>2</v>
      </c>
      <c r="R109" s="139">
        <v>1139130365110</v>
      </c>
      <c r="S109" s="140">
        <v>0</v>
      </c>
      <c r="T109" s="139">
        <v>0</v>
      </c>
      <c r="U109" s="140">
        <v>270260</v>
      </c>
      <c r="V109" s="139">
        <v>10926181472756</v>
      </c>
      <c r="W109" s="142"/>
    </row>
    <row r="110" spans="1:23" x14ac:dyDescent="0.3">
      <c r="A110" s="143"/>
      <c r="B110" s="137">
        <v>22</v>
      </c>
      <c r="C110" s="137" t="s">
        <v>2072</v>
      </c>
      <c r="D110" s="137" t="s">
        <v>2046</v>
      </c>
      <c r="E110" s="137">
        <v>1000953509</v>
      </c>
      <c r="F110" s="137" t="s">
        <v>2145</v>
      </c>
      <c r="G110" s="137" t="s">
        <v>2146</v>
      </c>
      <c r="H110" s="137" t="s">
        <v>2147</v>
      </c>
      <c r="I110" s="137" t="s">
        <v>2097</v>
      </c>
      <c r="J110" s="137" t="s">
        <v>2050</v>
      </c>
      <c r="K110" s="137" t="s">
        <v>2046</v>
      </c>
      <c r="L110" s="139">
        <f t="shared" si="11"/>
        <v>106521882913</v>
      </c>
      <c r="M110" s="140">
        <f t="shared" si="16"/>
        <v>19055</v>
      </c>
      <c r="N110" s="141">
        <f t="shared" si="13"/>
        <v>1.0456869466997195E-2</v>
      </c>
      <c r="O110" s="141">
        <f t="shared" si="14"/>
        <v>0.15627237193690705</v>
      </c>
      <c r="P110" s="141">
        <f t="shared" si="15"/>
        <v>0.83327075859609578</v>
      </c>
      <c r="Q110" s="140">
        <v>3</v>
      </c>
      <c r="R110" s="139">
        <v>1113885425</v>
      </c>
      <c r="S110" s="140">
        <v>213</v>
      </c>
      <c r="T110" s="139">
        <v>16646427306</v>
      </c>
      <c r="U110" s="140">
        <v>18839</v>
      </c>
      <c r="V110" s="139">
        <v>88761570182</v>
      </c>
      <c r="W110" s="142"/>
    </row>
    <row r="111" spans="1:23" x14ac:dyDescent="0.3">
      <c r="A111" s="143"/>
      <c r="B111" s="137">
        <v>22</v>
      </c>
      <c r="C111" s="137" t="s">
        <v>2072</v>
      </c>
      <c r="D111" s="137" t="s">
        <v>2046</v>
      </c>
      <c r="E111" s="137">
        <v>1000953509</v>
      </c>
      <c r="F111" s="137" t="s">
        <v>2145</v>
      </c>
      <c r="G111" s="137" t="s">
        <v>2146</v>
      </c>
      <c r="H111" s="137" t="s">
        <v>2147</v>
      </c>
      <c r="I111" s="137" t="s">
        <v>2097</v>
      </c>
      <c r="J111" s="137" t="s">
        <v>2045</v>
      </c>
      <c r="K111" s="137" t="s">
        <v>2048</v>
      </c>
      <c r="L111" s="139">
        <f t="shared" si="11"/>
        <v>289102794427</v>
      </c>
      <c r="M111" s="140">
        <f t="shared" si="16"/>
        <v>7246</v>
      </c>
      <c r="N111" s="141">
        <f t="shared" si="13"/>
        <v>0.2305718645235432</v>
      </c>
      <c r="O111" s="141">
        <f t="shared" si="14"/>
        <v>0.43590583938067445</v>
      </c>
      <c r="P111" s="141">
        <f t="shared" si="15"/>
        <v>0.33352229609578238</v>
      </c>
      <c r="Q111" s="140">
        <v>78</v>
      </c>
      <c r="R111" s="139">
        <v>66658970350</v>
      </c>
      <c r="S111" s="140">
        <v>1225</v>
      </c>
      <c r="T111" s="139">
        <v>126021596272</v>
      </c>
      <c r="U111" s="140">
        <v>5943</v>
      </c>
      <c r="V111" s="139">
        <v>96422227805</v>
      </c>
      <c r="W111" s="142" t="s">
        <v>2106</v>
      </c>
    </row>
    <row r="112" spans="1:23" x14ac:dyDescent="0.3">
      <c r="A112" s="143"/>
      <c r="B112" s="137">
        <v>22</v>
      </c>
      <c r="C112" s="137" t="s">
        <v>2087</v>
      </c>
      <c r="D112" s="137" t="s">
        <v>2046</v>
      </c>
      <c r="E112" s="137">
        <v>1000953509</v>
      </c>
      <c r="F112" s="137" t="s">
        <v>2145</v>
      </c>
      <c r="G112" s="137" t="s">
        <v>2148</v>
      </c>
      <c r="H112" s="137" t="s">
        <v>2148</v>
      </c>
      <c r="I112" s="137" t="s">
        <v>2102</v>
      </c>
      <c r="J112" s="137" t="s">
        <v>2047</v>
      </c>
      <c r="K112" s="137" t="s">
        <v>2048</v>
      </c>
      <c r="L112" s="139">
        <f t="shared" si="11"/>
        <v>21152750633844</v>
      </c>
      <c r="M112" s="140">
        <f t="shared" si="16"/>
        <v>541859</v>
      </c>
      <c r="N112" s="141">
        <f t="shared" si="13"/>
        <v>5.4088965811302715E-2</v>
      </c>
      <c r="O112" s="141">
        <f t="shared" si="14"/>
        <v>0</v>
      </c>
      <c r="P112" s="141">
        <f t="shared" si="15"/>
        <v>0.94591103418869726</v>
      </c>
      <c r="Q112" s="140">
        <v>6</v>
      </c>
      <c r="R112" s="139">
        <v>1144130405849</v>
      </c>
      <c r="S112" s="140">
        <v>0</v>
      </c>
      <c r="T112" s="139">
        <v>0</v>
      </c>
      <c r="U112" s="140">
        <v>541853</v>
      </c>
      <c r="V112" s="139">
        <v>20008620227995</v>
      </c>
      <c r="W112" s="142"/>
    </row>
    <row r="113" spans="1:23" x14ac:dyDescent="0.3">
      <c r="A113" s="143"/>
      <c r="B113" s="137">
        <v>22</v>
      </c>
      <c r="C113" s="137" t="s">
        <v>2087</v>
      </c>
      <c r="D113" s="137" t="s">
        <v>2046</v>
      </c>
      <c r="E113" s="137">
        <v>1000953509</v>
      </c>
      <c r="F113" s="137" t="s">
        <v>2145</v>
      </c>
      <c r="G113" s="137" t="s">
        <v>2148</v>
      </c>
      <c r="H113" s="137" t="s">
        <v>2148</v>
      </c>
      <c r="I113" s="137" t="s">
        <v>2102</v>
      </c>
      <c r="J113" s="137" t="s">
        <v>2050</v>
      </c>
      <c r="K113" s="137" t="s">
        <v>2046</v>
      </c>
      <c r="L113" s="139">
        <f t="shared" si="11"/>
        <v>4097552991</v>
      </c>
      <c r="M113" s="140">
        <f t="shared" si="16"/>
        <v>3308</v>
      </c>
      <c r="N113" s="141">
        <f t="shared" si="13"/>
        <v>0</v>
      </c>
      <c r="O113" s="141">
        <f t="shared" si="14"/>
        <v>2.8363910181338763E-2</v>
      </c>
      <c r="P113" s="141">
        <f t="shared" si="15"/>
        <v>0.97163608981866123</v>
      </c>
      <c r="Q113" s="140">
        <v>0</v>
      </c>
      <c r="R113" s="139">
        <v>0</v>
      </c>
      <c r="S113" s="140">
        <v>29</v>
      </c>
      <c r="T113" s="139">
        <v>116222625</v>
      </c>
      <c r="U113" s="140">
        <v>3279</v>
      </c>
      <c r="V113" s="139">
        <v>3981330366</v>
      </c>
      <c r="W113" s="142"/>
    </row>
    <row r="114" spans="1:23" x14ac:dyDescent="0.3">
      <c r="A114" s="143"/>
      <c r="B114" s="137">
        <v>22</v>
      </c>
      <c r="C114" s="137" t="s">
        <v>2087</v>
      </c>
      <c r="D114" s="137" t="s">
        <v>2046</v>
      </c>
      <c r="E114" s="137">
        <v>1000953509</v>
      </c>
      <c r="F114" s="137" t="s">
        <v>2145</v>
      </c>
      <c r="G114" s="137" t="s">
        <v>2148</v>
      </c>
      <c r="H114" s="137" t="s">
        <v>2148</v>
      </c>
      <c r="I114" s="137" t="s">
        <v>2102</v>
      </c>
      <c r="J114" s="137" t="s">
        <v>2045</v>
      </c>
      <c r="K114" s="137" t="s">
        <v>2048</v>
      </c>
      <c r="L114" s="139">
        <f t="shared" si="11"/>
        <v>557755680549</v>
      </c>
      <c r="M114" s="140">
        <f t="shared" si="16"/>
        <v>15212</v>
      </c>
      <c r="N114" s="141">
        <f t="shared" si="13"/>
        <v>0</v>
      </c>
      <c r="O114" s="141">
        <f t="shared" si="14"/>
        <v>4.7588509703520916E-2</v>
      </c>
      <c r="P114" s="141">
        <f t="shared" si="15"/>
        <v>0.95241149029647909</v>
      </c>
      <c r="Q114" s="140">
        <v>0</v>
      </c>
      <c r="R114" s="139">
        <v>0</v>
      </c>
      <c r="S114" s="140">
        <v>809</v>
      </c>
      <c r="T114" s="139">
        <v>26542761616</v>
      </c>
      <c r="U114" s="140">
        <v>14403</v>
      </c>
      <c r="V114" s="139">
        <v>531212918933</v>
      </c>
      <c r="W114" s="142"/>
    </row>
    <row r="115" spans="1:23" x14ac:dyDescent="0.3">
      <c r="A115" s="143"/>
      <c r="B115" s="137">
        <v>23</v>
      </c>
      <c r="C115" s="137" t="s">
        <v>2072</v>
      </c>
      <c r="D115" s="137" t="s">
        <v>2046</v>
      </c>
      <c r="E115" s="137">
        <v>1000326195</v>
      </c>
      <c r="F115" s="137" t="s">
        <v>2149</v>
      </c>
      <c r="G115" s="137" t="s">
        <v>2150</v>
      </c>
      <c r="H115" s="137" t="s">
        <v>2151</v>
      </c>
      <c r="I115" s="137" t="s">
        <v>2097</v>
      </c>
      <c r="J115" s="137" t="s">
        <v>2047</v>
      </c>
      <c r="K115" s="137" t="s">
        <v>2048</v>
      </c>
      <c r="L115" s="139">
        <f t="shared" si="11"/>
        <v>51977321071314</v>
      </c>
      <c r="M115" s="140">
        <f t="shared" si="16"/>
        <v>175336242</v>
      </c>
      <c r="N115" s="141">
        <f t="shared" si="13"/>
        <v>9.2986417719158072E-3</v>
      </c>
      <c r="O115" s="141">
        <f t="shared" si="14"/>
        <v>0</v>
      </c>
      <c r="P115" s="141">
        <f t="shared" si="15"/>
        <v>0.99070135822808414</v>
      </c>
      <c r="Q115" s="140">
        <v>60</v>
      </c>
      <c r="R115" s="139">
        <v>483318488906</v>
      </c>
      <c r="S115" s="140">
        <v>0</v>
      </c>
      <c r="T115" s="139">
        <v>0</v>
      </c>
      <c r="U115" s="140">
        <v>175336182</v>
      </c>
      <c r="V115" s="139">
        <v>51494002582408</v>
      </c>
      <c r="W115" s="142"/>
    </row>
    <row r="116" spans="1:23" x14ac:dyDescent="0.3">
      <c r="A116" s="143"/>
      <c r="B116" s="137">
        <v>23</v>
      </c>
      <c r="C116" s="137" t="s">
        <v>2072</v>
      </c>
      <c r="D116" s="137" t="s">
        <v>2046</v>
      </c>
      <c r="E116" s="137">
        <v>1000326195</v>
      </c>
      <c r="F116" s="137" t="s">
        <v>2149</v>
      </c>
      <c r="G116" s="137" t="s">
        <v>2150</v>
      </c>
      <c r="H116" s="137" t="s">
        <v>2151</v>
      </c>
      <c r="I116" s="137" t="s">
        <v>2097</v>
      </c>
      <c r="J116" s="137" t="s">
        <v>2050</v>
      </c>
      <c r="K116" s="137" t="s">
        <v>2046</v>
      </c>
      <c r="L116" s="139">
        <f t="shared" si="11"/>
        <v>504306434441</v>
      </c>
      <c r="M116" s="140">
        <f t="shared" si="16"/>
        <v>7004130</v>
      </c>
      <c r="N116" s="141">
        <f t="shared" si="13"/>
        <v>8.277542473807907E-2</v>
      </c>
      <c r="O116" s="141">
        <f t="shared" si="14"/>
        <v>0.55633032163071372</v>
      </c>
      <c r="P116" s="141">
        <f t="shared" si="15"/>
        <v>0.36089425363120714</v>
      </c>
      <c r="Q116" s="140">
        <v>1485</v>
      </c>
      <c r="R116" s="139">
        <v>41744179309</v>
      </c>
      <c r="S116" s="140">
        <v>108569</v>
      </c>
      <c r="T116" s="139">
        <v>280560960873</v>
      </c>
      <c r="U116" s="140">
        <v>6894076</v>
      </c>
      <c r="V116" s="139">
        <v>182001294259</v>
      </c>
      <c r="W116" s="142"/>
    </row>
    <row r="117" spans="1:23" x14ac:dyDescent="0.3">
      <c r="A117" s="143"/>
      <c r="B117" s="137">
        <v>23</v>
      </c>
      <c r="C117" s="137" t="s">
        <v>2072</v>
      </c>
      <c r="D117" s="137" t="s">
        <v>2046</v>
      </c>
      <c r="E117" s="137">
        <v>1000326195</v>
      </c>
      <c r="F117" s="137" t="s">
        <v>2149</v>
      </c>
      <c r="G117" s="137" t="s">
        <v>2150</v>
      </c>
      <c r="H117" s="137" t="s">
        <v>2151</v>
      </c>
      <c r="I117" s="137" t="s">
        <v>2097</v>
      </c>
      <c r="J117" s="137" t="s">
        <v>2045</v>
      </c>
      <c r="K117" s="137" t="s">
        <v>2046</v>
      </c>
      <c r="L117" s="139">
        <f t="shared" si="11"/>
        <v>2502926126599</v>
      </c>
      <c r="M117" s="140">
        <f t="shared" si="16"/>
        <v>32765758</v>
      </c>
      <c r="N117" s="141">
        <f t="shared" si="13"/>
        <v>4.1633696013871653E-4</v>
      </c>
      <c r="O117" s="141">
        <f t="shared" si="14"/>
        <v>5.6073329677814102E-2</v>
      </c>
      <c r="P117" s="141">
        <f t="shared" si="15"/>
        <v>0.94351033336204715</v>
      </c>
      <c r="Q117" s="140">
        <v>113</v>
      </c>
      <c r="R117" s="139">
        <v>1042060655</v>
      </c>
      <c r="S117" s="140">
        <v>24417</v>
      </c>
      <c r="T117" s="139">
        <v>140347401856</v>
      </c>
      <c r="U117" s="140">
        <v>32741228</v>
      </c>
      <c r="V117" s="139">
        <v>2361536664088</v>
      </c>
      <c r="W117" s="142"/>
    </row>
    <row r="118" spans="1:23" x14ac:dyDescent="0.3">
      <c r="A118" s="143"/>
      <c r="B118" s="137">
        <v>23</v>
      </c>
      <c r="C118" s="137" t="s">
        <v>2087</v>
      </c>
      <c r="D118" s="137" t="s">
        <v>2046</v>
      </c>
      <c r="E118" s="137">
        <v>1000326195</v>
      </c>
      <c r="F118" s="137" t="s">
        <v>2149</v>
      </c>
      <c r="G118" s="137" t="s">
        <v>2152</v>
      </c>
      <c r="H118" s="137" t="s">
        <v>2152</v>
      </c>
      <c r="I118" s="137" t="s">
        <v>2102</v>
      </c>
      <c r="J118" s="137" t="s">
        <v>2047</v>
      </c>
      <c r="K118" s="137" t="s">
        <v>2048</v>
      </c>
      <c r="L118" s="139">
        <f t="shared" si="11"/>
        <v>66733907729140</v>
      </c>
      <c r="M118" s="140">
        <f t="shared" si="16"/>
        <v>188466301</v>
      </c>
      <c r="N118" s="141">
        <f t="shared" si="13"/>
        <v>0</v>
      </c>
      <c r="O118" s="141">
        <f t="shared" si="14"/>
        <v>0</v>
      </c>
      <c r="P118" s="141">
        <f t="shared" si="15"/>
        <v>1</v>
      </c>
      <c r="Q118" s="140">
        <v>0</v>
      </c>
      <c r="R118" s="140">
        <v>0</v>
      </c>
      <c r="S118" s="140">
        <v>0</v>
      </c>
      <c r="T118" s="140">
        <v>0</v>
      </c>
      <c r="U118" s="140">
        <v>188466301</v>
      </c>
      <c r="V118" s="140">
        <v>66733907729140</v>
      </c>
      <c r="W118" s="142"/>
    </row>
    <row r="119" spans="1:23" x14ac:dyDescent="0.3">
      <c r="A119" s="143"/>
      <c r="B119" s="137">
        <v>23</v>
      </c>
      <c r="C119" s="137" t="s">
        <v>2087</v>
      </c>
      <c r="D119" s="137" t="s">
        <v>2046</v>
      </c>
      <c r="E119" s="137">
        <v>1000326195</v>
      </c>
      <c r="F119" s="137" t="s">
        <v>2149</v>
      </c>
      <c r="G119" s="137" t="s">
        <v>2152</v>
      </c>
      <c r="H119" s="137" t="s">
        <v>2152</v>
      </c>
      <c r="I119" s="137" t="s">
        <v>2102</v>
      </c>
      <c r="J119" s="137" t="s">
        <v>2050</v>
      </c>
      <c r="K119" s="137" t="s">
        <v>2046</v>
      </c>
      <c r="L119" s="139">
        <f t="shared" si="11"/>
        <v>544688524737</v>
      </c>
      <c r="M119" s="140">
        <f t="shared" si="16"/>
        <v>7712762</v>
      </c>
      <c r="N119" s="141">
        <f t="shared" si="13"/>
        <v>0</v>
      </c>
      <c r="O119" s="141">
        <f t="shared" si="14"/>
        <v>0</v>
      </c>
      <c r="P119" s="141">
        <f t="shared" si="15"/>
        <v>1</v>
      </c>
      <c r="Q119" s="140">
        <v>0</v>
      </c>
      <c r="R119" s="140">
        <v>0</v>
      </c>
      <c r="S119" s="140">
        <v>0</v>
      </c>
      <c r="T119" s="140">
        <v>0</v>
      </c>
      <c r="U119" s="140">
        <v>7712762</v>
      </c>
      <c r="V119" s="140">
        <v>544688524737</v>
      </c>
      <c r="W119" s="142"/>
    </row>
    <row r="120" spans="1:23" x14ac:dyDescent="0.3">
      <c r="A120" s="143"/>
      <c r="B120" s="137">
        <v>23</v>
      </c>
      <c r="C120" s="137" t="s">
        <v>2087</v>
      </c>
      <c r="D120" s="137" t="s">
        <v>2046</v>
      </c>
      <c r="E120" s="137">
        <v>1000326195</v>
      </c>
      <c r="F120" s="137" t="s">
        <v>2149</v>
      </c>
      <c r="G120" s="137" t="s">
        <v>2152</v>
      </c>
      <c r="H120" s="137" t="s">
        <v>2152</v>
      </c>
      <c r="I120" s="137" t="s">
        <v>2102</v>
      </c>
      <c r="J120" s="137" t="s">
        <v>2045</v>
      </c>
      <c r="K120" s="137" t="s">
        <v>2046</v>
      </c>
      <c r="L120" s="139">
        <f t="shared" si="11"/>
        <v>2725718108607</v>
      </c>
      <c r="M120" s="140">
        <f t="shared" si="16"/>
        <v>35440092</v>
      </c>
      <c r="N120" s="141">
        <f t="shared" si="13"/>
        <v>0</v>
      </c>
      <c r="O120" s="141">
        <f t="shared" si="14"/>
        <v>0</v>
      </c>
      <c r="P120" s="141">
        <f t="shared" si="15"/>
        <v>1</v>
      </c>
      <c r="Q120" s="140">
        <v>0</v>
      </c>
      <c r="R120" s="140">
        <v>0</v>
      </c>
      <c r="S120" s="140">
        <v>0</v>
      </c>
      <c r="T120" s="140">
        <v>0</v>
      </c>
      <c r="U120" s="140">
        <v>35440092</v>
      </c>
      <c r="V120" s="140">
        <v>2725718108607</v>
      </c>
      <c r="W120" s="142"/>
    </row>
    <row r="121" spans="1:23" x14ac:dyDescent="0.3">
      <c r="A121" s="143"/>
      <c r="B121" s="137">
        <v>24</v>
      </c>
      <c r="C121" s="137" t="s">
        <v>2072</v>
      </c>
      <c r="D121" s="137" t="s">
        <v>2048</v>
      </c>
      <c r="E121" s="137">
        <v>1000326228</v>
      </c>
      <c r="F121" s="137" t="s">
        <v>2153</v>
      </c>
      <c r="G121" s="137" t="s">
        <v>2154</v>
      </c>
      <c r="H121" s="137" t="s">
        <v>2154</v>
      </c>
      <c r="I121" s="137" t="s">
        <v>2097</v>
      </c>
      <c r="J121" s="137" t="s">
        <v>2047</v>
      </c>
      <c r="K121" s="137" t="s">
        <v>2048</v>
      </c>
      <c r="L121" s="139">
        <f t="shared" si="11"/>
        <v>16555355805682</v>
      </c>
      <c r="M121" s="140">
        <v>4507232</v>
      </c>
      <c r="N121" s="141">
        <f t="shared" si="13"/>
        <v>2.6248730754602975E-3</v>
      </c>
      <c r="O121" s="141">
        <f t="shared" si="14"/>
        <v>0</v>
      </c>
      <c r="P121" s="141">
        <f t="shared" si="15"/>
        <v>0.99737512692453967</v>
      </c>
      <c r="Q121" s="140">
        <v>7</v>
      </c>
      <c r="R121" s="139">
        <v>43455707709</v>
      </c>
      <c r="S121" s="140">
        <v>0</v>
      </c>
      <c r="T121" s="139">
        <v>0</v>
      </c>
      <c r="U121" s="140">
        <v>4507225</v>
      </c>
      <c r="V121" s="139">
        <v>16511900097973</v>
      </c>
      <c r="W121" s="142"/>
    </row>
    <row r="122" spans="1:23" x14ac:dyDescent="0.3">
      <c r="A122" s="143"/>
      <c r="B122" s="137">
        <v>24</v>
      </c>
      <c r="C122" s="137" t="s">
        <v>2072</v>
      </c>
      <c r="D122" s="137" t="s">
        <v>2048</v>
      </c>
      <c r="E122" s="137">
        <v>1000326228</v>
      </c>
      <c r="F122" s="137" t="s">
        <v>2153</v>
      </c>
      <c r="G122" s="137" t="s">
        <v>2154</v>
      </c>
      <c r="H122" s="137" t="s">
        <v>2154</v>
      </c>
      <c r="I122" s="137" t="s">
        <v>2097</v>
      </c>
      <c r="J122" s="137" t="s">
        <v>2050</v>
      </c>
      <c r="K122" s="137" t="s">
        <v>2046</v>
      </c>
      <c r="L122" s="139">
        <f t="shared" si="11"/>
        <v>140173562668</v>
      </c>
      <c r="M122" s="140">
        <v>391336</v>
      </c>
      <c r="N122" s="141">
        <f t="shared" si="13"/>
        <v>7.4059556041874836E-3</v>
      </c>
      <c r="O122" s="141">
        <f t="shared" si="14"/>
        <v>0.36546091899892014</v>
      </c>
      <c r="P122" s="141">
        <f t="shared" si="15"/>
        <v>0.62713312539689237</v>
      </c>
      <c r="Q122" s="140">
        <v>122</v>
      </c>
      <c r="R122" s="139">
        <v>1038119182</v>
      </c>
      <c r="S122" s="140">
        <v>14610</v>
      </c>
      <c r="T122" s="139">
        <v>51227959032</v>
      </c>
      <c r="U122" s="140">
        <v>376604</v>
      </c>
      <c r="V122" s="139">
        <v>87907484454</v>
      </c>
      <c r="W122" s="142"/>
    </row>
    <row r="123" spans="1:23" x14ac:dyDescent="0.3">
      <c r="A123" s="143"/>
      <c r="B123" s="137">
        <v>24</v>
      </c>
      <c r="C123" s="137" t="s">
        <v>2072</v>
      </c>
      <c r="D123" s="137" t="s">
        <v>2048</v>
      </c>
      <c r="E123" s="137">
        <v>1000326228</v>
      </c>
      <c r="F123" s="137" t="s">
        <v>2153</v>
      </c>
      <c r="G123" s="137" t="s">
        <v>2154</v>
      </c>
      <c r="H123" s="137" t="s">
        <v>2154</v>
      </c>
      <c r="I123" s="137" t="s">
        <v>2097</v>
      </c>
      <c r="J123" s="137" t="s">
        <v>2045</v>
      </c>
      <c r="K123" s="137" t="s">
        <v>2046</v>
      </c>
      <c r="L123" s="139">
        <f t="shared" si="11"/>
        <v>555025663729</v>
      </c>
      <c r="M123" s="140">
        <v>261828</v>
      </c>
      <c r="N123" s="141">
        <f t="shared" si="13"/>
        <v>1.5650201413463297E-2</v>
      </c>
      <c r="O123" s="141">
        <f t="shared" si="14"/>
        <v>9.3958849449640669E-2</v>
      </c>
      <c r="P123" s="141">
        <f t="shared" si="15"/>
        <v>0.89039094913689598</v>
      </c>
      <c r="Q123" s="140">
        <v>55</v>
      </c>
      <c r="R123" s="139">
        <v>8686263427</v>
      </c>
      <c r="S123" s="140">
        <v>1494</v>
      </c>
      <c r="T123" s="139">
        <v>52149572779</v>
      </c>
      <c r="U123" s="140">
        <v>260279</v>
      </c>
      <c r="V123" s="139">
        <v>494189827523</v>
      </c>
      <c r="W123" s="142"/>
    </row>
    <row r="124" spans="1:23" x14ac:dyDescent="0.3">
      <c r="A124" s="143"/>
      <c r="B124" s="137">
        <v>25</v>
      </c>
      <c r="C124" s="137" t="s">
        <v>2072</v>
      </c>
      <c r="D124" s="137" t="s">
        <v>2046</v>
      </c>
      <c r="E124" s="137">
        <v>1000325863</v>
      </c>
      <c r="F124" s="137" t="s">
        <v>2155</v>
      </c>
      <c r="G124" s="137" t="s">
        <v>2156</v>
      </c>
      <c r="H124" s="137" t="s">
        <v>2157</v>
      </c>
      <c r="I124" s="137" t="s">
        <v>2097</v>
      </c>
      <c r="J124" s="137" t="s">
        <v>2047</v>
      </c>
      <c r="K124" s="137" t="s">
        <v>2048</v>
      </c>
      <c r="L124" s="139">
        <f t="shared" si="11"/>
        <v>187087770480712</v>
      </c>
      <c r="M124" s="140">
        <f t="shared" ref="M124:M155" si="17">Q124+S124+U124</f>
        <v>2169364</v>
      </c>
      <c r="N124" s="141">
        <f t="shared" si="13"/>
        <v>1.2860048950463304E-2</v>
      </c>
      <c r="O124" s="141">
        <f t="shared" si="14"/>
        <v>5.3098704103564952E-2</v>
      </c>
      <c r="P124" s="141">
        <f t="shared" si="15"/>
        <v>0.93404124694597179</v>
      </c>
      <c r="Q124" s="140">
        <v>21</v>
      </c>
      <c r="R124" s="139">
        <v>2405957886415</v>
      </c>
      <c r="S124" s="140">
        <v>32592</v>
      </c>
      <c r="T124" s="139">
        <v>9934118166151</v>
      </c>
      <c r="U124" s="140">
        <v>2136751</v>
      </c>
      <c r="V124" s="139">
        <v>174747694428146</v>
      </c>
      <c r="W124" s="142"/>
    </row>
    <row r="125" spans="1:23" x14ac:dyDescent="0.3">
      <c r="A125" s="143"/>
      <c r="B125" s="137">
        <v>25</v>
      </c>
      <c r="C125" s="137" t="s">
        <v>2072</v>
      </c>
      <c r="D125" s="137" t="s">
        <v>2046</v>
      </c>
      <c r="E125" s="137">
        <v>1000325863</v>
      </c>
      <c r="F125" s="137" t="s">
        <v>2155</v>
      </c>
      <c r="G125" s="137" t="s">
        <v>2156</v>
      </c>
      <c r="H125" s="137" t="s">
        <v>2157</v>
      </c>
      <c r="I125" s="137" t="s">
        <v>2097</v>
      </c>
      <c r="J125" s="137" t="s">
        <v>2050</v>
      </c>
      <c r="K125" s="137" t="s">
        <v>2046</v>
      </c>
      <c r="L125" s="139">
        <f t="shared" si="11"/>
        <v>71285202585</v>
      </c>
      <c r="M125" s="140">
        <f t="shared" si="17"/>
        <v>49312</v>
      </c>
      <c r="N125" s="141">
        <f t="shared" si="13"/>
        <v>6.3490996235905553E-2</v>
      </c>
      <c r="O125" s="141">
        <f t="shared" si="14"/>
        <v>0.11059397127474685</v>
      </c>
      <c r="P125" s="141">
        <f t="shared" si="15"/>
        <v>0.82591503248934761</v>
      </c>
      <c r="Q125" s="140">
        <v>11</v>
      </c>
      <c r="R125" s="139">
        <v>4525968529</v>
      </c>
      <c r="S125" s="140">
        <v>665</v>
      </c>
      <c r="T125" s="139">
        <v>7883713647</v>
      </c>
      <c r="U125" s="140">
        <v>48636</v>
      </c>
      <c r="V125" s="139">
        <v>58875520409</v>
      </c>
      <c r="W125" s="142"/>
    </row>
    <row r="126" spans="1:23" x14ac:dyDescent="0.3">
      <c r="A126" s="143"/>
      <c r="B126" s="137">
        <v>25</v>
      </c>
      <c r="C126" s="137" t="s">
        <v>2072</v>
      </c>
      <c r="D126" s="137" t="s">
        <v>2046</v>
      </c>
      <c r="E126" s="137">
        <v>1000325863</v>
      </c>
      <c r="F126" s="137" t="s">
        <v>2155</v>
      </c>
      <c r="G126" s="137" t="s">
        <v>2156</v>
      </c>
      <c r="H126" s="137" t="s">
        <v>2157</v>
      </c>
      <c r="I126" s="137" t="s">
        <v>2097</v>
      </c>
      <c r="J126" s="137" t="s">
        <v>2045</v>
      </c>
      <c r="K126" s="137" t="s">
        <v>2046</v>
      </c>
      <c r="L126" s="139">
        <f t="shared" si="11"/>
        <v>8135790031341</v>
      </c>
      <c r="M126" s="140">
        <f t="shared" si="17"/>
        <v>325173</v>
      </c>
      <c r="N126" s="141">
        <f t="shared" si="13"/>
        <v>1.4251764576560537E-2</v>
      </c>
      <c r="O126" s="141">
        <f t="shared" si="14"/>
        <v>3.700945947720953E-2</v>
      </c>
      <c r="P126" s="141">
        <f t="shared" si="15"/>
        <v>0.94873877594622991</v>
      </c>
      <c r="Q126" s="140">
        <v>6</v>
      </c>
      <c r="R126" s="139">
        <v>115949364171</v>
      </c>
      <c r="S126" s="140">
        <v>188</v>
      </c>
      <c r="T126" s="139">
        <v>301101191480</v>
      </c>
      <c r="U126" s="140">
        <v>324979</v>
      </c>
      <c r="V126" s="139">
        <v>7718739475690</v>
      </c>
      <c r="W126" s="142"/>
    </row>
    <row r="127" spans="1:23" x14ac:dyDescent="0.3">
      <c r="A127" s="143"/>
      <c r="B127" s="137">
        <v>25</v>
      </c>
      <c r="C127" s="137" t="s">
        <v>2087</v>
      </c>
      <c r="D127" s="137" t="s">
        <v>2046</v>
      </c>
      <c r="E127" s="137">
        <v>1000325863</v>
      </c>
      <c r="F127" s="137" t="s">
        <v>2155</v>
      </c>
      <c r="G127" s="137" t="s">
        <v>2158</v>
      </c>
      <c r="H127" s="137" t="s">
        <v>2158</v>
      </c>
      <c r="I127" s="137" t="s">
        <v>2159</v>
      </c>
      <c r="J127" s="137" t="s">
        <v>2047</v>
      </c>
      <c r="K127" s="137" t="s">
        <v>2048</v>
      </c>
      <c r="L127" s="139">
        <f t="shared" si="11"/>
        <v>247555887874834</v>
      </c>
      <c r="M127" s="140">
        <f t="shared" si="17"/>
        <v>2123073</v>
      </c>
      <c r="N127" s="141">
        <f t="shared" si="13"/>
        <v>6.1303875049149147E-3</v>
      </c>
      <c r="O127" s="141">
        <f t="shared" si="14"/>
        <v>0</v>
      </c>
      <c r="P127" s="141">
        <f t="shared" si="15"/>
        <v>0.9938696124950851</v>
      </c>
      <c r="Q127" s="140">
        <v>51</v>
      </c>
      <c r="R127" s="139">
        <v>1517613521796</v>
      </c>
      <c r="S127" s="140">
        <v>0</v>
      </c>
      <c r="T127" s="139">
        <v>0</v>
      </c>
      <c r="U127" s="140">
        <v>2123022</v>
      </c>
      <c r="V127" s="139">
        <v>246038274353038</v>
      </c>
      <c r="W127" s="142"/>
    </row>
    <row r="128" spans="1:23" x14ac:dyDescent="0.3">
      <c r="A128" s="143"/>
      <c r="B128" s="137">
        <v>25</v>
      </c>
      <c r="C128" s="137" t="s">
        <v>2087</v>
      </c>
      <c r="D128" s="137" t="s">
        <v>2046</v>
      </c>
      <c r="E128" s="137">
        <v>1000325863</v>
      </c>
      <c r="F128" s="137" t="s">
        <v>2155</v>
      </c>
      <c r="G128" s="137" t="s">
        <v>2158</v>
      </c>
      <c r="H128" s="137" t="s">
        <v>2158</v>
      </c>
      <c r="I128" s="137" t="s">
        <v>2159</v>
      </c>
      <c r="J128" s="137" t="s">
        <v>2050</v>
      </c>
      <c r="K128" s="137" t="s">
        <v>2046</v>
      </c>
      <c r="L128" s="139">
        <f t="shared" si="11"/>
        <v>86632065929</v>
      </c>
      <c r="M128" s="140">
        <f t="shared" si="17"/>
        <v>50312</v>
      </c>
      <c r="N128" s="141">
        <f t="shared" si="13"/>
        <v>5.3921318358359518E-2</v>
      </c>
      <c r="O128" s="141">
        <f t="shared" si="14"/>
        <v>0.23043860319989529</v>
      </c>
      <c r="P128" s="141">
        <f t="shared" si="15"/>
        <v>0.71564007844174515</v>
      </c>
      <c r="Q128" s="140">
        <v>28</v>
      </c>
      <c r="R128" s="139">
        <v>4671315207</v>
      </c>
      <c r="S128" s="140">
        <v>2833</v>
      </c>
      <c r="T128" s="139">
        <v>19963372265</v>
      </c>
      <c r="U128" s="140">
        <v>47451</v>
      </c>
      <c r="V128" s="139">
        <v>61997378457</v>
      </c>
      <c r="W128" s="142"/>
    </row>
    <row r="129" spans="1:23" x14ac:dyDescent="0.3">
      <c r="A129" s="143"/>
      <c r="B129" s="137">
        <v>25</v>
      </c>
      <c r="C129" s="137" t="s">
        <v>2087</v>
      </c>
      <c r="D129" s="137" t="s">
        <v>2046</v>
      </c>
      <c r="E129" s="137">
        <v>1000325863</v>
      </c>
      <c r="F129" s="137" t="s">
        <v>2155</v>
      </c>
      <c r="G129" s="137" t="s">
        <v>2158</v>
      </c>
      <c r="H129" s="137" t="s">
        <v>2158</v>
      </c>
      <c r="I129" s="137" t="s">
        <v>2159</v>
      </c>
      <c r="J129" s="137" t="s">
        <v>2045</v>
      </c>
      <c r="K129" s="137" t="s">
        <v>2046</v>
      </c>
      <c r="L129" s="139">
        <f t="shared" si="11"/>
        <v>8821529340702</v>
      </c>
      <c r="M129" s="140">
        <f t="shared" si="17"/>
        <v>294724</v>
      </c>
      <c r="N129" s="141">
        <f t="shared" si="13"/>
        <v>4.985311625115596E-2</v>
      </c>
      <c r="O129" s="141">
        <f t="shared" si="14"/>
        <v>7.0848366363565757E-2</v>
      </c>
      <c r="P129" s="141">
        <f t="shared" si="15"/>
        <v>0.87929851738527831</v>
      </c>
      <c r="Q129" s="140">
        <v>8</v>
      </c>
      <c r="R129" s="139">
        <v>439780727735</v>
      </c>
      <c r="S129" s="140">
        <v>894</v>
      </c>
      <c r="T129" s="139">
        <v>624990942617</v>
      </c>
      <c r="U129" s="140">
        <v>293822</v>
      </c>
      <c r="V129" s="139">
        <v>7756757670350</v>
      </c>
      <c r="W129" s="142"/>
    </row>
    <row r="130" spans="1:23" x14ac:dyDescent="0.3">
      <c r="A130" s="143"/>
      <c r="B130" s="137">
        <v>27</v>
      </c>
      <c r="C130" s="137" t="s">
        <v>2072</v>
      </c>
      <c r="D130" s="137" t="s">
        <v>2048</v>
      </c>
      <c r="E130" s="137">
        <v>1000317490</v>
      </c>
      <c r="F130" s="137" t="s">
        <v>2160</v>
      </c>
      <c r="G130" s="137" t="s">
        <v>2161</v>
      </c>
      <c r="H130" s="137" t="s">
        <v>2161</v>
      </c>
      <c r="I130" s="137" t="s">
        <v>2097</v>
      </c>
      <c r="J130" s="137" t="s">
        <v>2047</v>
      </c>
      <c r="K130" s="137" t="s">
        <v>2048</v>
      </c>
      <c r="L130" s="139">
        <f t="shared" si="11"/>
        <v>22052776359688</v>
      </c>
      <c r="M130" s="140">
        <f t="shared" si="17"/>
        <v>255304</v>
      </c>
      <c r="N130" s="141">
        <f t="shared" si="13"/>
        <v>1.1634684187883815E-2</v>
      </c>
      <c r="O130" s="141">
        <f t="shared" si="14"/>
        <v>0</v>
      </c>
      <c r="P130" s="141">
        <f t="shared" si="15"/>
        <v>0.98836531581211617</v>
      </c>
      <c r="Q130" s="140">
        <v>9</v>
      </c>
      <c r="R130" s="139">
        <v>256577088411</v>
      </c>
      <c r="S130" s="140">
        <v>0</v>
      </c>
      <c r="T130" s="139">
        <v>0</v>
      </c>
      <c r="U130" s="140">
        <v>255295</v>
      </c>
      <c r="V130" s="139">
        <v>21796199271277</v>
      </c>
      <c r="W130" s="142"/>
    </row>
    <row r="131" spans="1:23" x14ac:dyDescent="0.3">
      <c r="A131" s="143"/>
      <c r="B131" s="137">
        <v>27</v>
      </c>
      <c r="C131" s="137" t="s">
        <v>2072</v>
      </c>
      <c r="D131" s="137" t="s">
        <v>2048</v>
      </c>
      <c r="E131" s="137">
        <v>1000317490</v>
      </c>
      <c r="F131" s="137" t="s">
        <v>2160</v>
      </c>
      <c r="G131" s="137" t="s">
        <v>2161</v>
      </c>
      <c r="H131" s="137" t="s">
        <v>2161</v>
      </c>
      <c r="I131" s="137" t="s">
        <v>2097</v>
      </c>
      <c r="J131" s="137" t="s">
        <v>2050</v>
      </c>
      <c r="K131" s="137" t="s">
        <v>2046</v>
      </c>
      <c r="L131" s="139">
        <f t="shared" si="11"/>
        <v>101100497190</v>
      </c>
      <c r="M131" s="140">
        <f t="shared" si="17"/>
        <v>57117</v>
      </c>
      <c r="N131" s="141">
        <f t="shared" si="13"/>
        <v>7.649246622859264E-2</v>
      </c>
      <c r="O131" s="141">
        <f t="shared" si="14"/>
        <v>0.27718540438366762</v>
      </c>
      <c r="P131" s="141">
        <f t="shared" si="15"/>
        <v>0.64632212938773981</v>
      </c>
      <c r="Q131" s="140">
        <v>20</v>
      </c>
      <c r="R131" s="139">
        <v>7733426367</v>
      </c>
      <c r="S131" s="140">
        <v>1649</v>
      </c>
      <c r="T131" s="139">
        <v>28023582197</v>
      </c>
      <c r="U131" s="140">
        <v>55448</v>
      </c>
      <c r="V131" s="139">
        <v>65343488626</v>
      </c>
      <c r="W131" s="142"/>
    </row>
    <row r="132" spans="1:23" x14ac:dyDescent="0.3">
      <c r="A132" s="143"/>
      <c r="B132" s="137">
        <v>27</v>
      </c>
      <c r="C132" s="137" t="s">
        <v>2072</v>
      </c>
      <c r="D132" s="137" t="s">
        <v>2048</v>
      </c>
      <c r="E132" s="137">
        <v>1000317490</v>
      </c>
      <c r="F132" s="137" t="s">
        <v>2160</v>
      </c>
      <c r="G132" s="137" t="s">
        <v>2161</v>
      </c>
      <c r="H132" s="137" t="s">
        <v>2161</v>
      </c>
      <c r="I132" s="137" t="s">
        <v>2097</v>
      </c>
      <c r="J132" s="137" t="s">
        <v>2045</v>
      </c>
      <c r="K132" s="137" t="s">
        <v>2046</v>
      </c>
      <c r="L132" s="139">
        <f t="shared" si="11"/>
        <v>1072629069808</v>
      </c>
      <c r="M132" s="140">
        <f t="shared" si="17"/>
        <v>5005</v>
      </c>
      <c r="N132" s="141">
        <f t="shared" si="13"/>
        <v>1.0006875724449013E-3</v>
      </c>
      <c r="O132" s="141">
        <f t="shared" si="14"/>
        <v>0.25553947522983278</v>
      </c>
      <c r="P132" s="141">
        <f t="shared" si="15"/>
        <v>0.74345983719772235</v>
      </c>
      <c r="Q132" s="140">
        <v>1</v>
      </c>
      <c r="R132" s="139">
        <v>1073366580</v>
      </c>
      <c r="S132" s="140">
        <v>126</v>
      </c>
      <c r="T132" s="139">
        <v>274099069615</v>
      </c>
      <c r="U132" s="140">
        <v>4878</v>
      </c>
      <c r="V132" s="139">
        <v>797456633613</v>
      </c>
      <c r="W132" s="142"/>
    </row>
    <row r="133" spans="1:23" x14ac:dyDescent="0.3">
      <c r="A133" s="143"/>
      <c r="B133" s="137">
        <v>28</v>
      </c>
      <c r="C133" s="137" t="s">
        <v>2072</v>
      </c>
      <c r="D133" s="137" t="s">
        <v>2048</v>
      </c>
      <c r="E133" s="137">
        <v>1000501994</v>
      </c>
      <c r="F133" s="137" t="s">
        <v>2162</v>
      </c>
      <c r="G133" s="137" t="s">
        <v>2163</v>
      </c>
      <c r="H133" s="137" t="s">
        <v>2163</v>
      </c>
      <c r="I133" s="137" t="s">
        <v>2097</v>
      </c>
      <c r="J133" s="137" t="s">
        <v>2047</v>
      </c>
      <c r="K133" s="137" t="s">
        <v>2048</v>
      </c>
      <c r="L133" s="139">
        <f t="shared" ref="L133:L196" si="18">R133+T133+V133</f>
        <v>13961503621956</v>
      </c>
      <c r="M133" s="140">
        <f t="shared" si="17"/>
        <v>532775</v>
      </c>
      <c r="N133" s="141">
        <f t="shared" ref="N133:N196" si="19">R133/$L133</f>
        <v>1.8749176862178588E-3</v>
      </c>
      <c r="O133" s="141">
        <f t="shared" ref="O133:O196" si="20">T133/$L133</f>
        <v>0</v>
      </c>
      <c r="P133" s="141">
        <f t="shared" ref="P133:P196" si="21">V133/$L133</f>
        <v>0.99812508231378216</v>
      </c>
      <c r="Q133" s="140">
        <v>4</v>
      </c>
      <c r="R133" s="139">
        <v>26176670067</v>
      </c>
      <c r="S133" s="140">
        <v>0</v>
      </c>
      <c r="T133" s="139">
        <v>0</v>
      </c>
      <c r="U133" s="140">
        <v>532771</v>
      </c>
      <c r="V133" s="139">
        <v>13935326951889</v>
      </c>
      <c r="W133" s="142"/>
    </row>
    <row r="134" spans="1:23" x14ac:dyDescent="0.3">
      <c r="A134" s="143"/>
      <c r="B134" s="137">
        <v>28</v>
      </c>
      <c r="C134" s="137" t="s">
        <v>2072</v>
      </c>
      <c r="D134" s="137" t="s">
        <v>2048</v>
      </c>
      <c r="E134" s="137">
        <v>1000501994</v>
      </c>
      <c r="F134" s="137" t="s">
        <v>2162</v>
      </c>
      <c r="G134" s="137" t="s">
        <v>2163</v>
      </c>
      <c r="H134" s="137" t="s">
        <v>2163</v>
      </c>
      <c r="I134" s="137" t="s">
        <v>2097</v>
      </c>
      <c r="J134" s="137" t="s">
        <v>2050</v>
      </c>
      <c r="K134" s="137" t="s">
        <v>2046</v>
      </c>
      <c r="L134" s="139">
        <f t="shared" si="18"/>
        <v>47961880247</v>
      </c>
      <c r="M134" s="140">
        <f t="shared" si="17"/>
        <v>51579</v>
      </c>
      <c r="N134" s="141">
        <f t="shared" si="19"/>
        <v>2.2827107577136351E-5</v>
      </c>
      <c r="O134" s="141">
        <f t="shared" si="20"/>
        <v>5.7310608609259683E-2</v>
      </c>
      <c r="P134" s="141">
        <f t="shared" si="21"/>
        <v>0.9426665642831632</v>
      </c>
      <c r="Q134" s="140">
        <v>2</v>
      </c>
      <c r="R134" s="139">
        <v>1094831</v>
      </c>
      <c r="S134" s="140">
        <v>1090</v>
      </c>
      <c r="T134" s="139">
        <v>2748724547</v>
      </c>
      <c r="U134" s="140">
        <v>50487</v>
      </c>
      <c r="V134" s="139">
        <v>45212060869</v>
      </c>
      <c r="W134" s="142"/>
    </row>
    <row r="135" spans="1:23" x14ac:dyDescent="0.3">
      <c r="A135" s="143"/>
      <c r="B135" s="137">
        <v>28</v>
      </c>
      <c r="C135" s="137" t="s">
        <v>2072</v>
      </c>
      <c r="D135" s="137" t="s">
        <v>2048</v>
      </c>
      <c r="E135" s="137">
        <v>1000501994</v>
      </c>
      <c r="F135" s="137" t="s">
        <v>2162</v>
      </c>
      <c r="G135" s="137" t="s">
        <v>2163</v>
      </c>
      <c r="H135" s="137" t="s">
        <v>2163</v>
      </c>
      <c r="I135" s="137" t="s">
        <v>2097</v>
      </c>
      <c r="J135" s="137" t="s">
        <v>2045</v>
      </c>
      <c r="K135" s="137" t="s">
        <v>2046</v>
      </c>
      <c r="L135" s="139">
        <f t="shared" si="18"/>
        <v>257252204690</v>
      </c>
      <c r="M135" s="140">
        <f t="shared" si="17"/>
        <v>37322</v>
      </c>
      <c r="N135" s="141">
        <f t="shared" si="19"/>
        <v>0</v>
      </c>
      <c r="O135" s="141">
        <f t="shared" si="20"/>
        <v>3.3801729903456167E-2</v>
      </c>
      <c r="P135" s="141">
        <f t="shared" si="21"/>
        <v>0.9661982700965438</v>
      </c>
      <c r="Q135" s="140">
        <v>0</v>
      </c>
      <c r="R135" s="139">
        <v>0</v>
      </c>
      <c r="S135" s="140">
        <v>121</v>
      </c>
      <c r="T135" s="139">
        <v>8695569540</v>
      </c>
      <c r="U135" s="140">
        <v>37201</v>
      </c>
      <c r="V135" s="139">
        <v>248556635150</v>
      </c>
      <c r="W135" s="142"/>
    </row>
    <row r="136" spans="1:23" x14ac:dyDescent="0.3">
      <c r="A136" s="143"/>
      <c r="B136" s="137">
        <v>29</v>
      </c>
      <c r="C136" s="137" t="s">
        <v>2072</v>
      </c>
      <c r="D136" s="137" t="s">
        <v>2046</v>
      </c>
      <c r="E136" s="137">
        <v>1000315256</v>
      </c>
      <c r="F136" s="137" t="s">
        <v>2164</v>
      </c>
      <c r="G136" s="137" t="s">
        <v>2165</v>
      </c>
      <c r="H136" s="137" t="s">
        <v>2166</v>
      </c>
      <c r="I136" s="137" t="s">
        <v>2097</v>
      </c>
      <c r="J136" s="137" t="s">
        <v>2047</v>
      </c>
      <c r="K136" s="137" t="s">
        <v>2048</v>
      </c>
      <c r="L136" s="139">
        <f t="shared" si="18"/>
        <v>17859106761622</v>
      </c>
      <c r="M136" s="140">
        <f t="shared" si="17"/>
        <v>661580</v>
      </c>
      <c r="N136" s="141">
        <f t="shared" si="19"/>
        <v>2.7181983587790077E-2</v>
      </c>
      <c r="O136" s="141">
        <f t="shared" si="20"/>
        <v>0</v>
      </c>
      <c r="P136" s="141">
        <f t="shared" si="21"/>
        <v>0.97281801641220988</v>
      </c>
      <c r="Q136" s="140">
        <v>30</v>
      </c>
      <c r="R136" s="139">
        <v>485445946887</v>
      </c>
      <c r="S136" s="140">
        <v>0</v>
      </c>
      <c r="T136" s="139">
        <v>0</v>
      </c>
      <c r="U136" s="140">
        <v>661550</v>
      </c>
      <c r="V136" s="139">
        <v>17373660814735</v>
      </c>
      <c r="W136" s="142"/>
    </row>
    <row r="137" spans="1:23" x14ac:dyDescent="0.3">
      <c r="A137" s="143"/>
      <c r="B137" s="137">
        <v>29</v>
      </c>
      <c r="C137" s="137" t="s">
        <v>2072</v>
      </c>
      <c r="D137" s="137" t="s">
        <v>2046</v>
      </c>
      <c r="E137" s="137">
        <v>1000315256</v>
      </c>
      <c r="F137" s="137" t="s">
        <v>2164</v>
      </c>
      <c r="G137" s="137" t="s">
        <v>2165</v>
      </c>
      <c r="H137" s="137" t="s">
        <v>2166</v>
      </c>
      <c r="I137" s="137" t="s">
        <v>2097</v>
      </c>
      <c r="J137" s="137" t="s">
        <v>2050</v>
      </c>
      <c r="K137" s="137" t="s">
        <v>2046</v>
      </c>
      <c r="L137" s="139">
        <f t="shared" si="18"/>
        <v>634951537025</v>
      </c>
      <c r="M137" s="140">
        <f t="shared" si="17"/>
        <v>79933</v>
      </c>
      <c r="N137" s="141">
        <f t="shared" si="19"/>
        <v>0.22550232319126182</v>
      </c>
      <c r="O137" s="141">
        <f t="shared" si="20"/>
        <v>0.31958754913764437</v>
      </c>
      <c r="P137" s="141">
        <f t="shared" si="21"/>
        <v>0.45491012767109379</v>
      </c>
      <c r="Q137" s="140">
        <v>208</v>
      </c>
      <c r="R137" s="139">
        <v>143183046713</v>
      </c>
      <c r="S137" s="140">
        <v>6265</v>
      </c>
      <c r="T137" s="139">
        <v>202922605539</v>
      </c>
      <c r="U137" s="140">
        <v>73460</v>
      </c>
      <c r="V137" s="139">
        <v>288845884773</v>
      </c>
      <c r="W137" s="142"/>
    </row>
    <row r="138" spans="1:23" x14ac:dyDescent="0.3">
      <c r="A138" s="143"/>
      <c r="B138" s="137">
        <v>29</v>
      </c>
      <c r="C138" s="137" t="s">
        <v>2072</v>
      </c>
      <c r="D138" s="137" t="s">
        <v>2046</v>
      </c>
      <c r="E138" s="137">
        <v>1000315256</v>
      </c>
      <c r="F138" s="137" t="s">
        <v>2164</v>
      </c>
      <c r="G138" s="137" t="s">
        <v>2165</v>
      </c>
      <c r="H138" s="137" t="s">
        <v>2166</v>
      </c>
      <c r="I138" s="137" t="s">
        <v>2097</v>
      </c>
      <c r="J138" s="137" t="s">
        <v>2045</v>
      </c>
      <c r="K138" s="137" t="s">
        <v>2046</v>
      </c>
      <c r="L138" s="139">
        <f t="shared" si="18"/>
        <v>864013868631</v>
      </c>
      <c r="M138" s="140">
        <f t="shared" si="17"/>
        <v>24450</v>
      </c>
      <c r="N138" s="141">
        <f t="shared" si="19"/>
        <v>9.9042645404048182E-2</v>
      </c>
      <c r="O138" s="141">
        <f t="shared" si="20"/>
        <v>0.25607223864307049</v>
      </c>
      <c r="P138" s="141">
        <f t="shared" si="21"/>
        <v>0.64488511595288134</v>
      </c>
      <c r="Q138" s="140">
        <v>123</v>
      </c>
      <c r="R138" s="139">
        <v>85574219215</v>
      </c>
      <c r="S138" s="140">
        <v>2989</v>
      </c>
      <c r="T138" s="139">
        <v>221249965559</v>
      </c>
      <c r="U138" s="140">
        <v>21338</v>
      </c>
      <c r="V138" s="139">
        <v>557189683857</v>
      </c>
      <c r="W138" s="142"/>
    </row>
    <row r="139" spans="1:23" x14ac:dyDescent="0.3">
      <c r="A139" s="143"/>
      <c r="B139" s="137">
        <v>29</v>
      </c>
      <c r="C139" s="137" t="s">
        <v>2087</v>
      </c>
      <c r="D139" s="137" t="s">
        <v>2046</v>
      </c>
      <c r="E139" s="137">
        <v>1000315256</v>
      </c>
      <c r="F139" s="137" t="s">
        <v>2164</v>
      </c>
      <c r="G139" s="137" t="s">
        <v>2167</v>
      </c>
      <c r="H139" s="137" t="s">
        <v>2167</v>
      </c>
      <c r="I139" s="137" t="s">
        <v>2102</v>
      </c>
      <c r="J139" s="137" t="s">
        <v>2047</v>
      </c>
      <c r="K139" s="137" t="s">
        <v>2048</v>
      </c>
      <c r="L139" s="139">
        <f t="shared" si="18"/>
        <v>36365151244850</v>
      </c>
      <c r="M139" s="140">
        <f t="shared" si="17"/>
        <v>1367050</v>
      </c>
      <c r="N139" s="141">
        <f t="shared" si="19"/>
        <v>1.1665953424711238E-2</v>
      </c>
      <c r="O139" s="141">
        <f t="shared" si="20"/>
        <v>0</v>
      </c>
      <c r="P139" s="141">
        <f t="shared" si="21"/>
        <v>0.98833404657528878</v>
      </c>
      <c r="Q139" s="140">
        <v>81</v>
      </c>
      <c r="R139" s="139">
        <v>424234160705</v>
      </c>
      <c r="S139" s="140">
        <v>0</v>
      </c>
      <c r="T139" s="139">
        <v>0</v>
      </c>
      <c r="U139" s="140">
        <v>1366969</v>
      </c>
      <c r="V139" s="139">
        <v>35940917084145</v>
      </c>
      <c r="W139" s="142"/>
    </row>
    <row r="140" spans="1:23" x14ac:dyDescent="0.3">
      <c r="A140" s="143"/>
      <c r="B140" s="137">
        <v>29</v>
      </c>
      <c r="C140" s="137" t="s">
        <v>2087</v>
      </c>
      <c r="D140" s="137" t="s">
        <v>2046</v>
      </c>
      <c r="E140" s="137">
        <v>1000315256</v>
      </c>
      <c r="F140" s="137" t="s">
        <v>2164</v>
      </c>
      <c r="G140" s="137" t="s">
        <v>2167</v>
      </c>
      <c r="H140" s="137" t="s">
        <v>2167</v>
      </c>
      <c r="I140" s="137" t="s">
        <v>2102</v>
      </c>
      <c r="J140" s="137" t="s">
        <v>2050</v>
      </c>
      <c r="K140" s="137" t="s">
        <v>2046</v>
      </c>
      <c r="L140" s="139">
        <f t="shared" si="18"/>
        <v>1334163650829</v>
      </c>
      <c r="M140" s="140">
        <f t="shared" si="17"/>
        <v>162320</v>
      </c>
      <c r="N140" s="141">
        <f t="shared" si="19"/>
        <v>0.28115700058978588</v>
      </c>
      <c r="O140" s="141">
        <f t="shared" si="20"/>
        <v>0.28204323640670781</v>
      </c>
      <c r="P140" s="141">
        <f t="shared" si="21"/>
        <v>0.43679976300350637</v>
      </c>
      <c r="Q140" s="140">
        <v>298</v>
      </c>
      <c r="R140" s="139">
        <v>375109450363</v>
      </c>
      <c r="S140" s="140">
        <v>12204</v>
      </c>
      <c r="T140" s="139">
        <v>376291833976</v>
      </c>
      <c r="U140" s="140">
        <v>149818</v>
      </c>
      <c r="V140" s="139">
        <v>582762366490</v>
      </c>
      <c r="W140" s="142"/>
    </row>
    <row r="141" spans="1:23" x14ac:dyDescent="0.3">
      <c r="A141" s="143"/>
      <c r="B141" s="137">
        <v>29</v>
      </c>
      <c r="C141" s="137" t="s">
        <v>2087</v>
      </c>
      <c r="D141" s="137" t="s">
        <v>2046</v>
      </c>
      <c r="E141" s="137">
        <v>1000315256</v>
      </c>
      <c r="F141" s="137" t="s">
        <v>2164</v>
      </c>
      <c r="G141" s="137" t="s">
        <v>2167</v>
      </c>
      <c r="H141" s="137" t="s">
        <v>2167</v>
      </c>
      <c r="I141" s="137" t="s">
        <v>2102</v>
      </c>
      <c r="J141" s="137" t="s">
        <v>2045</v>
      </c>
      <c r="K141" s="137" t="s">
        <v>2046</v>
      </c>
      <c r="L141" s="139">
        <f t="shared" si="18"/>
        <v>1823651395471</v>
      </c>
      <c r="M141" s="140">
        <f t="shared" si="17"/>
        <v>48839</v>
      </c>
      <c r="N141" s="141">
        <f t="shared" si="19"/>
        <v>6.3695584844492378E-2</v>
      </c>
      <c r="O141" s="141">
        <f t="shared" si="20"/>
        <v>0.28970788292273786</v>
      </c>
      <c r="P141" s="141">
        <f t="shared" si="21"/>
        <v>0.64659653223276981</v>
      </c>
      <c r="Q141" s="140">
        <v>230</v>
      </c>
      <c r="R141" s="139">
        <v>116158542187</v>
      </c>
      <c r="S141" s="140">
        <v>6424</v>
      </c>
      <c r="T141" s="139">
        <v>528326184971</v>
      </c>
      <c r="U141" s="140">
        <v>42185</v>
      </c>
      <c r="V141" s="139">
        <v>1179166668313</v>
      </c>
      <c r="W141" s="142"/>
    </row>
    <row r="142" spans="1:23" x14ac:dyDescent="0.3">
      <c r="A142" s="143"/>
      <c r="B142" s="137">
        <v>30</v>
      </c>
      <c r="C142" s="137" t="s">
        <v>2072</v>
      </c>
      <c r="D142" s="137" t="s">
        <v>2046</v>
      </c>
      <c r="E142" s="137">
        <v>1001215348</v>
      </c>
      <c r="F142" s="137" t="s">
        <v>2168</v>
      </c>
      <c r="G142" s="137" t="s">
        <v>2169</v>
      </c>
      <c r="H142" s="137" t="s">
        <v>2169</v>
      </c>
      <c r="I142" s="137" t="s">
        <v>2097</v>
      </c>
      <c r="J142" s="137" t="s">
        <v>2047</v>
      </c>
      <c r="K142" s="137" t="s">
        <v>2048</v>
      </c>
      <c r="L142" s="139">
        <f t="shared" si="18"/>
        <v>42745442968742</v>
      </c>
      <c r="M142" s="140">
        <f t="shared" si="17"/>
        <v>3855709</v>
      </c>
      <c r="N142" s="141">
        <f t="shared" si="19"/>
        <v>9.8233958224753851E-3</v>
      </c>
      <c r="O142" s="141">
        <f t="shared" si="20"/>
        <v>0</v>
      </c>
      <c r="P142" s="141">
        <f t="shared" si="21"/>
        <v>0.99017660417752462</v>
      </c>
      <c r="Q142" s="140">
        <v>68</v>
      </c>
      <c r="R142" s="139">
        <v>419905405889</v>
      </c>
      <c r="S142" s="140">
        <v>0</v>
      </c>
      <c r="T142" s="139">
        <v>0</v>
      </c>
      <c r="U142" s="140">
        <v>3855641</v>
      </c>
      <c r="V142" s="139">
        <v>42325537562853</v>
      </c>
      <c r="W142" s="142"/>
    </row>
    <row r="143" spans="1:23" x14ac:dyDescent="0.3">
      <c r="A143" s="143"/>
      <c r="B143" s="137">
        <v>30</v>
      </c>
      <c r="C143" s="137" t="s">
        <v>2072</v>
      </c>
      <c r="D143" s="137" t="s">
        <v>2046</v>
      </c>
      <c r="E143" s="137">
        <v>1001215348</v>
      </c>
      <c r="F143" s="137" t="s">
        <v>2168</v>
      </c>
      <c r="G143" s="137" t="s">
        <v>2169</v>
      </c>
      <c r="H143" s="137" t="s">
        <v>2169</v>
      </c>
      <c r="I143" s="137" t="s">
        <v>2097</v>
      </c>
      <c r="J143" s="137" t="s">
        <v>2050</v>
      </c>
      <c r="K143" s="137" t="s">
        <v>2046</v>
      </c>
      <c r="L143" s="139">
        <f t="shared" si="18"/>
        <v>198593479074</v>
      </c>
      <c r="M143" s="140">
        <f t="shared" si="17"/>
        <v>287169</v>
      </c>
      <c r="N143" s="141">
        <f t="shared" si="19"/>
        <v>1.618728633986084E-2</v>
      </c>
      <c r="O143" s="141">
        <f t="shared" si="20"/>
        <v>0.35899491192474842</v>
      </c>
      <c r="P143" s="141">
        <f t="shared" si="21"/>
        <v>0.6248178017353907</v>
      </c>
      <c r="Q143" s="140">
        <v>231</v>
      </c>
      <c r="R143" s="139">
        <v>3214689511</v>
      </c>
      <c r="S143" s="140">
        <v>12533</v>
      </c>
      <c r="T143" s="139">
        <v>71294048529</v>
      </c>
      <c r="U143" s="140">
        <v>274405</v>
      </c>
      <c r="V143" s="139">
        <v>124084741034</v>
      </c>
      <c r="W143" s="142"/>
    </row>
    <row r="144" spans="1:23" x14ac:dyDescent="0.3">
      <c r="A144" s="143"/>
      <c r="B144" s="137">
        <v>30</v>
      </c>
      <c r="C144" s="137" t="s">
        <v>2072</v>
      </c>
      <c r="D144" s="137" t="s">
        <v>2046</v>
      </c>
      <c r="E144" s="137">
        <v>1001215348</v>
      </c>
      <c r="F144" s="137" t="s">
        <v>2168</v>
      </c>
      <c r="G144" s="137" t="s">
        <v>2169</v>
      </c>
      <c r="H144" s="137" t="s">
        <v>2169</v>
      </c>
      <c r="I144" s="137" t="s">
        <v>2097</v>
      </c>
      <c r="J144" s="137" t="s">
        <v>2045</v>
      </c>
      <c r="K144" s="137" t="s">
        <v>2046</v>
      </c>
      <c r="L144" s="139">
        <f t="shared" si="18"/>
        <v>2710011169879</v>
      </c>
      <c r="M144" s="140">
        <f t="shared" si="17"/>
        <v>561030</v>
      </c>
      <c r="N144" s="141">
        <f t="shared" si="19"/>
        <v>1.3568723409225584E-4</v>
      </c>
      <c r="O144" s="141">
        <f t="shared" si="20"/>
        <v>0.25002755969830681</v>
      </c>
      <c r="P144" s="141">
        <f t="shared" si="21"/>
        <v>0.74983675306760089</v>
      </c>
      <c r="Q144" s="140">
        <v>13</v>
      </c>
      <c r="R144" s="139">
        <v>367713920</v>
      </c>
      <c r="S144" s="140">
        <v>30416</v>
      </c>
      <c r="T144" s="139">
        <v>677577479560</v>
      </c>
      <c r="U144" s="140">
        <v>530601</v>
      </c>
      <c r="V144" s="139">
        <v>2032065976399</v>
      </c>
      <c r="W144" s="142"/>
    </row>
    <row r="145" spans="1:23" x14ac:dyDescent="0.3">
      <c r="A145" s="143"/>
      <c r="B145" s="137">
        <v>30</v>
      </c>
      <c r="C145" s="137" t="s">
        <v>2087</v>
      </c>
      <c r="D145" s="137" t="s">
        <v>2046</v>
      </c>
      <c r="E145" s="137">
        <v>1001215348</v>
      </c>
      <c r="F145" s="137" t="s">
        <v>2168</v>
      </c>
      <c r="G145" s="137" t="s">
        <v>2169</v>
      </c>
      <c r="H145" s="137" t="s">
        <v>2169</v>
      </c>
      <c r="I145" s="137" t="s">
        <v>2159</v>
      </c>
      <c r="J145" s="137" t="s">
        <v>2047</v>
      </c>
      <c r="K145" s="137" t="s">
        <v>2048</v>
      </c>
      <c r="L145" s="139">
        <f t="shared" si="18"/>
        <v>40363412062252</v>
      </c>
      <c r="M145" s="140">
        <f t="shared" si="17"/>
        <v>3349269</v>
      </c>
      <c r="N145" s="141">
        <f t="shared" si="19"/>
        <v>1.4861349508605745E-2</v>
      </c>
      <c r="O145" s="141">
        <f t="shared" si="20"/>
        <v>0</v>
      </c>
      <c r="P145" s="141">
        <f t="shared" si="21"/>
        <v>0.98513865049139426</v>
      </c>
      <c r="Q145" s="140">
        <v>278</v>
      </c>
      <c r="R145" s="139">
        <v>599854774017</v>
      </c>
      <c r="S145" s="140">
        <v>0</v>
      </c>
      <c r="T145" s="139">
        <v>0</v>
      </c>
      <c r="U145" s="140">
        <v>3348991</v>
      </c>
      <c r="V145" s="139">
        <v>39763557288235</v>
      </c>
      <c r="W145" s="142"/>
    </row>
    <row r="146" spans="1:23" x14ac:dyDescent="0.3">
      <c r="A146" s="143"/>
      <c r="B146" s="137">
        <v>30</v>
      </c>
      <c r="C146" s="137" t="s">
        <v>2087</v>
      </c>
      <c r="D146" s="137" t="s">
        <v>2046</v>
      </c>
      <c r="E146" s="137">
        <v>1001215348</v>
      </c>
      <c r="F146" s="137" t="s">
        <v>2168</v>
      </c>
      <c r="G146" s="137" t="s">
        <v>2169</v>
      </c>
      <c r="H146" s="137" t="s">
        <v>2169</v>
      </c>
      <c r="I146" s="137" t="s">
        <v>2159</v>
      </c>
      <c r="J146" s="137" t="s">
        <v>2050</v>
      </c>
      <c r="K146" s="137" t="s">
        <v>2046</v>
      </c>
      <c r="L146" s="139">
        <f t="shared" si="18"/>
        <v>161659732921</v>
      </c>
      <c r="M146" s="140">
        <f t="shared" si="17"/>
        <v>233371</v>
      </c>
      <c r="N146" s="141">
        <f t="shared" si="19"/>
        <v>1.6986392958733422E-2</v>
      </c>
      <c r="O146" s="141">
        <f t="shared" si="20"/>
        <v>0.36379445374773545</v>
      </c>
      <c r="P146" s="141">
        <f t="shared" si="21"/>
        <v>0.61921915329353117</v>
      </c>
      <c r="Q146" s="140">
        <v>175</v>
      </c>
      <c r="R146" s="139">
        <v>2746015749</v>
      </c>
      <c r="S146" s="140">
        <v>12375</v>
      </c>
      <c r="T146" s="139">
        <v>58810914231</v>
      </c>
      <c r="U146" s="140">
        <v>220821</v>
      </c>
      <c r="V146" s="139">
        <v>100102802941</v>
      </c>
      <c r="W146" s="142"/>
    </row>
    <row r="147" spans="1:23" x14ac:dyDescent="0.3">
      <c r="A147" s="143"/>
      <c r="B147" s="137">
        <v>30</v>
      </c>
      <c r="C147" s="137" t="s">
        <v>2087</v>
      </c>
      <c r="D147" s="137" t="s">
        <v>2046</v>
      </c>
      <c r="E147" s="137">
        <v>1001215348</v>
      </c>
      <c r="F147" s="137" t="s">
        <v>2168</v>
      </c>
      <c r="G147" s="137" t="s">
        <v>2169</v>
      </c>
      <c r="H147" s="137" t="s">
        <v>2169</v>
      </c>
      <c r="I147" s="137" t="s">
        <v>2159</v>
      </c>
      <c r="J147" s="137" t="s">
        <v>2045</v>
      </c>
      <c r="K147" s="137" t="s">
        <v>2046</v>
      </c>
      <c r="L147" s="139">
        <f t="shared" si="18"/>
        <v>2486306891043</v>
      </c>
      <c r="M147" s="140">
        <f t="shared" si="17"/>
        <v>473804</v>
      </c>
      <c r="N147" s="141">
        <f t="shared" si="19"/>
        <v>2.4669118772489954E-4</v>
      </c>
      <c r="O147" s="141">
        <f t="shared" si="20"/>
        <v>0.247263358752187</v>
      </c>
      <c r="P147" s="141">
        <f t="shared" si="21"/>
        <v>0.75248995006008812</v>
      </c>
      <c r="Q147" s="140">
        <v>2</v>
      </c>
      <c r="R147" s="139">
        <v>613350000</v>
      </c>
      <c r="S147" s="140">
        <v>19489</v>
      </c>
      <c r="T147" s="139">
        <v>614772592768</v>
      </c>
      <c r="U147" s="140">
        <v>454313</v>
      </c>
      <c r="V147" s="139">
        <v>1870920948275</v>
      </c>
      <c r="W147" s="142"/>
    </row>
    <row r="148" spans="1:23" x14ac:dyDescent="0.3">
      <c r="A148" s="143"/>
      <c r="B148" s="137">
        <v>31</v>
      </c>
      <c r="C148" s="137" t="s">
        <v>2072</v>
      </c>
      <c r="D148" s="137" t="s">
        <v>2048</v>
      </c>
      <c r="E148" s="137">
        <v>1000734708</v>
      </c>
      <c r="F148" s="137" t="s">
        <v>2170</v>
      </c>
      <c r="G148" s="137" t="s">
        <v>2171</v>
      </c>
      <c r="H148" s="137" t="s">
        <v>2171</v>
      </c>
      <c r="I148" s="137" t="s">
        <v>2097</v>
      </c>
      <c r="J148" s="137" t="s">
        <v>2047</v>
      </c>
      <c r="K148" s="137" t="s">
        <v>2048</v>
      </c>
      <c r="L148" s="139">
        <f t="shared" si="18"/>
        <v>7552497915056</v>
      </c>
      <c r="M148" s="140">
        <f t="shared" si="17"/>
        <v>147898</v>
      </c>
      <c r="N148" s="141">
        <f t="shared" si="19"/>
        <v>1.1031787151361593E-2</v>
      </c>
      <c r="O148" s="141">
        <f t="shared" si="20"/>
        <v>0</v>
      </c>
      <c r="P148" s="141">
        <f t="shared" si="21"/>
        <v>0.98896821284863845</v>
      </c>
      <c r="Q148" s="140">
        <v>5</v>
      </c>
      <c r="R148" s="139">
        <v>83317549460</v>
      </c>
      <c r="S148" s="140">
        <v>0</v>
      </c>
      <c r="T148" s="139">
        <v>0</v>
      </c>
      <c r="U148" s="140">
        <v>147893</v>
      </c>
      <c r="V148" s="139">
        <v>7469180365596</v>
      </c>
      <c r="W148" s="142"/>
    </row>
    <row r="149" spans="1:23" x14ac:dyDescent="0.3">
      <c r="A149" s="143"/>
      <c r="B149" s="137">
        <v>31</v>
      </c>
      <c r="C149" s="137" t="s">
        <v>2072</v>
      </c>
      <c r="D149" s="137" t="s">
        <v>2048</v>
      </c>
      <c r="E149" s="137">
        <v>1000734708</v>
      </c>
      <c r="F149" s="137" t="s">
        <v>2170</v>
      </c>
      <c r="G149" s="137" t="s">
        <v>2171</v>
      </c>
      <c r="H149" s="137" t="s">
        <v>2171</v>
      </c>
      <c r="I149" s="137" t="s">
        <v>2097</v>
      </c>
      <c r="J149" s="137" t="s">
        <v>2050</v>
      </c>
      <c r="K149" s="137" t="s">
        <v>2046</v>
      </c>
      <c r="L149" s="139">
        <f t="shared" si="18"/>
        <v>241967793279</v>
      </c>
      <c r="M149" s="140">
        <f t="shared" si="17"/>
        <v>8663</v>
      </c>
      <c r="N149" s="141">
        <f t="shared" si="19"/>
        <v>0.15030992228814324</v>
      </c>
      <c r="O149" s="141">
        <f t="shared" si="20"/>
        <v>0.62730186076864691</v>
      </c>
      <c r="P149" s="141">
        <f t="shared" si="21"/>
        <v>0.22238821694320982</v>
      </c>
      <c r="Q149" s="140">
        <v>3</v>
      </c>
      <c r="R149" s="139">
        <v>36370160204</v>
      </c>
      <c r="S149" s="140">
        <v>318</v>
      </c>
      <c r="T149" s="139">
        <v>151786846970</v>
      </c>
      <c r="U149" s="140">
        <v>8342</v>
      </c>
      <c r="V149" s="139">
        <v>53810786105</v>
      </c>
      <c r="W149" s="142"/>
    </row>
    <row r="150" spans="1:23" x14ac:dyDescent="0.3">
      <c r="A150" s="143"/>
      <c r="B150" s="137">
        <v>31</v>
      </c>
      <c r="C150" s="137" t="s">
        <v>2072</v>
      </c>
      <c r="D150" s="137" t="s">
        <v>2048</v>
      </c>
      <c r="E150" s="137">
        <v>1000734708</v>
      </c>
      <c r="F150" s="137" t="s">
        <v>2170</v>
      </c>
      <c r="G150" s="137" t="s">
        <v>2171</v>
      </c>
      <c r="H150" s="137" t="s">
        <v>2171</v>
      </c>
      <c r="I150" s="137" t="s">
        <v>2097</v>
      </c>
      <c r="J150" s="137" t="s">
        <v>2045</v>
      </c>
      <c r="K150" s="137" t="s">
        <v>2046</v>
      </c>
      <c r="L150" s="139">
        <f t="shared" si="18"/>
        <v>265199808818</v>
      </c>
      <c r="M150" s="140">
        <f t="shared" si="17"/>
        <v>1107</v>
      </c>
      <c r="N150" s="141">
        <f t="shared" si="19"/>
        <v>2.3438641640446404E-2</v>
      </c>
      <c r="O150" s="141">
        <f t="shared" si="20"/>
        <v>0.10228419360443704</v>
      </c>
      <c r="P150" s="141">
        <f t="shared" si="21"/>
        <v>0.87427716475511652</v>
      </c>
      <c r="Q150" s="140">
        <v>2</v>
      </c>
      <c r="R150" s="139">
        <v>6215923282</v>
      </c>
      <c r="S150" s="140">
        <v>40</v>
      </c>
      <c r="T150" s="139">
        <v>27125748589</v>
      </c>
      <c r="U150" s="140">
        <v>1065</v>
      </c>
      <c r="V150" s="139">
        <v>231858136947</v>
      </c>
      <c r="W150" s="142"/>
    </row>
    <row r="151" spans="1:23" x14ac:dyDescent="0.3">
      <c r="A151" s="143"/>
      <c r="B151" s="137">
        <v>32</v>
      </c>
      <c r="C151" s="137" t="s">
        <v>2072</v>
      </c>
      <c r="D151" s="137" t="s">
        <v>2046</v>
      </c>
      <c r="E151" s="137">
        <v>1000326244</v>
      </c>
      <c r="F151" s="137" t="s">
        <v>2172</v>
      </c>
      <c r="G151" s="137" t="s">
        <v>2173</v>
      </c>
      <c r="H151" s="137" t="s">
        <v>2174</v>
      </c>
      <c r="I151" s="137" t="s">
        <v>2097</v>
      </c>
      <c r="J151" s="137" t="s">
        <v>2047</v>
      </c>
      <c r="K151" s="137" t="s">
        <v>2048</v>
      </c>
      <c r="L151" s="139">
        <f t="shared" si="18"/>
        <v>36416297723780</v>
      </c>
      <c r="M151" s="140">
        <f t="shared" si="17"/>
        <v>6884609</v>
      </c>
      <c r="N151" s="141">
        <f t="shared" si="19"/>
        <v>1.3481749816138063E-2</v>
      </c>
      <c r="O151" s="141">
        <f t="shared" si="20"/>
        <v>0</v>
      </c>
      <c r="P151" s="141">
        <f t="shared" si="21"/>
        <v>0.98651825018386197</v>
      </c>
      <c r="Q151" s="140">
        <v>52</v>
      </c>
      <c r="R151" s="139">
        <v>490955415142</v>
      </c>
      <c r="S151" s="140">
        <v>0</v>
      </c>
      <c r="T151" s="139">
        <v>0</v>
      </c>
      <c r="U151" s="140">
        <v>6884557</v>
      </c>
      <c r="V151" s="139">
        <v>35925342308638</v>
      </c>
      <c r="W151" s="142"/>
    </row>
    <row r="152" spans="1:23" x14ac:dyDescent="0.3">
      <c r="A152" s="143"/>
      <c r="B152" s="137">
        <v>32</v>
      </c>
      <c r="C152" s="137" t="s">
        <v>2072</v>
      </c>
      <c r="D152" s="137" t="s">
        <v>2046</v>
      </c>
      <c r="E152" s="137">
        <v>1000326244</v>
      </c>
      <c r="F152" s="137" t="s">
        <v>2172</v>
      </c>
      <c r="G152" s="137" t="s">
        <v>2173</v>
      </c>
      <c r="H152" s="137" t="s">
        <v>2174</v>
      </c>
      <c r="I152" s="137" t="s">
        <v>2097</v>
      </c>
      <c r="J152" s="137" t="s">
        <v>2050</v>
      </c>
      <c r="K152" s="137" t="s">
        <v>2046</v>
      </c>
      <c r="L152" s="139">
        <f t="shared" si="18"/>
        <v>9860953637620</v>
      </c>
      <c r="M152" s="140">
        <f t="shared" si="17"/>
        <v>1804558</v>
      </c>
      <c r="N152" s="141">
        <f t="shared" si="19"/>
        <v>3.4465875181219165E-2</v>
      </c>
      <c r="O152" s="141">
        <f t="shared" si="20"/>
        <v>0.27366900213703188</v>
      </c>
      <c r="P152" s="141">
        <f t="shared" si="21"/>
        <v>0.69186512268174893</v>
      </c>
      <c r="Q152" s="140">
        <v>1141</v>
      </c>
      <c r="R152" s="139">
        <v>339866397242</v>
      </c>
      <c r="S152" s="140">
        <v>61104</v>
      </c>
      <c r="T152" s="139">
        <v>2698637342127</v>
      </c>
      <c r="U152" s="140">
        <v>1742313</v>
      </c>
      <c r="V152" s="139">
        <v>6822449898251</v>
      </c>
      <c r="W152" s="142"/>
    </row>
    <row r="153" spans="1:23" x14ac:dyDescent="0.3">
      <c r="A153" s="143"/>
      <c r="B153" s="137">
        <v>32</v>
      </c>
      <c r="C153" s="137" t="s">
        <v>2072</v>
      </c>
      <c r="D153" s="137" t="s">
        <v>2046</v>
      </c>
      <c r="E153" s="137">
        <v>1000326244</v>
      </c>
      <c r="F153" s="137" t="s">
        <v>2172</v>
      </c>
      <c r="G153" s="137" t="s">
        <v>2173</v>
      </c>
      <c r="H153" s="137" t="s">
        <v>2174</v>
      </c>
      <c r="I153" s="137" t="s">
        <v>2097</v>
      </c>
      <c r="J153" s="137" t="s">
        <v>2045</v>
      </c>
      <c r="K153" s="137" t="s">
        <v>2046</v>
      </c>
      <c r="L153" s="139">
        <f t="shared" si="18"/>
        <v>1171039637997</v>
      </c>
      <c r="M153" s="140">
        <f t="shared" si="17"/>
        <v>79095</v>
      </c>
      <c r="N153" s="141">
        <f t="shared" si="19"/>
        <v>1.2173579430994905E-3</v>
      </c>
      <c r="O153" s="141">
        <f t="shared" si="20"/>
        <v>0.21377815073211154</v>
      </c>
      <c r="P153" s="141">
        <f t="shared" si="21"/>
        <v>0.785004491324789</v>
      </c>
      <c r="Q153" s="140">
        <v>5</v>
      </c>
      <c r="R153" s="139">
        <v>1425574405</v>
      </c>
      <c r="S153" s="140">
        <v>2689</v>
      </c>
      <c r="T153" s="139">
        <v>250342688245</v>
      </c>
      <c r="U153" s="140">
        <v>76401</v>
      </c>
      <c r="V153" s="139">
        <v>919271375347</v>
      </c>
      <c r="W153" s="142"/>
    </row>
    <row r="154" spans="1:23" x14ac:dyDescent="0.3">
      <c r="A154" s="143"/>
      <c r="B154" s="137">
        <v>32</v>
      </c>
      <c r="C154" s="137" t="s">
        <v>2087</v>
      </c>
      <c r="D154" s="137" t="s">
        <v>2046</v>
      </c>
      <c r="E154" s="137">
        <v>1000326244</v>
      </c>
      <c r="F154" s="137" t="s">
        <v>2172</v>
      </c>
      <c r="G154" s="137" t="s">
        <v>2175</v>
      </c>
      <c r="H154" s="137" t="s">
        <v>2175</v>
      </c>
      <c r="I154" s="137" t="s">
        <v>2102</v>
      </c>
      <c r="J154" s="137" t="s">
        <v>2047</v>
      </c>
      <c r="K154" s="137" t="s">
        <v>2048</v>
      </c>
      <c r="L154" s="139">
        <f t="shared" si="18"/>
        <v>71901661788660</v>
      </c>
      <c r="M154" s="140">
        <f t="shared" si="17"/>
        <v>12564202</v>
      </c>
      <c r="N154" s="141">
        <f t="shared" si="19"/>
        <v>8.693244865594767E-3</v>
      </c>
      <c r="O154" s="141">
        <f t="shared" si="20"/>
        <v>0</v>
      </c>
      <c r="P154" s="141">
        <f t="shared" si="21"/>
        <v>0.99130675513440525</v>
      </c>
      <c r="Q154" s="140">
        <v>270</v>
      </c>
      <c r="R154" s="139">
        <v>625058752172</v>
      </c>
      <c r="S154" s="140">
        <v>0</v>
      </c>
      <c r="T154" s="139">
        <v>0</v>
      </c>
      <c r="U154" s="140">
        <v>12563932</v>
      </c>
      <c r="V154" s="139">
        <v>71276603036488</v>
      </c>
      <c r="W154" s="142"/>
    </row>
    <row r="155" spans="1:23" x14ac:dyDescent="0.3">
      <c r="A155" s="143"/>
      <c r="B155" s="137">
        <v>32</v>
      </c>
      <c r="C155" s="137" t="s">
        <v>2087</v>
      </c>
      <c r="D155" s="137" t="s">
        <v>2046</v>
      </c>
      <c r="E155" s="137">
        <v>1000326244</v>
      </c>
      <c r="F155" s="137" t="s">
        <v>2172</v>
      </c>
      <c r="G155" s="137" t="s">
        <v>2175</v>
      </c>
      <c r="H155" s="137" t="s">
        <v>2175</v>
      </c>
      <c r="I155" s="137" t="s">
        <v>2102</v>
      </c>
      <c r="J155" s="137" t="s">
        <v>2050</v>
      </c>
      <c r="K155" s="137" t="s">
        <v>2046</v>
      </c>
      <c r="L155" s="139">
        <f t="shared" si="18"/>
        <v>126655114339</v>
      </c>
      <c r="M155" s="140">
        <f t="shared" si="17"/>
        <v>57820</v>
      </c>
      <c r="N155" s="141">
        <f t="shared" si="19"/>
        <v>0.10290658346503614</v>
      </c>
      <c r="O155" s="141">
        <f t="shared" si="20"/>
        <v>0.31738101826198534</v>
      </c>
      <c r="P155" s="141">
        <f t="shared" si="21"/>
        <v>0.57971239827297849</v>
      </c>
      <c r="Q155" s="140">
        <v>131</v>
      </c>
      <c r="R155" s="139">
        <v>13033645095</v>
      </c>
      <c r="S155" s="140">
        <v>6361</v>
      </c>
      <c r="T155" s="139">
        <v>40197929157</v>
      </c>
      <c r="U155" s="140">
        <v>51328</v>
      </c>
      <c r="V155" s="139">
        <v>73423540087</v>
      </c>
      <c r="W155" s="142"/>
    </row>
    <row r="156" spans="1:23" x14ac:dyDescent="0.3">
      <c r="A156" s="143"/>
      <c r="B156" s="137">
        <v>32</v>
      </c>
      <c r="C156" s="137" t="s">
        <v>2087</v>
      </c>
      <c r="D156" s="137" t="s">
        <v>2046</v>
      </c>
      <c r="E156" s="137">
        <v>1000326244</v>
      </c>
      <c r="F156" s="137" t="s">
        <v>2172</v>
      </c>
      <c r="G156" s="137" t="s">
        <v>2175</v>
      </c>
      <c r="H156" s="137" t="s">
        <v>2175</v>
      </c>
      <c r="I156" s="137" t="s">
        <v>2102</v>
      </c>
      <c r="J156" s="137" t="s">
        <v>2045</v>
      </c>
      <c r="K156" s="137" t="s">
        <v>2046</v>
      </c>
      <c r="L156" s="139">
        <f t="shared" si="18"/>
        <v>2125833898975</v>
      </c>
      <c r="M156" s="140">
        <f t="shared" ref="M156:M187" si="22">Q156+S156+U156</f>
        <v>142468</v>
      </c>
      <c r="N156" s="141">
        <f t="shared" si="19"/>
        <v>1.197784834566675E-3</v>
      </c>
      <c r="O156" s="141">
        <f t="shared" si="20"/>
        <v>0.245358129335736</v>
      </c>
      <c r="P156" s="141">
        <f t="shared" si="21"/>
        <v>0.75344408582969735</v>
      </c>
      <c r="Q156" s="140">
        <v>13</v>
      </c>
      <c r="R156" s="139">
        <v>2546291605</v>
      </c>
      <c r="S156" s="140">
        <v>6231</v>
      </c>
      <c r="T156" s="139">
        <v>521590628731</v>
      </c>
      <c r="U156" s="140">
        <v>136224</v>
      </c>
      <c r="V156" s="139">
        <v>1601696978639</v>
      </c>
      <c r="W156" s="142"/>
    </row>
    <row r="157" spans="1:23" x14ac:dyDescent="0.3">
      <c r="A157" s="143"/>
      <c r="B157" s="137">
        <v>33</v>
      </c>
      <c r="C157" s="137" t="s">
        <v>2072</v>
      </c>
      <c r="D157" s="137" t="s">
        <v>2048</v>
      </c>
      <c r="E157" s="137">
        <v>1000316823</v>
      </c>
      <c r="F157" s="137" t="s">
        <v>2176</v>
      </c>
      <c r="G157" s="137" t="s">
        <v>2177</v>
      </c>
      <c r="H157" s="137" t="s">
        <v>2178</v>
      </c>
      <c r="I157" s="137" t="s">
        <v>2097</v>
      </c>
      <c r="J157" s="137" t="s">
        <v>2047</v>
      </c>
      <c r="K157" s="137" t="s">
        <v>2048</v>
      </c>
      <c r="L157" s="139">
        <f t="shared" si="18"/>
        <v>11101286996642</v>
      </c>
      <c r="M157" s="140">
        <f t="shared" si="22"/>
        <v>2261081</v>
      </c>
      <c r="N157" s="141">
        <f t="shared" si="19"/>
        <v>1.1804247171489095E-3</v>
      </c>
      <c r="O157" s="141">
        <f t="shared" si="20"/>
        <v>0</v>
      </c>
      <c r="P157" s="141">
        <f t="shared" si="21"/>
        <v>0.99881957528285104</v>
      </c>
      <c r="Q157" s="140">
        <v>12</v>
      </c>
      <c r="R157" s="139">
        <v>13104233563</v>
      </c>
      <c r="S157" s="140">
        <v>0</v>
      </c>
      <c r="T157" s="139">
        <v>0</v>
      </c>
      <c r="U157" s="140">
        <v>2261069</v>
      </c>
      <c r="V157" s="139">
        <v>11088182763079</v>
      </c>
      <c r="W157" s="142"/>
    </row>
    <row r="158" spans="1:23" x14ac:dyDescent="0.3">
      <c r="A158" s="143"/>
      <c r="B158" s="137">
        <v>33</v>
      </c>
      <c r="C158" s="137" t="s">
        <v>2072</v>
      </c>
      <c r="D158" s="137" t="s">
        <v>2048</v>
      </c>
      <c r="E158" s="137">
        <v>1000316823</v>
      </c>
      <c r="F158" s="137" t="s">
        <v>2176</v>
      </c>
      <c r="G158" s="137" t="s">
        <v>2177</v>
      </c>
      <c r="H158" s="137" t="s">
        <v>2178</v>
      </c>
      <c r="I158" s="137" t="s">
        <v>2097</v>
      </c>
      <c r="J158" s="137" t="s">
        <v>2050</v>
      </c>
      <c r="K158" s="137" t="s">
        <v>2046</v>
      </c>
      <c r="L158" s="139">
        <f t="shared" si="18"/>
        <v>151139008857</v>
      </c>
      <c r="M158" s="140">
        <f t="shared" si="22"/>
        <v>207223</v>
      </c>
      <c r="N158" s="141">
        <f t="shared" si="19"/>
        <v>8.5127013001475765E-2</v>
      </c>
      <c r="O158" s="141">
        <f t="shared" si="20"/>
        <v>0.43566834054271569</v>
      </c>
      <c r="P158" s="141">
        <f t="shared" si="21"/>
        <v>0.47920464645580851</v>
      </c>
      <c r="Q158" s="140">
        <v>309</v>
      </c>
      <c r="R158" s="139">
        <v>12866012372</v>
      </c>
      <c r="S158" s="140">
        <v>7290</v>
      </c>
      <c r="T158" s="139">
        <v>65846481180</v>
      </c>
      <c r="U158" s="140">
        <v>199624</v>
      </c>
      <c r="V158" s="139">
        <v>72426515305</v>
      </c>
      <c r="W158" s="142"/>
    </row>
    <row r="159" spans="1:23" x14ac:dyDescent="0.3">
      <c r="A159" s="143"/>
      <c r="B159" s="137">
        <v>33</v>
      </c>
      <c r="C159" s="137" t="s">
        <v>2072</v>
      </c>
      <c r="D159" s="137" t="s">
        <v>2048</v>
      </c>
      <c r="E159" s="137">
        <v>1000316823</v>
      </c>
      <c r="F159" s="137" t="s">
        <v>2176</v>
      </c>
      <c r="G159" s="137" t="s">
        <v>2177</v>
      </c>
      <c r="H159" s="137" t="s">
        <v>2178</v>
      </c>
      <c r="I159" s="137" t="s">
        <v>2097</v>
      </c>
      <c r="J159" s="137" t="s">
        <v>2045</v>
      </c>
      <c r="K159" s="137" t="s">
        <v>2046</v>
      </c>
      <c r="L159" s="139">
        <f t="shared" si="18"/>
        <v>362102251445</v>
      </c>
      <c r="M159" s="140">
        <f t="shared" si="22"/>
        <v>235054</v>
      </c>
      <c r="N159" s="141">
        <f t="shared" si="19"/>
        <v>0</v>
      </c>
      <c r="O159" s="141">
        <f t="shared" si="20"/>
        <v>0.13067107080991711</v>
      </c>
      <c r="P159" s="141">
        <f t="shared" si="21"/>
        <v>0.86932892919008287</v>
      </c>
      <c r="Q159" s="140">
        <v>0</v>
      </c>
      <c r="R159" s="139">
        <v>0</v>
      </c>
      <c r="S159" s="140">
        <v>439</v>
      </c>
      <c r="T159" s="139">
        <v>47316288939</v>
      </c>
      <c r="U159" s="140">
        <v>234615</v>
      </c>
      <c r="V159" s="139">
        <v>314785962506</v>
      </c>
      <c r="W159" s="142"/>
    </row>
    <row r="160" spans="1:23" x14ac:dyDescent="0.3">
      <c r="A160" s="143"/>
      <c r="B160" s="137">
        <v>36</v>
      </c>
      <c r="C160" s="137" t="s">
        <v>2072</v>
      </c>
      <c r="D160" s="137" t="s">
        <v>2048</v>
      </c>
      <c r="E160" s="137">
        <v>1000323554</v>
      </c>
      <c r="F160" s="137" t="s">
        <v>2179</v>
      </c>
      <c r="G160" s="137" t="s">
        <v>2180</v>
      </c>
      <c r="H160" s="137" t="s">
        <v>2180</v>
      </c>
      <c r="I160" s="137" t="s">
        <v>2097</v>
      </c>
      <c r="J160" s="137" t="s">
        <v>2047</v>
      </c>
      <c r="K160" s="137" t="s">
        <v>2048</v>
      </c>
      <c r="L160" s="139">
        <f t="shared" si="18"/>
        <v>20910891731244</v>
      </c>
      <c r="M160" s="140">
        <f t="shared" si="22"/>
        <v>140558</v>
      </c>
      <c r="N160" s="141">
        <f t="shared" si="19"/>
        <v>0.13316904343611832</v>
      </c>
      <c r="O160" s="141">
        <f t="shared" si="20"/>
        <v>0</v>
      </c>
      <c r="P160" s="141">
        <f t="shared" si="21"/>
        <v>0.86683095656388165</v>
      </c>
      <c r="Q160" s="140">
        <v>7</v>
      </c>
      <c r="R160" s="139">
        <v>2784683449246</v>
      </c>
      <c r="S160" s="140">
        <v>0</v>
      </c>
      <c r="T160" s="139">
        <v>0</v>
      </c>
      <c r="U160" s="140">
        <v>140551</v>
      </c>
      <c r="V160" s="139">
        <v>18126208281998</v>
      </c>
      <c r="W160" s="142"/>
    </row>
    <row r="161" spans="1:23" x14ac:dyDescent="0.3">
      <c r="A161" s="143"/>
      <c r="B161" s="137">
        <v>36</v>
      </c>
      <c r="C161" s="137" t="s">
        <v>2072</v>
      </c>
      <c r="D161" s="137" t="s">
        <v>2048</v>
      </c>
      <c r="E161" s="137">
        <v>1000323554</v>
      </c>
      <c r="F161" s="137" t="s">
        <v>2179</v>
      </c>
      <c r="G161" s="137" t="s">
        <v>2180</v>
      </c>
      <c r="H161" s="137" t="s">
        <v>2180</v>
      </c>
      <c r="I161" s="137" t="s">
        <v>2097</v>
      </c>
      <c r="J161" s="137" t="s">
        <v>2050</v>
      </c>
      <c r="K161" s="137" t="s">
        <v>2046</v>
      </c>
      <c r="L161" s="139">
        <f t="shared" si="18"/>
        <v>101322449002</v>
      </c>
      <c r="M161" s="140">
        <f t="shared" si="22"/>
        <v>27895</v>
      </c>
      <c r="N161" s="141">
        <f t="shared" si="19"/>
        <v>0</v>
      </c>
      <c r="O161" s="141">
        <f t="shared" si="20"/>
        <v>1.5591967037520147E-2</v>
      </c>
      <c r="P161" s="141">
        <f t="shared" si="21"/>
        <v>0.98440803296247981</v>
      </c>
      <c r="Q161" s="140">
        <v>0</v>
      </c>
      <c r="R161" s="139">
        <v>0</v>
      </c>
      <c r="S161" s="140">
        <v>342</v>
      </c>
      <c r="T161" s="139">
        <v>1579816285</v>
      </c>
      <c r="U161" s="140">
        <v>27553</v>
      </c>
      <c r="V161" s="139">
        <v>99742632717</v>
      </c>
      <c r="W161" s="142"/>
    </row>
    <row r="162" spans="1:23" x14ac:dyDescent="0.3">
      <c r="A162" s="143"/>
      <c r="B162" s="137">
        <v>36</v>
      </c>
      <c r="C162" s="137" t="s">
        <v>2072</v>
      </c>
      <c r="D162" s="137" t="s">
        <v>2048</v>
      </c>
      <c r="E162" s="137">
        <v>1000323554</v>
      </c>
      <c r="F162" s="137" t="s">
        <v>2179</v>
      </c>
      <c r="G162" s="137" t="s">
        <v>2180</v>
      </c>
      <c r="H162" s="137" t="s">
        <v>2180</v>
      </c>
      <c r="I162" s="137" t="s">
        <v>2097</v>
      </c>
      <c r="J162" s="137" t="s">
        <v>2045</v>
      </c>
      <c r="K162" s="137" t="s">
        <v>2046</v>
      </c>
      <c r="L162" s="139">
        <f t="shared" si="18"/>
        <v>741219164156</v>
      </c>
      <c r="M162" s="140">
        <f t="shared" si="22"/>
        <v>2595</v>
      </c>
      <c r="N162" s="141">
        <f t="shared" si="19"/>
        <v>2.1653521590035481E-2</v>
      </c>
      <c r="O162" s="141">
        <f t="shared" si="20"/>
        <v>2.1818186794204854E-2</v>
      </c>
      <c r="P162" s="141">
        <f t="shared" si="21"/>
        <v>0.9565282916157597</v>
      </c>
      <c r="Q162" s="140">
        <v>20</v>
      </c>
      <c r="R162" s="139">
        <v>16050005174</v>
      </c>
      <c r="S162" s="140">
        <v>76</v>
      </c>
      <c r="T162" s="139">
        <v>16172058179</v>
      </c>
      <c r="U162" s="140">
        <v>2499</v>
      </c>
      <c r="V162" s="139">
        <v>708997100803</v>
      </c>
      <c r="W162" s="142"/>
    </row>
    <row r="163" spans="1:23" x14ac:dyDescent="0.3">
      <c r="A163" s="143"/>
      <c r="B163" s="137">
        <v>37</v>
      </c>
      <c r="C163" s="137" t="s">
        <v>2072</v>
      </c>
      <c r="D163" s="137" t="s">
        <v>2048</v>
      </c>
      <c r="E163" s="137">
        <v>1000682279</v>
      </c>
      <c r="F163" s="137" t="s">
        <v>2181</v>
      </c>
      <c r="G163" s="137" t="s">
        <v>2182</v>
      </c>
      <c r="H163" s="137" t="s">
        <v>2182</v>
      </c>
      <c r="I163" s="137" t="s">
        <v>2097</v>
      </c>
      <c r="J163" s="137" t="s">
        <v>2047</v>
      </c>
      <c r="K163" s="137" t="s">
        <v>2048</v>
      </c>
      <c r="L163" s="139">
        <f t="shared" si="18"/>
        <v>5223407714946</v>
      </c>
      <c r="M163" s="140">
        <f t="shared" si="22"/>
        <v>3895497</v>
      </c>
      <c r="N163" s="141">
        <f t="shared" si="19"/>
        <v>9.1664936037823708E-3</v>
      </c>
      <c r="O163" s="141">
        <f t="shared" si="20"/>
        <v>0</v>
      </c>
      <c r="P163" s="141">
        <f t="shared" si="21"/>
        <v>0.99083350639621759</v>
      </c>
      <c r="Q163" s="140">
        <v>142</v>
      </c>
      <c r="R163" s="139">
        <v>47880333409</v>
      </c>
      <c r="S163" s="140">
        <v>0</v>
      </c>
      <c r="T163" s="139">
        <v>0</v>
      </c>
      <c r="U163" s="140">
        <v>3895355</v>
      </c>
      <c r="V163" s="139">
        <v>5175527381537</v>
      </c>
      <c r="W163" s="142"/>
    </row>
    <row r="164" spans="1:23" x14ac:dyDescent="0.3">
      <c r="A164" s="143"/>
      <c r="B164" s="137">
        <v>37</v>
      </c>
      <c r="C164" s="137" t="s">
        <v>2072</v>
      </c>
      <c r="D164" s="137" t="s">
        <v>2048</v>
      </c>
      <c r="E164" s="137">
        <v>1000682279</v>
      </c>
      <c r="F164" s="137" t="s">
        <v>2181</v>
      </c>
      <c r="G164" s="137" t="s">
        <v>2182</v>
      </c>
      <c r="H164" s="137" t="s">
        <v>2182</v>
      </c>
      <c r="I164" s="137" t="s">
        <v>2097</v>
      </c>
      <c r="J164" s="137" t="s">
        <v>2050</v>
      </c>
      <c r="K164" s="137" t="s">
        <v>2046</v>
      </c>
      <c r="L164" s="139">
        <f t="shared" si="18"/>
        <v>51755390442</v>
      </c>
      <c r="M164" s="140">
        <f t="shared" si="22"/>
        <v>58437</v>
      </c>
      <c r="N164" s="141">
        <f t="shared" si="19"/>
        <v>0.30566395113429795</v>
      </c>
      <c r="O164" s="141">
        <f t="shared" si="20"/>
        <v>0.67637904108230007</v>
      </c>
      <c r="P164" s="141">
        <f t="shared" si="21"/>
        <v>1.7957007783401934E-2</v>
      </c>
      <c r="Q164" s="140">
        <v>19412</v>
      </c>
      <c r="R164" s="139">
        <v>15819757135</v>
      </c>
      <c r="S164" s="140">
        <v>35507</v>
      </c>
      <c r="T164" s="139">
        <v>35006261358</v>
      </c>
      <c r="U164" s="140">
        <v>3518</v>
      </c>
      <c r="V164" s="139">
        <v>929371949</v>
      </c>
      <c r="W164" s="142"/>
    </row>
    <row r="165" spans="1:23" x14ac:dyDescent="0.3">
      <c r="A165" s="143"/>
      <c r="B165" s="137">
        <v>37</v>
      </c>
      <c r="C165" s="137" t="s">
        <v>2072</v>
      </c>
      <c r="D165" s="137" t="s">
        <v>2048</v>
      </c>
      <c r="E165" s="137">
        <v>1000682279</v>
      </c>
      <c r="F165" s="137" t="s">
        <v>2181</v>
      </c>
      <c r="G165" s="137" t="s">
        <v>2182</v>
      </c>
      <c r="H165" s="137" t="s">
        <v>2182</v>
      </c>
      <c r="I165" s="137" t="s">
        <v>2097</v>
      </c>
      <c r="J165" s="137" t="s">
        <v>2045</v>
      </c>
      <c r="K165" s="137" t="s">
        <v>2046</v>
      </c>
      <c r="L165" s="139">
        <f t="shared" si="18"/>
        <v>296905861473</v>
      </c>
      <c r="M165" s="140">
        <f t="shared" si="22"/>
        <v>48618</v>
      </c>
      <c r="N165" s="141">
        <f t="shared" si="19"/>
        <v>0</v>
      </c>
      <c r="O165" s="141">
        <f t="shared" si="20"/>
        <v>7.6772120795846416E-2</v>
      </c>
      <c r="P165" s="141">
        <f t="shared" si="21"/>
        <v>0.92322787920415361</v>
      </c>
      <c r="Q165" s="140">
        <v>0</v>
      </c>
      <c r="R165" s="139">
        <v>0</v>
      </c>
      <c r="S165" s="140">
        <v>2172</v>
      </c>
      <c r="T165" s="139">
        <v>22794092662</v>
      </c>
      <c r="U165" s="140">
        <v>46446</v>
      </c>
      <c r="V165" s="139">
        <v>274111768811</v>
      </c>
      <c r="W165" s="142"/>
    </row>
    <row r="166" spans="1:23" x14ac:dyDescent="0.3">
      <c r="A166" s="143"/>
      <c r="B166" s="137">
        <v>38</v>
      </c>
      <c r="C166" s="137" t="s">
        <v>2087</v>
      </c>
      <c r="D166" s="137" t="s">
        <v>2046</v>
      </c>
      <c r="E166" s="137">
        <v>1001330099</v>
      </c>
      <c r="F166" s="137" t="s">
        <v>2183</v>
      </c>
      <c r="G166" s="137" t="s">
        <v>2184</v>
      </c>
      <c r="H166" s="137" t="s">
        <v>2185</v>
      </c>
      <c r="I166" s="137" t="s">
        <v>2102</v>
      </c>
      <c r="J166" s="137" t="s">
        <v>2047</v>
      </c>
      <c r="K166" s="137" t="s">
        <v>2048</v>
      </c>
      <c r="L166" s="139">
        <f t="shared" si="18"/>
        <v>131942140982078</v>
      </c>
      <c r="M166" s="140">
        <f t="shared" si="22"/>
        <v>4562057</v>
      </c>
      <c r="N166" s="141">
        <f t="shared" si="19"/>
        <v>6.369857463463175E-4</v>
      </c>
      <c r="O166" s="141">
        <f t="shared" si="20"/>
        <v>0</v>
      </c>
      <c r="P166" s="141">
        <f t="shared" si="21"/>
        <v>0.9993630142536537</v>
      </c>
      <c r="Q166" s="140">
        <v>303</v>
      </c>
      <c r="R166" s="139">
        <v>84045263148</v>
      </c>
      <c r="S166" s="140">
        <v>0</v>
      </c>
      <c r="T166" s="139">
        <v>0</v>
      </c>
      <c r="U166" s="140">
        <v>4561754</v>
      </c>
      <c r="V166" s="146">
        <v>131858095718930</v>
      </c>
      <c r="W166" s="142"/>
    </row>
    <row r="167" spans="1:23" x14ac:dyDescent="0.3">
      <c r="A167" s="143"/>
      <c r="B167" s="137">
        <v>38</v>
      </c>
      <c r="C167" s="137" t="s">
        <v>2087</v>
      </c>
      <c r="D167" s="137" t="s">
        <v>2046</v>
      </c>
      <c r="E167" s="137">
        <v>1001330099</v>
      </c>
      <c r="F167" s="137" t="s">
        <v>2183</v>
      </c>
      <c r="G167" s="137" t="s">
        <v>2184</v>
      </c>
      <c r="H167" s="137" t="s">
        <v>2185</v>
      </c>
      <c r="I167" s="137" t="s">
        <v>2102</v>
      </c>
      <c r="J167" s="137" t="s">
        <v>2045</v>
      </c>
      <c r="K167" s="137" t="s">
        <v>2048</v>
      </c>
      <c r="L167" s="139">
        <f t="shared" si="18"/>
        <v>4541565001642</v>
      </c>
      <c r="M167" s="140">
        <f t="shared" si="22"/>
        <v>1683446</v>
      </c>
      <c r="N167" s="141">
        <f t="shared" si="19"/>
        <v>0.19306002350819496</v>
      </c>
      <c r="O167" s="141">
        <f t="shared" si="20"/>
        <v>0.38432061053974687</v>
      </c>
      <c r="P167" s="141">
        <f t="shared" si="21"/>
        <v>0.42261936595205818</v>
      </c>
      <c r="Q167" s="140">
        <v>1323</v>
      </c>
      <c r="R167" s="139">
        <v>876794645981</v>
      </c>
      <c r="S167" s="140">
        <v>54869</v>
      </c>
      <c r="T167" s="139">
        <v>1745417034237</v>
      </c>
      <c r="U167" s="140">
        <v>1627254</v>
      </c>
      <c r="V167" s="139">
        <v>1919353321424</v>
      </c>
      <c r="W167" s="142"/>
    </row>
    <row r="168" spans="1:23" x14ac:dyDescent="0.3">
      <c r="A168" s="143"/>
      <c r="B168" s="137">
        <v>39</v>
      </c>
      <c r="C168" s="147" t="s">
        <v>2072</v>
      </c>
      <c r="D168" s="137" t="s">
        <v>2046</v>
      </c>
      <c r="E168" s="147">
        <v>1000317517</v>
      </c>
      <c r="F168" s="137" t="s">
        <v>2186</v>
      </c>
      <c r="G168" s="137" t="s">
        <v>2187</v>
      </c>
      <c r="H168" s="137" t="s">
        <v>2187</v>
      </c>
      <c r="I168" s="137" t="s">
        <v>2097</v>
      </c>
      <c r="J168" s="137" t="s">
        <v>2047</v>
      </c>
      <c r="K168" s="137" t="s">
        <v>2048</v>
      </c>
      <c r="L168" s="139">
        <f t="shared" si="18"/>
        <v>113607164882492</v>
      </c>
      <c r="M168" s="140">
        <f t="shared" si="22"/>
        <v>94379971</v>
      </c>
      <c r="N168" s="141">
        <f t="shared" si="19"/>
        <v>6.7458630147789786E-2</v>
      </c>
      <c r="O168" s="141">
        <f t="shared" si="20"/>
        <v>0</v>
      </c>
      <c r="P168" s="141">
        <f t="shared" si="21"/>
        <v>0.93254136985221026</v>
      </c>
      <c r="Q168" s="140">
        <v>19</v>
      </c>
      <c r="R168" s="139">
        <v>7663783717947</v>
      </c>
      <c r="S168" s="140">
        <v>0</v>
      </c>
      <c r="T168" s="139">
        <v>0</v>
      </c>
      <c r="U168" s="140">
        <v>94379952</v>
      </c>
      <c r="V168" s="139">
        <v>105943381164545</v>
      </c>
      <c r="W168" s="142"/>
    </row>
    <row r="169" spans="1:23" x14ac:dyDescent="0.3">
      <c r="A169" s="143"/>
      <c r="B169" s="137">
        <v>39</v>
      </c>
      <c r="C169" s="147" t="s">
        <v>2072</v>
      </c>
      <c r="D169" s="137" t="s">
        <v>2046</v>
      </c>
      <c r="E169" s="147">
        <v>1000317517</v>
      </c>
      <c r="F169" s="137" t="s">
        <v>2186</v>
      </c>
      <c r="G169" s="137" t="s">
        <v>2187</v>
      </c>
      <c r="H169" s="137" t="s">
        <v>2187</v>
      </c>
      <c r="I169" s="137" t="s">
        <v>2097</v>
      </c>
      <c r="J169" s="137" t="s">
        <v>2050</v>
      </c>
      <c r="K169" s="137" t="s">
        <v>2046</v>
      </c>
      <c r="L169" s="139">
        <f t="shared" si="18"/>
        <v>548630616856</v>
      </c>
      <c r="M169" s="140">
        <f t="shared" si="22"/>
        <v>403408</v>
      </c>
      <c r="N169" s="141">
        <f t="shared" si="19"/>
        <v>5.4402487693890327E-2</v>
      </c>
      <c r="O169" s="141">
        <f t="shared" si="20"/>
        <v>0.67137624732065981</v>
      </c>
      <c r="P169" s="141">
        <f t="shared" si="21"/>
        <v>0.27422126498544985</v>
      </c>
      <c r="Q169" s="140">
        <v>491</v>
      </c>
      <c r="R169" s="139">
        <v>29846870382</v>
      </c>
      <c r="S169" s="140">
        <v>64696</v>
      </c>
      <c r="T169" s="139">
        <v>368337564710</v>
      </c>
      <c r="U169" s="140">
        <v>338221</v>
      </c>
      <c r="V169" s="139">
        <v>150446181764</v>
      </c>
      <c r="W169" s="142"/>
    </row>
    <row r="170" spans="1:23" x14ac:dyDescent="0.3">
      <c r="A170" s="143"/>
      <c r="B170" s="137">
        <v>39</v>
      </c>
      <c r="C170" s="147" t="s">
        <v>2072</v>
      </c>
      <c r="D170" s="137" t="s">
        <v>2046</v>
      </c>
      <c r="E170" s="147">
        <v>1000317517</v>
      </c>
      <c r="F170" s="137" t="s">
        <v>2186</v>
      </c>
      <c r="G170" s="137" t="s">
        <v>2187</v>
      </c>
      <c r="H170" s="137" t="s">
        <v>2187</v>
      </c>
      <c r="I170" s="137" t="s">
        <v>2097</v>
      </c>
      <c r="J170" s="137" t="s">
        <v>2045</v>
      </c>
      <c r="K170" s="137" t="s">
        <v>2046</v>
      </c>
      <c r="L170" s="139">
        <f t="shared" si="18"/>
        <v>3703706602309</v>
      </c>
      <c r="M170" s="140">
        <f t="shared" si="22"/>
        <v>29649454</v>
      </c>
      <c r="N170" s="141">
        <f t="shared" si="19"/>
        <v>5.9159370848490265E-4</v>
      </c>
      <c r="O170" s="141">
        <f t="shared" si="20"/>
        <v>8.4588265360351619E-2</v>
      </c>
      <c r="P170" s="141">
        <f t="shared" si="21"/>
        <v>0.91482014093116348</v>
      </c>
      <c r="Q170" s="140">
        <v>32</v>
      </c>
      <c r="R170" s="139">
        <v>2191089524</v>
      </c>
      <c r="S170" s="140">
        <v>20257</v>
      </c>
      <c r="T170" s="139">
        <v>313290116893</v>
      </c>
      <c r="U170" s="140">
        <v>29629165</v>
      </c>
      <c r="V170" s="139">
        <v>3388225395892</v>
      </c>
      <c r="W170" s="142"/>
    </row>
    <row r="171" spans="1:23" x14ac:dyDescent="0.3">
      <c r="A171" s="143"/>
      <c r="B171" s="137">
        <v>39</v>
      </c>
      <c r="C171" s="147" t="s">
        <v>2072</v>
      </c>
      <c r="D171" s="137" t="s">
        <v>2046</v>
      </c>
      <c r="E171" s="147">
        <v>1000317517</v>
      </c>
      <c r="F171" s="137" t="s">
        <v>2186</v>
      </c>
      <c r="G171" s="137" t="s">
        <v>2188</v>
      </c>
      <c r="H171" s="137" t="s">
        <v>2188</v>
      </c>
      <c r="I171" s="137" t="s">
        <v>2189</v>
      </c>
      <c r="J171" s="137" t="s">
        <v>2047</v>
      </c>
      <c r="K171" s="137" t="s">
        <v>2048</v>
      </c>
      <c r="L171" s="139">
        <f t="shared" si="18"/>
        <v>43202863631774</v>
      </c>
      <c r="M171" s="140">
        <f t="shared" si="22"/>
        <v>72702938</v>
      </c>
      <c r="N171" s="141">
        <f t="shared" si="19"/>
        <v>3.2138978677534145E-3</v>
      </c>
      <c r="O171" s="141">
        <f t="shared" si="20"/>
        <v>0</v>
      </c>
      <c r="P171" s="141">
        <f t="shared" si="21"/>
        <v>0.99678610213224661</v>
      </c>
      <c r="Q171" s="140">
        <v>10</v>
      </c>
      <c r="R171" s="139">
        <v>138849591307</v>
      </c>
      <c r="S171" s="140">
        <v>0</v>
      </c>
      <c r="T171" s="139">
        <v>0</v>
      </c>
      <c r="U171" s="140">
        <v>72702928</v>
      </c>
      <c r="V171" s="139">
        <v>43064014040467</v>
      </c>
      <c r="W171" s="142"/>
    </row>
    <row r="172" spans="1:23" x14ac:dyDescent="0.3">
      <c r="A172" s="143"/>
      <c r="B172" s="137">
        <v>39</v>
      </c>
      <c r="C172" s="147" t="s">
        <v>2072</v>
      </c>
      <c r="D172" s="137" t="s">
        <v>2046</v>
      </c>
      <c r="E172" s="147">
        <v>1000317517</v>
      </c>
      <c r="F172" s="137" t="s">
        <v>2186</v>
      </c>
      <c r="G172" s="137" t="s">
        <v>2188</v>
      </c>
      <c r="H172" s="137" t="s">
        <v>2188</v>
      </c>
      <c r="I172" s="137" t="s">
        <v>2189</v>
      </c>
      <c r="J172" s="137" t="s">
        <v>2050</v>
      </c>
      <c r="K172" s="137" t="s">
        <v>2046</v>
      </c>
      <c r="L172" s="139">
        <f t="shared" si="18"/>
        <v>239068976187</v>
      </c>
      <c r="M172" s="140">
        <f t="shared" si="22"/>
        <v>191043</v>
      </c>
      <c r="N172" s="141">
        <f t="shared" si="19"/>
        <v>7.5254853235023442E-2</v>
      </c>
      <c r="O172" s="141">
        <f t="shared" si="20"/>
        <v>0.69518556470915871</v>
      </c>
      <c r="P172" s="141">
        <f t="shared" si="21"/>
        <v>0.22955958205581789</v>
      </c>
      <c r="Q172" s="140">
        <v>315</v>
      </c>
      <c r="R172" s="139">
        <v>17991100716</v>
      </c>
      <c r="S172" s="140">
        <v>44694</v>
      </c>
      <c r="T172" s="139">
        <v>166197301215</v>
      </c>
      <c r="U172" s="140">
        <v>146034</v>
      </c>
      <c r="V172" s="139">
        <v>54880574256</v>
      </c>
      <c r="W172" s="142"/>
    </row>
    <row r="173" spans="1:23" x14ac:dyDescent="0.3">
      <c r="A173" s="143"/>
      <c r="B173" s="137">
        <v>39</v>
      </c>
      <c r="C173" s="147" t="s">
        <v>2072</v>
      </c>
      <c r="D173" s="137" t="s">
        <v>2046</v>
      </c>
      <c r="E173" s="147">
        <v>1000317517</v>
      </c>
      <c r="F173" s="137" t="s">
        <v>2186</v>
      </c>
      <c r="G173" s="137" t="s">
        <v>2188</v>
      </c>
      <c r="H173" s="137" t="s">
        <v>2188</v>
      </c>
      <c r="I173" s="137" t="s">
        <v>2189</v>
      </c>
      <c r="J173" s="137" t="s">
        <v>2045</v>
      </c>
      <c r="K173" s="137" t="s">
        <v>2046</v>
      </c>
      <c r="L173" s="139">
        <f t="shared" si="18"/>
        <v>3302303789984</v>
      </c>
      <c r="M173" s="140">
        <f t="shared" si="22"/>
        <v>22818472</v>
      </c>
      <c r="N173" s="141">
        <f t="shared" si="19"/>
        <v>3.6340595966363669E-3</v>
      </c>
      <c r="O173" s="141">
        <f t="shared" si="20"/>
        <v>0.13301074664791157</v>
      </c>
      <c r="P173" s="141">
        <f t="shared" si="21"/>
        <v>0.86335519375545211</v>
      </c>
      <c r="Q173" s="140">
        <v>53</v>
      </c>
      <c r="R173" s="139">
        <v>12000768779</v>
      </c>
      <c r="S173" s="140">
        <v>30653</v>
      </c>
      <c r="T173" s="139">
        <v>439241892764</v>
      </c>
      <c r="U173" s="140">
        <v>22787766</v>
      </c>
      <c r="V173" s="139">
        <v>2851061128441</v>
      </c>
      <c r="W173" s="142"/>
    </row>
    <row r="174" spans="1:23" x14ac:dyDescent="0.3">
      <c r="A174" s="143"/>
      <c r="B174" s="137">
        <v>39</v>
      </c>
      <c r="C174" s="137" t="s">
        <v>2087</v>
      </c>
      <c r="D174" s="137" t="s">
        <v>2046</v>
      </c>
      <c r="E174" s="147">
        <v>1000317517</v>
      </c>
      <c r="F174" s="137" t="s">
        <v>2186</v>
      </c>
      <c r="G174" s="137" t="s">
        <v>2190</v>
      </c>
      <c r="H174" s="137" t="s">
        <v>2190</v>
      </c>
      <c r="I174" s="137" t="s">
        <v>2191</v>
      </c>
      <c r="J174" s="137" t="s">
        <v>2047</v>
      </c>
      <c r="K174" s="137" t="s">
        <v>2048</v>
      </c>
      <c r="L174" s="139">
        <f t="shared" si="18"/>
        <v>17910771024922</v>
      </c>
      <c r="M174" s="140">
        <f t="shared" si="22"/>
        <v>48083255</v>
      </c>
      <c r="N174" s="141">
        <f t="shared" si="19"/>
        <v>3.6775249789274132E-3</v>
      </c>
      <c r="O174" s="141">
        <f t="shared" si="20"/>
        <v>0</v>
      </c>
      <c r="P174" s="141">
        <f t="shared" si="21"/>
        <v>0.99632247502107263</v>
      </c>
      <c r="Q174" s="140">
        <v>75</v>
      </c>
      <c r="R174" s="139">
        <v>65867307836</v>
      </c>
      <c r="S174" s="140">
        <v>0</v>
      </c>
      <c r="T174" s="139">
        <v>0</v>
      </c>
      <c r="U174" s="140">
        <v>48083180</v>
      </c>
      <c r="V174" s="139">
        <v>17844903717086</v>
      </c>
      <c r="W174" s="142"/>
    </row>
    <row r="175" spans="1:23" x14ac:dyDescent="0.3">
      <c r="A175" s="143"/>
      <c r="B175" s="137">
        <v>39</v>
      </c>
      <c r="C175" s="137" t="s">
        <v>2087</v>
      </c>
      <c r="D175" s="137" t="s">
        <v>2046</v>
      </c>
      <c r="E175" s="147">
        <v>1000317517</v>
      </c>
      <c r="F175" s="137" t="s">
        <v>2186</v>
      </c>
      <c r="G175" s="137" t="s">
        <v>2190</v>
      </c>
      <c r="H175" s="137" t="s">
        <v>2190</v>
      </c>
      <c r="I175" s="137" t="s">
        <v>2191</v>
      </c>
      <c r="J175" s="137" t="s">
        <v>2050</v>
      </c>
      <c r="K175" s="137" t="s">
        <v>2046</v>
      </c>
      <c r="L175" s="139">
        <f t="shared" si="18"/>
        <v>159930093643</v>
      </c>
      <c r="M175" s="140">
        <f t="shared" si="22"/>
        <v>105043</v>
      </c>
      <c r="N175" s="141">
        <f t="shared" si="19"/>
        <v>0.17583759436653632</v>
      </c>
      <c r="O175" s="141">
        <f t="shared" si="20"/>
        <v>0.6250592434726272</v>
      </c>
      <c r="P175" s="141">
        <f t="shared" si="21"/>
        <v>0.19910316216083654</v>
      </c>
      <c r="Q175" s="140">
        <v>792</v>
      </c>
      <c r="R175" s="139">
        <v>28121722933</v>
      </c>
      <c r="S175" s="140">
        <v>34284</v>
      </c>
      <c r="T175" s="139">
        <v>99965783341</v>
      </c>
      <c r="U175" s="140">
        <v>69967</v>
      </c>
      <c r="V175" s="139">
        <v>31842587369</v>
      </c>
      <c r="W175" s="142"/>
    </row>
    <row r="176" spans="1:23" x14ac:dyDescent="0.3">
      <c r="A176" s="143"/>
      <c r="B176" s="137">
        <v>39</v>
      </c>
      <c r="C176" s="137" t="s">
        <v>2087</v>
      </c>
      <c r="D176" s="137" t="s">
        <v>2046</v>
      </c>
      <c r="E176" s="147">
        <v>1000317517</v>
      </c>
      <c r="F176" s="137" t="s">
        <v>2186</v>
      </c>
      <c r="G176" s="137" t="s">
        <v>2190</v>
      </c>
      <c r="H176" s="137" t="s">
        <v>2190</v>
      </c>
      <c r="I176" s="137" t="s">
        <v>2191</v>
      </c>
      <c r="J176" s="137" t="s">
        <v>2045</v>
      </c>
      <c r="K176" s="137" t="s">
        <v>2046</v>
      </c>
      <c r="L176" s="139">
        <f t="shared" si="18"/>
        <v>807216525876</v>
      </c>
      <c r="M176" s="140">
        <f t="shared" si="22"/>
        <v>10279740</v>
      </c>
      <c r="N176" s="141">
        <f t="shared" si="19"/>
        <v>3.979103274074209E-3</v>
      </c>
      <c r="O176" s="141">
        <f t="shared" si="20"/>
        <v>0.14302782855406437</v>
      </c>
      <c r="P176" s="141">
        <f t="shared" si="21"/>
        <v>0.85299306817186138</v>
      </c>
      <c r="Q176" s="140">
        <v>53</v>
      </c>
      <c r="R176" s="139">
        <v>3211997921</v>
      </c>
      <c r="S176" s="140">
        <v>13112</v>
      </c>
      <c r="T176" s="139">
        <v>115454426869</v>
      </c>
      <c r="U176" s="140">
        <v>10266575</v>
      </c>
      <c r="V176" s="139">
        <v>688550101086</v>
      </c>
      <c r="W176" s="142"/>
    </row>
    <row r="177" spans="1:23" x14ac:dyDescent="0.3">
      <c r="A177" s="143"/>
      <c r="B177" s="137">
        <v>41</v>
      </c>
      <c r="C177" s="147" t="s">
        <v>2072</v>
      </c>
      <c r="D177" s="137" t="s">
        <v>2048</v>
      </c>
      <c r="E177" s="147">
        <v>1000676800</v>
      </c>
      <c r="F177" s="137" t="s">
        <v>2192</v>
      </c>
      <c r="G177" s="137" t="s">
        <v>2193</v>
      </c>
      <c r="H177" s="137" t="s">
        <v>2193</v>
      </c>
      <c r="I177" s="137" t="s">
        <v>2097</v>
      </c>
      <c r="J177" s="137" t="s">
        <v>2047</v>
      </c>
      <c r="K177" s="137" t="s">
        <v>2048</v>
      </c>
      <c r="L177" s="139">
        <f t="shared" si="18"/>
        <v>48123375043774</v>
      </c>
      <c r="M177" s="140">
        <f t="shared" si="22"/>
        <v>1129875</v>
      </c>
      <c r="N177" s="141">
        <f t="shared" si="19"/>
        <v>0.19063927222145072</v>
      </c>
      <c r="O177" s="141">
        <f t="shared" si="20"/>
        <v>0</v>
      </c>
      <c r="P177" s="141">
        <f t="shared" si="21"/>
        <v>0.80936072777854928</v>
      </c>
      <c r="Q177" s="140">
        <v>19</v>
      </c>
      <c r="R177" s="139">
        <v>9174205195185</v>
      </c>
      <c r="S177" s="140">
        <v>0</v>
      </c>
      <c r="T177" s="139">
        <v>0</v>
      </c>
      <c r="U177" s="140">
        <v>1129856</v>
      </c>
      <c r="V177" s="139">
        <v>38949169848589</v>
      </c>
      <c r="W177" s="142"/>
    </row>
    <row r="178" spans="1:23" x14ac:dyDescent="0.3">
      <c r="A178" s="143"/>
      <c r="B178" s="137">
        <v>41</v>
      </c>
      <c r="C178" s="147" t="s">
        <v>2072</v>
      </c>
      <c r="D178" s="137" t="s">
        <v>2048</v>
      </c>
      <c r="E178" s="147">
        <v>1000676800</v>
      </c>
      <c r="F178" s="137" t="s">
        <v>2192</v>
      </c>
      <c r="G178" s="137" t="s">
        <v>2193</v>
      </c>
      <c r="H178" s="137" t="s">
        <v>2193</v>
      </c>
      <c r="I178" s="137" t="s">
        <v>2097</v>
      </c>
      <c r="J178" s="137" t="s">
        <v>2050</v>
      </c>
      <c r="K178" s="137" t="s">
        <v>2046</v>
      </c>
      <c r="L178" s="139">
        <f t="shared" si="18"/>
        <v>145093237061</v>
      </c>
      <c r="M178" s="140">
        <f t="shared" si="22"/>
        <v>33640</v>
      </c>
      <c r="N178" s="141">
        <f t="shared" si="19"/>
        <v>5.8540001464224417E-2</v>
      </c>
      <c r="O178" s="141">
        <f t="shared" si="20"/>
        <v>0.35097853238046034</v>
      </c>
      <c r="P178" s="141">
        <f t="shared" si="21"/>
        <v>0.59048146615531527</v>
      </c>
      <c r="Q178" s="140">
        <v>99</v>
      </c>
      <c r="R178" s="139">
        <v>8493758310</v>
      </c>
      <c r="S178" s="140">
        <v>3081</v>
      </c>
      <c r="T178" s="139">
        <v>50924611402</v>
      </c>
      <c r="U178" s="140">
        <v>30460</v>
      </c>
      <c r="V178" s="139">
        <v>85674867349</v>
      </c>
      <c r="W178" s="142"/>
    </row>
    <row r="179" spans="1:23" x14ac:dyDescent="0.3">
      <c r="A179" s="143"/>
      <c r="B179" s="137">
        <v>41</v>
      </c>
      <c r="C179" s="147" t="s">
        <v>2072</v>
      </c>
      <c r="D179" s="137" t="s">
        <v>2048</v>
      </c>
      <c r="E179" s="147">
        <v>1000676800</v>
      </c>
      <c r="F179" s="137" t="s">
        <v>2192</v>
      </c>
      <c r="G179" s="137" t="s">
        <v>2193</v>
      </c>
      <c r="H179" s="137" t="s">
        <v>2193</v>
      </c>
      <c r="I179" s="137" t="s">
        <v>2097</v>
      </c>
      <c r="J179" s="137" t="s">
        <v>2045</v>
      </c>
      <c r="K179" s="137" t="s">
        <v>2046</v>
      </c>
      <c r="L179" s="139">
        <f t="shared" si="18"/>
        <v>490189384348</v>
      </c>
      <c r="M179" s="140">
        <f t="shared" si="22"/>
        <v>1332</v>
      </c>
      <c r="N179" s="141">
        <f t="shared" si="19"/>
        <v>8.5940846426189811E-4</v>
      </c>
      <c r="O179" s="141">
        <f t="shared" si="20"/>
        <v>0.47313737883060353</v>
      </c>
      <c r="P179" s="141">
        <f t="shared" si="21"/>
        <v>0.5260032127051345</v>
      </c>
      <c r="Q179" s="140">
        <v>2</v>
      </c>
      <c r="R179" s="139">
        <v>421272906</v>
      </c>
      <c r="S179" s="140">
        <v>418</v>
      </c>
      <c r="T179" s="139">
        <v>231926920441</v>
      </c>
      <c r="U179" s="140">
        <v>912</v>
      </c>
      <c r="V179" s="139">
        <v>257841191001</v>
      </c>
      <c r="W179" s="142" t="s">
        <v>2194</v>
      </c>
    </row>
    <row r="180" spans="1:23" x14ac:dyDescent="0.3">
      <c r="A180" s="143"/>
      <c r="B180" s="137">
        <v>42</v>
      </c>
      <c r="C180" s="137" t="s">
        <v>2072</v>
      </c>
      <c r="D180" s="137" t="s">
        <v>2048</v>
      </c>
      <c r="E180" s="137">
        <v>1000772068</v>
      </c>
      <c r="F180" s="137" t="s">
        <v>2195</v>
      </c>
      <c r="G180" s="137" t="s">
        <v>2196</v>
      </c>
      <c r="H180" s="137" t="s">
        <v>2196</v>
      </c>
      <c r="I180" s="137" t="s">
        <v>2097</v>
      </c>
      <c r="J180" s="137" t="s">
        <v>2047</v>
      </c>
      <c r="K180" s="137" t="s">
        <v>2048</v>
      </c>
      <c r="L180" s="139">
        <f t="shared" si="18"/>
        <v>3904345954160</v>
      </c>
      <c r="M180" s="140">
        <f t="shared" si="22"/>
        <v>48611</v>
      </c>
      <c r="N180" s="141">
        <f t="shared" si="19"/>
        <v>4.763245921838688E-2</v>
      </c>
      <c r="O180" s="141">
        <f t="shared" si="20"/>
        <v>0</v>
      </c>
      <c r="P180" s="141">
        <f t="shared" si="21"/>
        <v>0.95236754078161312</v>
      </c>
      <c r="Q180" s="140">
        <v>7</v>
      </c>
      <c r="R180" s="139">
        <v>185973599436</v>
      </c>
      <c r="S180" s="140">
        <v>0</v>
      </c>
      <c r="T180" s="139">
        <v>0</v>
      </c>
      <c r="U180" s="140">
        <v>48604</v>
      </c>
      <c r="V180" s="139">
        <v>3718372354724</v>
      </c>
      <c r="W180" s="142"/>
    </row>
    <row r="181" spans="1:23" x14ac:dyDescent="0.3">
      <c r="A181" s="143"/>
      <c r="B181" s="137">
        <v>42</v>
      </c>
      <c r="C181" s="137" t="s">
        <v>2072</v>
      </c>
      <c r="D181" s="137" t="s">
        <v>2048</v>
      </c>
      <c r="E181" s="137">
        <v>1000772068</v>
      </c>
      <c r="F181" s="137" t="s">
        <v>2195</v>
      </c>
      <c r="G181" s="137" t="s">
        <v>2196</v>
      </c>
      <c r="H181" s="137" t="s">
        <v>2196</v>
      </c>
      <c r="I181" s="137" t="s">
        <v>2097</v>
      </c>
      <c r="J181" s="137" t="s">
        <v>2050</v>
      </c>
      <c r="K181" s="137" t="s">
        <v>2046</v>
      </c>
      <c r="L181" s="139">
        <f t="shared" si="18"/>
        <v>53546280569</v>
      </c>
      <c r="M181" s="140">
        <f t="shared" si="22"/>
        <v>11067</v>
      </c>
      <c r="N181" s="141">
        <f t="shared" si="19"/>
        <v>0.12978927529886114</v>
      </c>
      <c r="O181" s="141">
        <f t="shared" si="20"/>
        <v>0.27525575936142477</v>
      </c>
      <c r="P181" s="141">
        <f t="shared" si="21"/>
        <v>0.59495496533971404</v>
      </c>
      <c r="Q181" s="140">
        <v>4</v>
      </c>
      <c r="R181" s="139">
        <v>6949732950</v>
      </c>
      <c r="S181" s="140">
        <v>645</v>
      </c>
      <c r="T181" s="139">
        <v>14738922119</v>
      </c>
      <c r="U181" s="140">
        <v>10418</v>
      </c>
      <c r="V181" s="139">
        <v>31857625500</v>
      </c>
      <c r="W181" s="142"/>
    </row>
    <row r="182" spans="1:23" x14ac:dyDescent="0.3">
      <c r="A182" s="143"/>
      <c r="B182" s="137">
        <v>42</v>
      </c>
      <c r="C182" s="137" t="s">
        <v>2072</v>
      </c>
      <c r="D182" s="137" t="s">
        <v>2048</v>
      </c>
      <c r="E182" s="137">
        <v>1000772068</v>
      </c>
      <c r="F182" s="137" t="s">
        <v>2195</v>
      </c>
      <c r="G182" s="137" t="s">
        <v>2196</v>
      </c>
      <c r="H182" s="137" t="s">
        <v>2196</v>
      </c>
      <c r="I182" s="137" t="s">
        <v>2097</v>
      </c>
      <c r="J182" s="137" t="s">
        <v>2045</v>
      </c>
      <c r="K182" s="137" t="s">
        <v>2046</v>
      </c>
      <c r="L182" s="139">
        <f t="shared" si="18"/>
        <v>83648164253</v>
      </c>
      <c r="M182" s="140">
        <f t="shared" si="22"/>
        <v>308</v>
      </c>
      <c r="N182" s="141">
        <f t="shared" si="19"/>
        <v>0</v>
      </c>
      <c r="O182" s="141">
        <f t="shared" si="20"/>
        <v>0.1202118851716386</v>
      </c>
      <c r="P182" s="141">
        <f t="shared" si="21"/>
        <v>0.87978811482836139</v>
      </c>
      <c r="Q182" s="140">
        <v>0</v>
      </c>
      <c r="R182" s="139">
        <v>0</v>
      </c>
      <c r="S182" s="140">
        <v>10</v>
      </c>
      <c r="T182" s="139">
        <v>10055503516</v>
      </c>
      <c r="U182" s="140">
        <v>298</v>
      </c>
      <c r="V182" s="139">
        <v>73592660737</v>
      </c>
      <c r="W182" s="142"/>
    </row>
    <row r="183" spans="1:23" x14ac:dyDescent="0.3">
      <c r="A183" s="143"/>
      <c r="B183" s="137">
        <v>43</v>
      </c>
      <c r="C183" s="137" t="s">
        <v>2072</v>
      </c>
      <c r="D183" s="137" t="s">
        <v>2046</v>
      </c>
      <c r="E183" s="137">
        <v>1000314686</v>
      </c>
      <c r="F183" s="137" t="s">
        <v>2197</v>
      </c>
      <c r="G183" s="137" t="s">
        <v>2198</v>
      </c>
      <c r="H183" s="137" t="s">
        <v>2198</v>
      </c>
      <c r="I183" s="137" t="s">
        <v>2133</v>
      </c>
      <c r="J183" s="137" t="s">
        <v>2047</v>
      </c>
      <c r="K183" s="137" t="s">
        <v>2048</v>
      </c>
      <c r="L183" s="139">
        <f t="shared" si="18"/>
        <v>11041158387010</v>
      </c>
      <c r="M183" s="140">
        <f t="shared" si="22"/>
        <v>151539</v>
      </c>
      <c r="N183" s="141">
        <f t="shared" si="19"/>
        <v>7.4007314935483126E-5</v>
      </c>
      <c r="O183" s="141">
        <f t="shared" si="20"/>
        <v>0</v>
      </c>
      <c r="P183" s="141">
        <f t="shared" si="21"/>
        <v>0.99992599268506455</v>
      </c>
      <c r="Q183" s="140">
        <v>4</v>
      </c>
      <c r="R183" s="139">
        <v>817126486</v>
      </c>
      <c r="S183" s="140">
        <v>0</v>
      </c>
      <c r="T183" s="139">
        <v>0</v>
      </c>
      <c r="U183" s="140">
        <v>151535</v>
      </c>
      <c r="V183" s="139">
        <v>11040341260524</v>
      </c>
      <c r="W183" s="142"/>
    </row>
    <row r="184" spans="1:23" x14ac:dyDescent="0.3">
      <c r="A184" s="143"/>
      <c r="B184" s="137">
        <v>43</v>
      </c>
      <c r="C184" s="137" t="s">
        <v>2072</v>
      </c>
      <c r="D184" s="137" t="s">
        <v>2046</v>
      </c>
      <c r="E184" s="137">
        <v>1000314686</v>
      </c>
      <c r="F184" s="137" t="s">
        <v>2197</v>
      </c>
      <c r="G184" s="137" t="s">
        <v>2198</v>
      </c>
      <c r="H184" s="137" t="s">
        <v>2198</v>
      </c>
      <c r="I184" s="137" t="s">
        <v>2133</v>
      </c>
      <c r="J184" s="137" t="s">
        <v>2050</v>
      </c>
      <c r="K184" s="137" t="s">
        <v>2046</v>
      </c>
      <c r="L184" s="139">
        <f t="shared" si="18"/>
        <v>9206901064</v>
      </c>
      <c r="M184" s="140">
        <f t="shared" si="22"/>
        <v>2282</v>
      </c>
      <c r="N184" s="141">
        <f t="shared" si="19"/>
        <v>0</v>
      </c>
      <c r="O184" s="141">
        <f t="shared" si="20"/>
        <v>3.6925025004265651E-2</v>
      </c>
      <c r="P184" s="141">
        <f t="shared" si="21"/>
        <v>0.96307497499573436</v>
      </c>
      <c r="Q184" s="140">
        <v>0</v>
      </c>
      <c r="R184" s="139">
        <v>0</v>
      </c>
      <c r="S184" s="140">
        <v>205</v>
      </c>
      <c r="T184" s="139">
        <v>339965052</v>
      </c>
      <c r="U184" s="140">
        <v>2077</v>
      </c>
      <c r="V184" s="139">
        <v>8866936012</v>
      </c>
      <c r="W184" s="142"/>
    </row>
    <row r="185" spans="1:23" x14ac:dyDescent="0.3">
      <c r="A185" s="143"/>
      <c r="B185" s="137">
        <v>43</v>
      </c>
      <c r="C185" s="137" t="s">
        <v>2072</v>
      </c>
      <c r="D185" s="137" t="s">
        <v>2046</v>
      </c>
      <c r="E185" s="137">
        <v>1000314686</v>
      </c>
      <c r="F185" s="137" t="s">
        <v>2197</v>
      </c>
      <c r="G185" s="137" t="s">
        <v>2198</v>
      </c>
      <c r="H185" s="137" t="s">
        <v>2198</v>
      </c>
      <c r="I185" s="137" t="s">
        <v>2133</v>
      </c>
      <c r="J185" s="137" t="s">
        <v>2045</v>
      </c>
      <c r="K185" s="137" t="s">
        <v>2046</v>
      </c>
      <c r="L185" s="139">
        <f t="shared" si="18"/>
        <v>596905902178</v>
      </c>
      <c r="M185" s="140">
        <f t="shared" si="22"/>
        <v>1193</v>
      </c>
      <c r="N185" s="141">
        <f t="shared" si="19"/>
        <v>3.8946595678103222E-3</v>
      </c>
      <c r="O185" s="141">
        <f t="shared" si="20"/>
        <v>2.3396082268651277E-2</v>
      </c>
      <c r="P185" s="141">
        <f t="shared" si="21"/>
        <v>0.97270925816353837</v>
      </c>
      <c r="Q185" s="140">
        <v>1</v>
      </c>
      <c r="R185" s="139">
        <v>2324745283</v>
      </c>
      <c r="S185" s="140">
        <v>7</v>
      </c>
      <c r="T185" s="139">
        <v>13965259594</v>
      </c>
      <c r="U185" s="140">
        <v>1185</v>
      </c>
      <c r="V185" s="139">
        <v>580615897301</v>
      </c>
      <c r="W185" s="142"/>
    </row>
    <row r="186" spans="1:23" x14ac:dyDescent="0.3">
      <c r="A186" s="143"/>
      <c r="B186" s="137">
        <v>43</v>
      </c>
      <c r="C186" s="147" t="s">
        <v>2087</v>
      </c>
      <c r="D186" s="137" t="s">
        <v>2046</v>
      </c>
      <c r="E186" s="137">
        <v>1000314686</v>
      </c>
      <c r="F186" s="137" t="s">
        <v>2197</v>
      </c>
      <c r="G186" s="137" t="s">
        <v>2199</v>
      </c>
      <c r="H186" s="137" t="s">
        <v>2199</v>
      </c>
      <c r="I186" s="137" t="s">
        <v>2089</v>
      </c>
      <c r="J186" s="137" t="s">
        <v>2047</v>
      </c>
      <c r="K186" s="137" t="s">
        <v>2048</v>
      </c>
      <c r="L186" s="139">
        <f t="shared" si="18"/>
        <v>4097348557504</v>
      </c>
      <c r="M186" s="140">
        <f t="shared" si="22"/>
        <v>52211</v>
      </c>
      <c r="N186" s="141">
        <f t="shared" si="19"/>
        <v>1.6488424541590649E-2</v>
      </c>
      <c r="O186" s="141">
        <f t="shared" si="20"/>
        <v>0</v>
      </c>
      <c r="P186" s="141">
        <f t="shared" si="21"/>
        <v>0.98351157545840939</v>
      </c>
      <c r="Q186" s="140">
        <v>11</v>
      </c>
      <c r="R186" s="139">
        <v>67558822511</v>
      </c>
      <c r="S186" s="140">
        <v>0</v>
      </c>
      <c r="T186" s="139">
        <v>0</v>
      </c>
      <c r="U186" s="140">
        <v>52200</v>
      </c>
      <c r="V186" s="139">
        <v>4029789734993</v>
      </c>
      <c r="W186" s="142"/>
    </row>
    <row r="187" spans="1:23" x14ac:dyDescent="0.3">
      <c r="A187" s="143"/>
      <c r="B187" s="137">
        <v>43</v>
      </c>
      <c r="C187" s="147" t="s">
        <v>2087</v>
      </c>
      <c r="D187" s="137" t="s">
        <v>2046</v>
      </c>
      <c r="E187" s="137">
        <v>1000314686</v>
      </c>
      <c r="F187" s="137" t="s">
        <v>2197</v>
      </c>
      <c r="G187" s="137" t="s">
        <v>2199</v>
      </c>
      <c r="H187" s="137" t="s">
        <v>2199</v>
      </c>
      <c r="I187" s="137" t="s">
        <v>2089</v>
      </c>
      <c r="J187" s="137" t="s">
        <v>2050</v>
      </c>
      <c r="K187" s="137" t="s">
        <v>2046</v>
      </c>
      <c r="L187" s="139">
        <f t="shared" si="18"/>
        <v>2084285846</v>
      </c>
      <c r="M187" s="140">
        <f t="shared" si="22"/>
        <v>735</v>
      </c>
      <c r="N187" s="141">
        <f t="shared" si="19"/>
        <v>0</v>
      </c>
      <c r="O187" s="141">
        <f t="shared" si="20"/>
        <v>3.9203131449946048E-2</v>
      </c>
      <c r="P187" s="141">
        <f t="shared" si="21"/>
        <v>0.96079686855005397</v>
      </c>
      <c r="Q187" s="140">
        <v>0</v>
      </c>
      <c r="R187" s="139">
        <v>0</v>
      </c>
      <c r="S187" s="140">
        <v>50</v>
      </c>
      <c r="T187" s="139">
        <v>81710532</v>
      </c>
      <c r="U187" s="140">
        <v>685</v>
      </c>
      <c r="V187" s="139">
        <v>2002575314</v>
      </c>
      <c r="W187" s="142"/>
    </row>
    <row r="188" spans="1:23" x14ac:dyDescent="0.3">
      <c r="A188" s="143"/>
      <c r="B188" s="137">
        <v>43</v>
      </c>
      <c r="C188" s="147" t="s">
        <v>2087</v>
      </c>
      <c r="D188" s="137" t="s">
        <v>2046</v>
      </c>
      <c r="E188" s="137">
        <v>1000314686</v>
      </c>
      <c r="F188" s="137" t="s">
        <v>2197</v>
      </c>
      <c r="G188" s="137" t="s">
        <v>2199</v>
      </c>
      <c r="H188" s="137" t="s">
        <v>2199</v>
      </c>
      <c r="I188" s="137" t="s">
        <v>2089</v>
      </c>
      <c r="J188" s="137" t="s">
        <v>2045</v>
      </c>
      <c r="K188" s="137" t="s">
        <v>2046</v>
      </c>
      <c r="L188" s="139">
        <f t="shared" si="18"/>
        <v>171593177386</v>
      </c>
      <c r="M188" s="140">
        <f t="shared" ref="M188:M219" si="23">Q188+S188+U188</f>
        <v>479</v>
      </c>
      <c r="N188" s="141">
        <f t="shared" si="19"/>
        <v>0</v>
      </c>
      <c r="O188" s="141">
        <f t="shared" si="20"/>
        <v>0.16740993431446149</v>
      </c>
      <c r="P188" s="141">
        <f t="shared" si="21"/>
        <v>0.83259006568553851</v>
      </c>
      <c r="Q188" s="140">
        <v>0</v>
      </c>
      <c r="R188" s="139">
        <v>0</v>
      </c>
      <c r="S188" s="140">
        <v>51</v>
      </c>
      <c r="T188" s="139">
        <v>28726402555</v>
      </c>
      <c r="U188" s="140">
        <v>428</v>
      </c>
      <c r="V188" s="139">
        <v>142866774831</v>
      </c>
      <c r="W188" s="142"/>
    </row>
    <row r="189" spans="1:23" x14ac:dyDescent="0.3">
      <c r="A189" s="143"/>
      <c r="B189" s="137">
        <v>44</v>
      </c>
      <c r="C189" s="147" t="s">
        <v>2072</v>
      </c>
      <c r="D189" s="137" t="s">
        <v>2048</v>
      </c>
      <c r="E189" s="147">
        <v>1000682277</v>
      </c>
      <c r="F189" s="137" t="s">
        <v>2200</v>
      </c>
      <c r="G189" s="137" t="s">
        <v>2201</v>
      </c>
      <c r="H189" s="137" t="s">
        <v>2201</v>
      </c>
      <c r="I189" s="137" t="s">
        <v>2097</v>
      </c>
      <c r="J189" s="137" t="s">
        <v>2047</v>
      </c>
      <c r="K189" s="137" t="s">
        <v>2048</v>
      </c>
      <c r="L189" s="139">
        <f t="shared" si="18"/>
        <v>14988710464140</v>
      </c>
      <c r="M189" s="140">
        <f t="shared" si="23"/>
        <v>193877</v>
      </c>
      <c r="N189" s="141">
        <f t="shared" si="19"/>
        <v>5.3214920467260146E-2</v>
      </c>
      <c r="O189" s="141">
        <f t="shared" si="20"/>
        <v>0</v>
      </c>
      <c r="P189" s="141">
        <f t="shared" si="21"/>
        <v>0.94678507953273983</v>
      </c>
      <c r="Q189" s="140">
        <v>5</v>
      </c>
      <c r="R189" s="139">
        <v>797623035256</v>
      </c>
      <c r="S189" s="140">
        <v>0</v>
      </c>
      <c r="T189" s="139">
        <v>0</v>
      </c>
      <c r="U189" s="140">
        <v>193872</v>
      </c>
      <c r="V189" s="139">
        <v>14191087428884</v>
      </c>
      <c r="W189" s="142"/>
    </row>
    <row r="190" spans="1:23" x14ac:dyDescent="0.3">
      <c r="A190" s="143"/>
      <c r="B190" s="137">
        <v>44</v>
      </c>
      <c r="C190" s="147" t="s">
        <v>2072</v>
      </c>
      <c r="D190" s="137" t="s">
        <v>2048</v>
      </c>
      <c r="E190" s="147">
        <v>1000682277</v>
      </c>
      <c r="F190" s="137" t="s">
        <v>2200</v>
      </c>
      <c r="G190" s="137" t="s">
        <v>2201</v>
      </c>
      <c r="H190" s="137" t="s">
        <v>2201</v>
      </c>
      <c r="I190" s="137" t="s">
        <v>2097</v>
      </c>
      <c r="J190" s="137" t="s">
        <v>2050</v>
      </c>
      <c r="K190" s="137" t="s">
        <v>2046</v>
      </c>
      <c r="L190" s="139">
        <f t="shared" si="18"/>
        <v>171985057346</v>
      </c>
      <c r="M190" s="140">
        <f t="shared" si="23"/>
        <v>22303</v>
      </c>
      <c r="N190" s="141">
        <f t="shared" si="19"/>
        <v>5.8243432043330213E-4</v>
      </c>
      <c r="O190" s="141">
        <f t="shared" si="20"/>
        <v>0.18600305634484829</v>
      </c>
      <c r="P190" s="141">
        <f t="shared" si="21"/>
        <v>0.81341450933471837</v>
      </c>
      <c r="Q190" s="140">
        <v>1</v>
      </c>
      <c r="R190" s="139">
        <v>100170000</v>
      </c>
      <c r="S190" s="140">
        <v>1221</v>
      </c>
      <c r="T190" s="139">
        <v>31989746312</v>
      </c>
      <c r="U190" s="140">
        <v>21081</v>
      </c>
      <c r="V190" s="139">
        <v>139895141034</v>
      </c>
      <c r="W190" s="142"/>
    </row>
    <row r="191" spans="1:23" x14ac:dyDescent="0.3">
      <c r="A191" s="143"/>
      <c r="B191" s="137">
        <v>44</v>
      </c>
      <c r="C191" s="147" t="s">
        <v>2072</v>
      </c>
      <c r="D191" s="137" t="s">
        <v>2048</v>
      </c>
      <c r="E191" s="147">
        <v>1000682277</v>
      </c>
      <c r="F191" s="137" t="s">
        <v>2200</v>
      </c>
      <c r="G191" s="137" t="s">
        <v>2201</v>
      </c>
      <c r="H191" s="137" t="s">
        <v>2201</v>
      </c>
      <c r="I191" s="137" t="s">
        <v>2097</v>
      </c>
      <c r="J191" s="137" t="s">
        <v>2045</v>
      </c>
      <c r="K191" s="137" t="s">
        <v>2046</v>
      </c>
      <c r="L191" s="139">
        <f t="shared" si="18"/>
        <v>379657347432</v>
      </c>
      <c r="M191" s="140">
        <f t="shared" si="23"/>
        <v>7057</v>
      </c>
      <c r="N191" s="141">
        <f t="shared" si="19"/>
        <v>2.8252510303178502E-3</v>
      </c>
      <c r="O191" s="141">
        <f t="shared" si="20"/>
        <v>4.5520848040733405E-3</v>
      </c>
      <c r="P191" s="141">
        <f t="shared" si="21"/>
        <v>0.99262266416560885</v>
      </c>
      <c r="Q191" s="140">
        <v>1</v>
      </c>
      <c r="R191" s="139">
        <v>1072627312</v>
      </c>
      <c r="S191" s="140">
        <v>19</v>
      </c>
      <c r="T191" s="139">
        <v>1728232442</v>
      </c>
      <c r="U191" s="140">
        <v>7037</v>
      </c>
      <c r="V191" s="139">
        <v>376856487678</v>
      </c>
      <c r="W191" s="142"/>
    </row>
    <row r="192" spans="1:23" x14ac:dyDescent="0.3">
      <c r="A192" s="143"/>
      <c r="B192" s="137">
        <v>45</v>
      </c>
      <c r="C192" s="147" t="s">
        <v>2072</v>
      </c>
      <c r="D192" s="137" t="s">
        <v>2046</v>
      </c>
      <c r="E192" s="147">
        <v>1000315676</v>
      </c>
      <c r="F192" s="137" t="s">
        <v>2202</v>
      </c>
      <c r="G192" s="137" t="s">
        <v>2203</v>
      </c>
      <c r="H192" s="137" t="s">
        <v>2203</v>
      </c>
      <c r="I192" s="137" t="s">
        <v>2097</v>
      </c>
      <c r="J192" s="137" t="s">
        <v>2047</v>
      </c>
      <c r="K192" s="137" t="s">
        <v>2048</v>
      </c>
      <c r="L192" s="139">
        <f t="shared" si="18"/>
        <v>11846037643284</v>
      </c>
      <c r="M192" s="140">
        <f t="shared" si="23"/>
        <v>3695057</v>
      </c>
      <c r="N192" s="141">
        <f t="shared" si="19"/>
        <v>9.5107677792898391E-3</v>
      </c>
      <c r="O192" s="141">
        <f t="shared" si="20"/>
        <v>0</v>
      </c>
      <c r="P192" s="141">
        <f t="shared" si="21"/>
        <v>0.99048923222071017</v>
      </c>
      <c r="Q192" s="140">
        <v>10</v>
      </c>
      <c r="R192" s="139">
        <v>112664913130</v>
      </c>
      <c r="S192" s="140">
        <v>0</v>
      </c>
      <c r="T192" s="139">
        <v>0</v>
      </c>
      <c r="U192" s="140">
        <v>3695047</v>
      </c>
      <c r="V192" s="139">
        <v>11733372730154</v>
      </c>
      <c r="W192" s="142"/>
    </row>
    <row r="193" spans="1:23" x14ac:dyDescent="0.3">
      <c r="A193" s="143"/>
      <c r="B193" s="137">
        <v>45</v>
      </c>
      <c r="C193" s="147" t="s">
        <v>2072</v>
      </c>
      <c r="D193" s="137" t="s">
        <v>2046</v>
      </c>
      <c r="E193" s="147">
        <v>1000315676</v>
      </c>
      <c r="F193" s="137" t="s">
        <v>2202</v>
      </c>
      <c r="G193" s="137" t="s">
        <v>2203</v>
      </c>
      <c r="H193" s="137" t="s">
        <v>2203</v>
      </c>
      <c r="I193" s="137" t="s">
        <v>2097</v>
      </c>
      <c r="J193" s="137" t="s">
        <v>2050</v>
      </c>
      <c r="K193" s="137" t="s">
        <v>2046</v>
      </c>
      <c r="L193" s="139">
        <f t="shared" si="18"/>
        <v>60048310352</v>
      </c>
      <c r="M193" s="140">
        <f t="shared" si="23"/>
        <v>76868</v>
      </c>
      <c r="N193" s="141">
        <f t="shared" si="19"/>
        <v>6.6973912445249209E-2</v>
      </c>
      <c r="O193" s="141">
        <f t="shared" si="20"/>
        <v>0.42715286904231259</v>
      </c>
      <c r="P193" s="141">
        <f t="shared" si="21"/>
        <v>0.50587321851243816</v>
      </c>
      <c r="Q193" s="140">
        <v>69</v>
      </c>
      <c r="R193" s="139">
        <v>4021670280</v>
      </c>
      <c r="S193" s="140">
        <v>5218</v>
      </c>
      <c r="T193" s="139">
        <v>25649808048</v>
      </c>
      <c r="U193" s="140">
        <v>71581</v>
      </c>
      <c r="V193" s="139">
        <v>30376832024</v>
      </c>
      <c r="W193" s="142"/>
    </row>
    <row r="194" spans="1:23" x14ac:dyDescent="0.3">
      <c r="A194" s="143"/>
      <c r="B194" s="137">
        <v>45</v>
      </c>
      <c r="C194" s="147" t="s">
        <v>2072</v>
      </c>
      <c r="D194" s="137" t="s">
        <v>2046</v>
      </c>
      <c r="E194" s="147">
        <v>1000315676</v>
      </c>
      <c r="F194" s="137" t="s">
        <v>2202</v>
      </c>
      <c r="G194" s="137" t="s">
        <v>2203</v>
      </c>
      <c r="H194" s="137" t="s">
        <v>2203</v>
      </c>
      <c r="I194" s="137" t="s">
        <v>2097</v>
      </c>
      <c r="J194" s="137" t="s">
        <v>2045</v>
      </c>
      <c r="K194" s="137" t="s">
        <v>2046</v>
      </c>
      <c r="L194" s="139">
        <f t="shared" si="18"/>
        <v>332153634964</v>
      </c>
      <c r="M194" s="140">
        <f t="shared" si="23"/>
        <v>33791</v>
      </c>
      <c r="N194" s="141">
        <f t="shared" si="19"/>
        <v>1.4526472848996378E-3</v>
      </c>
      <c r="O194" s="141">
        <f t="shared" si="20"/>
        <v>0.12901250989664603</v>
      </c>
      <c r="P194" s="141">
        <f t="shared" si="21"/>
        <v>0.86953484281845439</v>
      </c>
      <c r="Q194" s="140">
        <v>2</v>
      </c>
      <c r="R194" s="139">
        <v>482502076</v>
      </c>
      <c r="S194" s="140">
        <v>942</v>
      </c>
      <c r="T194" s="139">
        <v>42851974118</v>
      </c>
      <c r="U194" s="140">
        <v>32847</v>
      </c>
      <c r="V194" s="139">
        <v>288819158770</v>
      </c>
      <c r="W194" s="142"/>
    </row>
    <row r="195" spans="1:23" x14ac:dyDescent="0.3">
      <c r="A195" s="143"/>
      <c r="B195" s="137">
        <v>45</v>
      </c>
      <c r="C195" s="147" t="s">
        <v>2087</v>
      </c>
      <c r="D195" s="137" t="s">
        <v>2046</v>
      </c>
      <c r="E195" s="147">
        <v>1000315676</v>
      </c>
      <c r="F195" s="137" t="s">
        <v>2202</v>
      </c>
      <c r="G195" s="137" t="s">
        <v>2204</v>
      </c>
      <c r="H195" s="137" t="s">
        <v>2204</v>
      </c>
      <c r="I195" s="137" t="s">
        <v>2159</v>
      </c>
      <c r="J195" s="137" t="s">
        <v>2047</v>
      </c>
      <c r="K195" s="137" t="s">
        <v>2048</v>
      </c>
      <c r="L195" s="139">
        <f t="shared" si="18"/>
        <v>15261674363678</v>
      </c>
      <c r="M195" s="140">
        <f t="shared" si="23"/>
        <v>3782208</v>
      </c>
      <c r="N195" s="141">
        <f t="shared" si="19"/>
        <v>3.3697249378217074E-2</v>
      </c>
      <c r="O195" s="141">
        <f t="shared" si="20"/>
        <v>0</v>
      </c>
      <c r="P195" s="141">
        <f t="shared" si="21"/>
        <v>0.96630275062178295</v>
      </c>
      <c r="Q195" s="140">
        <v>52</v>
      </c>
      <c r="R195" s="139">
        <v>514276446962</v>
      </c>
      <c r="S195" s="140">
        <v>0</v>
      </c>
      <c r="T195" s="139">
        <v>0</v>
      </c>
      <c r="U195" s="140">
        <v>3782156</v>
      </c>
      <c r="V195" s="139">
        <v>14747397916716</v>
      </c>
      <c r="W195" s="142"/>
    </row>
    <row r="196" spans="1:23" x14ac:dyDescent="0.3">
      <c r="A196" s="143"/>
      <c r="B196" s="137">
        <v>45</v>
      </c>
      <c r="C196" s="147" t="s">
        <v>2087</v>
      </c>
      <c r="D196" s="137" t="s">
        <v>2046</v>
      </c>
      <c r="E196" s="147">
        <v>1000315676</v>
      </c>
      <c r="F196" s="137" t="s">
        <v>2202</v>
      </c>
      <c r="G196" s="137" t="s">
        <v>2204</v>
      </c>
      <c r="H196" s="137" t="s">
        <v>2204</v>
      </c>
      <c r="I196" s="137" t="s">
        <v>2159</v>
      </c>
      <c r="J196" s="137" t="s">
        <v>2050</v>
      </c>
      <c r="K196" s="137" t="s">
        <v>2046</v>
      </c>
      <c r="L196" s="139">
        <f t="shared" si="18"/>
        <v>69859461191</v>
      </c>
      <c r="M196" s="140">
        <f t="shared" si="23"/>
        <v>89323</v>
      </c>
      <c r="N196" s="141">
        <f t="shared" si="19"/>
        <v>1.9196460681731799E-3</v>
      </c>
      <c r="O196" s="141">
        <f t="shared" si="20"/>
        <v>0.32344968132836166</v>
      </c>
      <c r="P196" s="141">
        <f t="shared" si="21"/>
        <v>0.6746306726034651</v>
      </c>
      <c r="Q196" s="140">
        <v>7</v>
      </c>
      <c r="R196" s="139">
        <v>134105440</v>
      </c>
      <c r="S196" s="140">
        <v>2817</v>
      </c>
      <c r="T196" s="139">
        <v>22596020460</v>
      </c>
      <c r="U196" s="140">
        <v>86499</v>
      </c>
      <c r="V196" s="139">
        <v>47129335291</v>
      </c>
      <c r="W196" s="142"/>
    </row>
    <row r="197" spans="1:23" x14ac:dyDescent="0.3">
      <c r="A197" s="143"/>
      <c r="B197" s="137">
        <v>45</v>
      </c>
      <c r="C197" s="147" t="s">
        <v>2087</v>
      </c>
      <c r="D197" s="137" t="s">
        <v>2046</v>
      </c>
      <c r="E197" s="147">
        <v>1000315676</v>
      </c>
      <c r="F197" s="137" t="s">
        <v>2202</v>
      </c>
      <c r="G197" s="137" t="s">
        <v>2204</v>
      </c>
      <c r="H197" s="137" t="s">
        <v>2204</v>
      </c>
      <c r="I197" s="137" t="s">
        <v>2159</v>
      </c>
      <c r="J197" s="137" t="s">
        <v>2045</v>
      </c>
      <c r="K197" s="137" t="s">
        <v>2046</v>
      </c>
      <c r="L197" s="139">
        <f t="shared" ref="L197:L227" si="24">R197+T197+V197</f>
        <v>327704437095</v>
      </c>
      <c r="M197" s="140">
        <f t="shared" si="23"/>
        <v>35312</v>
      </c>
      <c r="N197" s="141">
        <f t="shared" ref="N197:N250" si="25">R197/$L197</f>
        <v>0</v>
      </c>
      <c r="O197" s="141">
        <f t="shared" ref="O197:O250" si="26">T197/$L197</f>
        <v>7.8099264571692598E-2</v>
      </c>
      <c r="P197" s="141">
        <f t="shared" ref="P197:P250" si="27">V197/$L197</f>
        <v>0.92190073542830742</v>
      </c>
      <c r="Q197" s="140">
        <v>0</v>
      </c>
      <c r="R197" s="139">
        <v>0</v>
      </c>
      <c r="S197" s="140">
        <v>304</v>
      </c>
      <c r="T197" s="139">
        <v>25593475534</v>
      </c>
      <c r="U197" s="140">
        <v>35008</v>
      </c>
      <c r="V197" s="139">
        <v>302110961561</v>
      </c>
      <c r="W197" s="142"/>
    </row>
    <row r="198" spans="1:23" x14ac:dyDescent="0.3">
      <c r="A198" s="143"/>
      <c r="B198" s="137">
        <v>46</v>
      </c>
      <c r="C198" s="137" t="s">
        <v>2072</v>
      </c>
      <c r="D198" s="137" t="s">
        <v>2046</v>
      </c>
      <c r="E198" s="137">
        <v>1000325286</v>
      </c>
      <c r="F198" s="137" t="s">
        <v>2205</v>
      </c>
      <c r="G198" s="137" t="s">
        <v>2206</v>
      </c>
      <c r="H198" s="137" t="s">
        <v>2206</v>
      </c>
      <c r="I198" s="137" t="s">
        <v>2097</v>
      </c>
      <c r="J198" s="137" t="s">
        <v>2047</v>
      </c>
      <c r="K198" s="137" t="s">
        <v>2048</v>
      </c>
      <c r="L198" s="139">
        <f t="shared" si="24"/>
        <v>3324759996108603</v>
      </c>
      <c r="M198" s="140">
        <f t="shared" si="23"/>
        <v>15441667</v>
      </c>
      <c r="N198" s="141">
        <f t="shared" si="25"/>
        <v>7.2596094729484304E-4</v>
      </c>
      <c r="O198" s="141">
        <f t="shared" si="26"/>
        <v>0</v>
      </c>
      <c r="P198" s="141">
        <f t="shared" si="27"/>
        <v>0.99927403905270518</v>
      </c>
      <c r="Q198" s="140">
        <v>34</v>
      </c>
      <c r="R198" s="139">
        <v>2413645916303</v>
      </c>
      <c r="S198" s="140">
        <v>0</v>
      </c>
      <c r="T198" s="139">
        <v>0</v>
      </c>
      <c r="U198" s="140">
        <v>15441633</v>
      </c>
      <c r="V198" s="139">
        <v>3322346350192300</v>
      </c>
      <c r="W198" s="142"/>
    </row>
    <row r="199" spans="1:23" x14ac:dyDescent="0.3">
      <c r="A199" s="143"/>
      <c r="B199" s="137">
        <v>46</v>
      </c>
      <c r="C199" s="137" t="s">
        <v>2072</v>
      </c>
      <c r="D199" s="137" t="s">
        <v>2046</v>
      </c>
      <c r="E199" s="137">
        <v>1000325286</v>
      </c>
      <c r="F199" s="137" t="s">
        <v>2205</v>
      </c>
      <c r="G199" s="137" t="s">
        <v>2206</v>
      </c>
      <c r="H199" s="137" t="s">
        <v>2206</v>
      </c>
      <c r="I199" s="137" t="s">
        <v>2097</v>
      </c>
      <c r="J199" s="137" t="s">
        <v>2050</v>
      </c>
      <c r="K199" s="137" t="s">
        <v>2046</v>
      </c>
      <c r="L199" s="139">
        <f t="shared" si="24"/>
        <v>10043690682513</v>
      </c>
      <c r="M199" s="140">
        <f t="shared" si="23"/>
        <v>1601550</v>
      </c>
      <c r="N199" s="141">
        <f t="shared" si="25"/>
        <v>1.227764862339889E-2</v>
      </c>
      <c r="O199" s="141">
        <f t="shared" si="26"/>
        <v>0.60834305152070189</v>
      </c>
      <c r="P199" s="141">
        <f t="shared" si="27"/>
        <v>0.37937929985589919</v>
      </c>
      <c r="Q199" s="140">
        <v>351</v>
      </c>
      <c r="R199" s="139">
        <v>123312905082</v>
      </c>
      <c r="S199" s="140">
        <v>14163</v>
      </c>
      <c r="T199" s="139">
        <v>6110009438330</v>
      </c>
      <c r="U199" s="140">
        <v>1587036</v>
      </c>
      <c r="V199" s="139">
        <v>3810368339101</v>
      </c>
      <c r="W199" s="142"/>
    </row>
    <row r="200" spans="1:23" x14ac:dyDescent="0.3">
      <c r="A200" s="143"/>
      <c r="B200" s="137">
        <v>46</v>
      </c>
      <c r="C200" s="137" t="s">
        <v>2072</v>
      </c>
      <c r="D200" s="137" t="s">
        <v>2046</v>
      </c>
      <c r="E200" s="137">
        <v>1000325286</v>
      </c>
      <c r="F200" s="137" t="s">
        <v>2205</v>
      </c>
      <c r="G200" s="137" t="s">
        <v>2206</v>
      </c>
      <c r="H200" s="137" t="s">
        <v>2206</v>
      </c>
      <c r="I200" s="137" t="s">
        <v>2097</v>
      </c>
      <c r="J200" s="137" t="s">
        <v>2045</v>
      </c>
      <c r="K200" s="137" t="s">
        <v>2046</v>
      </c>
      <c r="L200" s="139">
        <f t="shared" si="24"/>
        <v>52755576151851</v>
      </c>
      <c r="M200" s="140">
        <f t="shared" si="23"/>
        <v>2267295</v>
      </c>
      <c r="N200" s="141">
        <f t="shared" si="25"/>
        <v>2.2155212226584518E-3</v>
      </c>
      <c r="O200" s="141">
        <f t="shared" si="26"/>
        <v>0.14007554204534492</v>
      </c>
      <c r="P200" s="141">
        <f t="shared" si="27"/>
        <v>0.85770893673199666</v>
      </c>
      <c r="Q200" s="140">
        <v>161</v>
      </c>
      <c r="R200" s="139">
        <v>116881098578</v>
      </c>
      <c r="S200" s="140">
        <v>5813</v>
      </c>
      <c r="T200" s="139">
        <v>7389765925385</v>
      </c>
      <c r="U200" s="140">
        <v>2261321</v>
      </c>
      <c r="V200" s="139">
        <v>45248929127888</v>
      </c>
      <c r="W200" s="142"/>
    </row>
    <row r="201" spans="1:23" x14ac:dyDescent="0.3">
      <c r="A201" s="143"/>
      <c r="B201" s="137">
        <v>46</v>
      </c>
      <c r="C201" s="147" t="s">
        <v>2087</v>
      </c>
      <c r="D201" s="137" t="s">
        <v>2046</v>
      </c>
      <c r="E201" s="137">
        <v>1000325286</v>
      </c>
      <c r="F201" s="137" t="s">
        <v>2205</v>
      </c>
      <c r="G201" s="137" t="s">
        <v>2207</v>
      </c>
      <c r="H201" s="137" t="s">
        <v>2207</v>
      </c>
      <c r="I201" s="137" t="s">
        <v>2159</v>
      </c>
      <c r="J201" s="137" t="s">
        <v>2047</v>
      </c>
      <c r="K201" s="137" t="s">
        <v>2048</v>
      </c>
      <c r="L201" s="139">
        <f t="shared" si="24"/>
        <v>3465052765703354</v>
      </c>
      <c r="M201" s="140">
        <f t="shared" si="23"/>
        <v>15106175</v>
      </c>
      <c r="N201" s="141">
        <f t="shared" si="25"/>
        <v>6.3338878063806435E-3</v>
      </c>
      <c r="O201" s="141">
        <f t="shared" si="26"/>
        <v>0</v>
      </c>
      <c r="P201" s="141">
        <f t="shared" si="27"/>
        <v>0.99366611219361933</v>
      </c>
      <c r="Q201" s="140">
        <v>273</v>
      </c>
      <c r="R201" s="139">
        <v>21947255461154</v>
      </c>
      <c r="S201" s="140">
        <v>0</v>
      </c>
      <c r="T201" s="139">
        <v>0</v>
      </c>
      <c r="U201" s="140">
        <v>15105902</v>
      </c>
      <c r="V201" s="139">
        <v>3443105510242200</v>
      </c>
      <c r="W201" s="142"/>
    </row>
    <row r="202" spans="1:23" x14ac:dyDescent="0.3">
      <c r="A202" s="143"/>
      <c r="B202" s="137">
        <v>46</v>
      </c>
      <c r="C202" s="147" t="s">
        <v>2087</v>
      </c>
      <c r="D202" s="137" t="s">
        <v>2046</v>
      </c>
      <c r="E202" s="137">
        <v>1000325286</v>
      </c>
      <c r="F202" s="137" t="s">
        <v>2205</v>
      </c>
      <c r="G202" s="137" t="s">
        <v>2207</v>
      </c>
      <c r="H202" s="137" t="s">
        <v>2207</v>
      </c>
      <c r="I202" s="137" t="s">
        <v>2159</v>
      </c>
      <c r="J202" s="137" t="s">
        <v>2050</v>
      </c>
      <c r="K202" s="137" t="s">
        <v>2046</v>
      </c>
      <c r="L202" s="139">
        <f t="shared" si="24"/>
        <v>10245823394530</v>
      </c>
      <c r="M202" s="140">
        <f t="shared" si="23"/>
        <v>1682362</v>
      </c>
      <c r="N202" s="141">
        <f t="shared" si="25"/>
        <v>8.5276682427150117E-3</v>
      </c>
      <c r="O202" s="141">
        <f t="shared" si="26"/>
        <v>0.64288610325135864</v>
      </c>
      <c r="P202" s="141">
        <f t="shared" si="27"/>
        <v>0.3485862285059263</v>
      </c>
      <c r="Q202" s="140">
        <v>405</v>
      </c>
      <c r="R202" s="139">
        <v>87372982782</v>
      </c>
      <c r="S202" s="140">
        <v>14677</v>
      </c>
      <c r="T202" s="139">
        <v>6586897476711</v>
      </c>
      <c r="U202" s="140">
        <v>1667280</v>
      </c>
      <c r="V202" s="139">
        <v>3571552935037</v>
      </c>
      <c r="W202" s="142"/>
    </row>
    <row r="203" spans="1:23" x14ac:dyDescent="0.3">
      <c r="A203" s="143"/>
      <c r="B203" s="137">
        <v>46</v>
      </c>
      <c r="C203" s="147" t="s">
        <v>2087</v>
      </c>
      <c r="D203" s="137" t="s">
        <v>2046</v>
      </c>
      <c r="E203" s="137">
        <v>1000325286</v>
      </c>
      <c r="F203" s="137" t="s">
        <v>2205</v>
      </c>
      <c r="G203" s="137" t="s">
        <v>2207</v>
      </c>
      <c r="H203" s="137" t="s">
        <v>2207</v>
      </c>
      <c r="I203" s="137" t="s">
        <v>2159</v>
      </c>
      <c r="J203" s="137" t="s">
        <v>2045</v>
      </c>
      <c r="K203" s="137" t="s">
        <v>2046</v>
      </c>
      <c r="L203" s="139">
        <f t="shared" si="24"/>
        <v>44037205851752</v>
      </c>
      <c r="M203" s="140">
        <f t="shared" si="23"/>
        <v>2151694</v>
      </c>
      <c r="N203" s="141">
        <f t="shared" si="25"/>
        <v>2.3551533499683603E-3</v>
      </c>
      <c r="O203" s="141">
        <f t="shared" si="26"/>
        <v>6.9534589758314003E-2</v>
      </c>
      <c r="P203" s="141">
        <f t="shared" si="27"/>
        <v>0.92811025689171767</v>
      </c>
      <c r="Q203" s="140">
        <v>140</v>
      </c>
      <c r="R203" s="139">
        <v>103714372885</v>
      </c>
      <c r="S203" s="140">
        <v>5207</v>
      </c>
      <c r="T203" s="139">
        <v>3062109043004</v>
      </c>
      <c r="U203" s="140">
        <v>2146347</v>
      </c>
      <c r="V203" s="139">
        <v>40871382435863</v>
      </c>
      <c r="W203" s="142"/>
    </row>
    <row r="204" spans="1:23" x14ac:dyDescent="0.3">
      <c r="A204" s="143"/>
      <c r="B204" s="137">
        <v>47</v>
      </c>
      <c r="C204" s="147" t="s">
        <v>2087</v>
      </c>
      <c r="D204" s="137" t="s">
        <v>2046</v>
      </c>
      <c r="E204" s="137">
        <v>1000325445</v>
      </c>
      <c r="F204" s="137" t="s">
        <v>360</v>
      </c>
      <c r="G204" s="137" t="s">
        <v>2208</v>
      </c>
      <c r="H204" s="137" t="s">
        <v>2208</v>
      </c>
      <c r="I204" s="137" t="s">
        <v>2102</v>
      </c>
      <c r="J204" s="137" t="s">
        <v>2047</v>
      </c>
      <c r="K204" s="137" t="s">
        <v>2048</v>
      </c>
      <c r="L204" s="139">
        <f t="shared" si="24"/>
        <v>1551290382761197</v>
      </c>
      <c r="M204" s="140">
        <f t="shared" si="23"/>
        <v>10484596</v>
      </c>
      <c r="N204" s="141">
        <f t="shared" si="25"/>
        <v>3.68769942445884E-3</v>
      </c>
      <c r="O204" s="141">
        <f t="shared" si="26"/>
        <v>0</v>
      </c>
      <c r="P204" s="141">
        <f t="shared" si="27"/>
        <v>0.99631230057554121</v>
      </c>
      <c r="Q204" s="140">
        <v>27</v>
      </c>
      <c r="R204" s="139">
        <v>5720692651677</v>
      </c>
      <c r="S204" s="140">
        <v>0</v>
      </c>
      <c r="T204" s="139">
        <v>0</v>
      </c>
      <c r="U204" s="140">
        <v>10484569</v>
      </c>
      <c r="V204" s="139">
        <v>1545569690109520</v>
      </c>
      <c r="W204" s="142"/>
    </row>
    <row r="205" spans="1:23" x14ac:dyDescent="0.3">
      <c r="A205" s="143"/>
      <c r="B205" s="137">
        <v>47</v>
      </c>
      <c r="C205" s="147" t="s">
        <v>2087</v>
      </c>
      <c r="D205" s="137" t="s">
        <v>2046</v>
      </c>
      <c r="E205" s="137">
        <v>1000325445</v>
      </c>
      <c r="F205" s="137" t="s">
        <v>360</v>
      </c>
      <c r="G205" s="137" t="s">
        <v>2208</v>
      </c>
      <c r="H205" s="137" t="s">
        <v>2208</v>
      </c>
      <c r="I205" s="137" t="s">
        <v>2102</v>
      </c>
      <c r="J205" s="137" t="s">
        <v>2050</v>
      </c>
      <c r="K205" s="137" t="s">
        <v>2046</v>
      </c>
      <c r="L205" s="139">
        <f t="shared" si="24"/>
        <v>13605568591259</v>
      </c>
      <c r="M205" s="140">
        <f t="shared" si="23"/>
        <v>1464811</v>
      </c>
      <c r="N205" s="141">
        <f t="shared" si="25"/>
        <v>3.8979005670054502E-2</v>
      </c>
      <c r="O205" s="141">
        <f t="shared" si="26"/>
        <v>0.45858051659608345</v>
      </c>
      <c r="P205" s="141">
        <f t="shared" si="27"/>
        <v>0.50244047773386202</v>
      </c>
      <c r="Q205" s="140">
        <v>108</v>
      </c>
      <c r="R205" s="139">
        <v>530331535263</v>
      </c>
      <c r="S205" s="140">
        <v>9987</v>
      </c>
      <c r="T205" s="139">
        <v>6239248673163</v>
      </c>
      <c r="U205" s="140">
        <v>1454716</v>
      </c>
      <c r="V205" s="139">
        <v>6835988382833</v>
      </c>
      <c r="W205" s="142"/>
    </row>
    <row r="206" spans="1:23" x14ac:dyDescent="0.3">
      <c r="A206" s="143"/>
      <c r="B206" s="137">
        <v>47</v>
      </c>
      <c r="C206" s="147" t="s">
        <v>2087</v>
      </c>
      <c r="D206" s="137" t="s">
        <v>2046</v>
      </c>
      <c r="E206" s="137">
        <v>1000325445</v>
      </c>
      <c r="F206" s="137" t="s">
        <v>360</v>
      </c>
      <c r="G206" s="137" t="s">
        <v>2208</v>
      </c>
      <c r="H206" s="137" t="s">
        <v>2208</v>
      </c>
      <c r="I206" s="137" t="s">
        <v>2102</v>
      </c>
      <c r="J206" s="137" t="s">
        <v>2045</v>
      </c>
      <c r="K206" s="137" t="s">
        <v>2046</v>
      </c>
      <c r="L206" s="139">
        <f t="shared" si="24"/>
        <v>52814163793320</v>
      </c>
      <c r="M206" s="140">
        <f t="shared" si="23"/>
        <v>43129</v>
      </c>
      <c r="N206" s="141">
        <f t="shared" si="25"/>
        <v>1.8876656318737285E-2</v>
      </c>
      <c r="O206" s="141">
        <f t="shared" si="26"/>
        <v>0.29807449412487219</v>
      </c>
      <c r="P206" s="141">
        <f t="shared" si="27"/>
        <v>0.68304884955639056</v>
      </c>
      <c r="Q206" s="140">
        <v>99</v>
      </c>
      <c r="R206" s="139">
        <v>996954818688</v>
      </c>
      <c r="S206" s="140">
        <v>1374</v>
      </c>
      <c r="T206" s="139">
        <v>15742555155322</v>
      </c>
      <c r="U206" s="140">
        <v>41656</v>
      </c>
      <c r="V206" s="139">
        <v>36074653819310</v>
      </c>
      <c r="W206" s="142"/>
    </row>
    <row r="207" spans="1:23" x14ac:dyDescent="0.3">
      <c r="A207" s="143"/>
      <c r="B207" s="137">
        <v>49</v>
      </c>
      <c r="C207" s="137" t="s">
        <v>2072</v>
      </c>
      <c r="D207" s="137" t="s">
        <v>2048</v>
      </c>
      <c r="E207" s="137">
        <v>1000709046</v>
      </c>
      <c r="F207" s="137" t="s">
        <v>2209</v>
      </c>
      <c r="G207" s="137" t="s">
        <v>2210</v>
      </c>
      <c r="H207" s="137" t="s">
        <v>2210</v>
      </c>
      <c r="I207" s="137" t="s">
        <v>2097</v>
      </c>
      <c r="J207" s="137" t="s">
        <v>2211</v>
      </c>
      <c r="K207" s="137" t="s">
        <v>2048</v>
      </c>
      <c r="L207" s="139">
        <f t="shared" si="24"/>
        <v>30964524988</v>
      </c>
      <c r="M207" s="140">
        <f t="shared" si="23"/>
        <v>128131</v>
      </c>
      <c r="N207" s="141">
        <f t="shared" si="25"/>
        <v>4.5202566502874848E-5</v>
      </c>
      <c r="O207" s="141">
        <f t="shared" si="26"/>
        <v>0.10032466343998159</v>
      </c>
      <c r="P207" s="141">
        <f t="shared" si="27"/>
        <v>0.89963013399351555</v>
      </c>
      <c r="Q207" s="140">
        <v>3</v>
      </c>
      <c r="R207" s="139">
        <v>1399676</v>
      </c>
      <c r="S207" s="140">
        <v>950</v>
      </c>
      <c r="T207" s="139">
        <v>3106505548</v>
      </c>
      <c r="U207" s="140">
        <v>127178</v>
      </c>
      <c r="V207" s="139">
        <v>27856619764</v>
      </c>
      <c r="W207" s="142"/>
    </row>
    <row r="208" spans="1:23" x14ac:dyDescent="0.3">
      <c r="A208" s="143"/>
      <c r="B208" s="137">
        <v>49</v>
      </c>
      <c r="C208" s="137" t="s">
        <v>2072</v>
      </c>
      <c r="D208" s="137" t="s">
        <v>2048</v>
      </c>
      <c r="E208" s="137">
        <v>1000709046</v>
      </c>
      <c r="F208" s="137" t="s">
        <v>2209</v>
      </c>
      <c r="G208" s="137" t="s">
        <v>2210</v>
      </c>
      <c r="H208" s="137" t="s">
        <v>2210</v>
      </c>
      <c r="I208" s="137" t="s">
        <v>2097</v>
      </c>
      <c r="J208" s="137" t="s">
        <v>2212</v>
      </c>
      <c r="K208" s="137" t="s">
        <v>2048</v>
      </c>
      <c r="L208" s="139">
        <f t="shared" si="24"/>
        <v>69703244150</v>
      </c>
      <c r="M208" s="140">
        <f t="shared" si="23"/>
        <v>203359</v>
      </c>
      <c r="N208" s="141">
        <f t="shared" si="25"/>
        <v>8.8159454770513719E-8</v>
      </c>
      <c r="O208" s="141">
        <f t="shared" si="26"/>
        <v>0.20999437222033518</v>
      </c>
      <c r="P208" s="141">
        <f t="shared" si="27"/>
        <v>0.79000553962021003</v>
      </c>
      <c r="Q208" s="140">
        <v>16</v>
      </c>
      <c r="R208" s="139">
        <v>6145</v>
      </c>
      <c r="S208" s="140">
        <v>5553</v>
      </c>
      <c r="T208" s="139">
        <v>14637288997</v>
      </c>
      <c r="U208" s="140">
        <v>197790</v>
      </c>
      <c r="V208" s="139">
        <v>55065949008</v>
      </c>
      <c r="W208" s="142"/>
    </row>
    <row r="209" spans="1:23" x14ac:dyDescent="0.3">
      <c r="A209" s="143"/>
      <c r="B209" s="137">
        <v>49</v>
      </c>
      <c r="C209" s="137" t="s">
        <v>2072</v>
      </c>
      <c r="D209" s="137" t="s">
        <v>2048</v>
      </c>
      <c r="E209" s="137">
        <v>1000709046</v>
      </c>
      <c r="F209" s="137" t="s">
        <v>2209</v>
      </c>
      <c r="G209" s="137" t="s">
        <v>2210</v>
      </c>
      <c r="H209" s="137" t="s">
        <v>2210</v>
      </c>
      <c r="I209" s="137" t="s">
        <v>2097</v>
      </c>
      <c r="J209" s="137" t="s">
        <v>2047</v>
      </c>
      <c r="K209" s="137" t="s">
        <v>2048</v>
      </c>
      <c r="L209" s="139">
        <f t="shared" si="24"/>
        <v>23336073229092</v>
      </c>
      <c r="M209" s="140">
        <f t="shared" si="23"/>
        <v>1711214</v>
      </c>
      <c r="N209" s="141">
        <f t="shared" si="25"/>
        <v>1.1579787611187336E-2</v>
      </c>
      <c r="O209" s="141">
        <f t="shared" si="26"/>
        <v>0</v>
      </c>
      <c r="P209" s="141">
        <f t="shared" si="27"/>
        <v>0.98842021238881261</v>
      </c>
      <c r="Q209" s="140">
        <v>61</v>
      </c>
      <c r="R209" s="139">
        <v>270226771672</v>
      </c>
      <c r="S209" s="140">
        <v>0</v>
      </c>
      <c r="T209" s="139">
        <v>0</v>
      </c>
      <c r="U209" s="140">
        <v>1711153</v>
      </c>
      <c r="V209" s="139">
        <v>23065846457420</v>
      </c>
      <c r="W209" s="142"/>
    </row>
    <row r="210" spans="1:23" x14ac:dyDescent="0.3">
      <c r="A210" s="143"/>
      <c r="B210" s="137">
        <v>49</v>
      </c>
      <c r="C210" s="137" t="s">
        <v>2072</v>
      </c>
      <c r="D210" s="137" t="s">
        <v>2048</v>
      </c>
      <c r="E210" s="137">
        <v>1000709046</v>
      </c>
      <c r="F210" s="137" t="s">
        <v>2209</v>
      </c>
      <c r="G210" s="137" t="s">
        <v>2210</v>
      </c>
      <c r="H210" s="137" t="s">
        <v>2210</v>
      </c>
      <c r="I210" s="137" t="s">
        <v>2097</v>
      </c>
      <c r="J210" s="137" t="s">
        <v>2050</v>
      </c>
      <c r="K210" s="137" t="s">
        <v>2048</v>
      </c>
      <c r="L210" s="139">
        <f t="shared" si="24"/>
        <v>2856504185</v>
      </c>
      <c r="M210" s="140">
        <f t="shared" si="23"/>
        <v>156884</v>
      </c>
      <c r="N210" s="141">
        <f t="shared" si="25"/>
        <v>1.9604382270491929E-7</v>
      </c>
      <c r="O210" s="141">
        <f t="shared" si="26"/>
        <v>0.7865235331346101</v>
      </c>
      <c r="P210" s="141">
        <f t="shared" si="27"/>
        <v>0.21347627082156717</v>
      </c>
      <c r="Q210" s="140">
        <v>4</v>
      </c>
      <c r="R210" s="139">
        <v>560</v>
      </c>
      <c r="S210" s="140">
        <v>22560</v>
      </c>
      <c r="T210" s="139">
        <v>2246707764</v>
      </c>
      <c r="U210" s="140">
        <v>134320</v>
      </c>
      <c r="V210" s="139">
        <v>609795861</v>
      </c>
      <c r="W210" s="142"/>
    </row>
    <row r="211" spans="1:23" x14ac:dyDescent="0.3">
      <c r="A211" s="143"/>
      <c r="B211" s="137">
        <v>50</v>
      </c>
      <c r="C211" s="137" t="s">
        <v>2072</v>
      </c>
      <c r="D211" s="137" t="s">
        <v>2046</v>
      </c>
      <c r="E211" s="137">
        <v>1000764277</v>
      </c>
      <c r="F211" s="137" t="s">
        <v>2213</v>
      </c>
      <c r="G211" s="137" t="s">
        <v>2214</v>
      </c>
      <c r="H211" s="137" t="s">
        <v>2214</v>
      </c>
      <c r="I211" s="137" t="s">
        <v>2097</v>
      </c>
      <c r="J211" s="137" t="s">
        <v>2211</v>
      </c>
      <c r="K211" s="137" t="s">
        <v>2046</v>
      </c>
      <c r="L211" s="139">
        <f t="shared" si="24"/>
        <v>31579995275</v>
      </c>
      <c r="M211" s="140">
        <f t="shared" si="23"/>
        <v>134419</v>
      </c>
      <c r="N211" s="141">
        <f t="shared" si="25"/>
        <v>0</v>
      </c>
      <c r="O211" s="141">
        <f t="shared" si="26"/>
        <v>2.2077626799138273E-3</v>
      </c>
      <c r="P211" s="141">
        <f t="shared" si="27"/>
        <v>0.99779223732008615</v>
      </c>
      <c r="Q211" s="140">
        <v>0</v>
      </c>
      <c r="R211" s="139">
        <v>0</v>
      </c>
      <c r="S211" s="140">
        <v>153</v>
      </c>
      <c r="T211" s="139">
        <v>69721135</v>
      </c>
      <c r="U211" s="140">
        <v>134266</v>
      </c>
      <c r="V211" s="139">
        <v>31510274140</v>
      </c>
      <c r="W211" s="142"/>
    </row>
    <row r="212" spans="1:23" x14ac:dyDescent="0.3">
      <c r="A212" s="143"/>
      <c r="B212" s="137">
        <v>50</v>
      </c>
      <c r="C212" s="137" t="s">
        <v>2072</v>
      </c>
      <c r="D212" s="137" t="s">
        <v>2046</v>
      </c>
      <c r="E212" s="137">
        <v>1000764277</v>
      </c>
      <c r="F212" s="137" t="s">
        <v>2213</v>
      </c>
      <c r="G212" s="137" t="s">
        <v>2214</v>
      </c>
      <c r="H212" s="137" t="s">
        <v>2214</v>
      </c>
      <c r="I212" s="137" t="s">
        <v>2097</v>
      </c>
      <c r="J212" s="137" t="s">
        <v>2212</v>
      </c>
      <c r="K212" s="137" t="s">
        <v>2048</v>
      </c>
      <c r="L212" s="139">
        <f t="shared" si="24"/>
        <v>52325952594</v>
      </c>
      <c r="M212" s="140">
        <f t="shared" si="23"/>
        <v>128653</v>
      </c>
      <c r="N212" s="141">
        <f t="shared" si="25"/>
        <v>1.0072490167344511E-2</v>
      </c>
      <c r="O212" s="141">
        <f t="shared" si="26"/>
        <v>0.12113660697553778</v>
      </c>
      <c r="P212" s="141">
        <f t="shared" si="27"/>
        <v>0.86879090285711769</v>
      </c>
      <c r="Q212" s="140">
        <v>50</v>
      </c>
      <c r="R212" s="139">
        <v>527052643</v>
      </c>
      <c r="S212" s="140">
        <v>3485</v>
      </c>
      <c r="T212" s="139">
        <v>6338588354</v>
      </c>
      <c r="U212" s="140">
        <v>125118</v>
      </c>
      <c r="V212" s="139">
        <v>45460311597</v>
      </c>
      <c r="W212" s="142"/>
    </row>
    <row r="213" spans="1:23" x14ac:dyDescent="0.3">
      <c r="A213" s="143"/>
      <c r="B213" s="137">
        <v>50</v>
      </c>
      <c r="C213" s="137" t="s">
        <v>2072</v>
      </c>
      <c r="D213" s="137" t="s">
        <v>2046</v>
      </c>
      <c r="E213" s="137">
        <v>1000764277</v>
      </c>
      <c r="F213" s="137" t="s">
        <v>2213</v>
      </c>
      <c r="G213" s="137" t="s">
        <v>2214</v>
      </c>
      <c r="H213" s="137" t="s">
        <v>2214</v>
      </c>
      <c r="I213" s="137" t="s">
        <v>2097</v>
      </c>
      <c r="J213" s="137" t="s">
        <v>2047</v>
      </c>
      <c r="K213" s="137" t="s">
        <v>2048</v>
      </c>
      <c r="L213" s="139">
        <f t="shared" si="24"/>
        <v>31493486674601</v>
      </c>
      <c r="M213" s="140">
        <f t="shared" si="23"/>
        <v>1279831</v>
      </c>
      <c r="N213" s="141">
        <f t="shared" si="25"/>
        <v>1.917366847053464E-3</v>
      </c>
      <c r="O213" s="141">
        <f t="shared" si="26"/>
        <v>0</v>
      </c>
      <c r="P213" s="141">
        <f t="shared" si="27"/>
        <v>0.99808263315294654</v>
      </c>
      <c r="Q213" s="140">
        <v>19</v>
      </c>
      <c r="R213" s="139">
        <v>60384567248</v>
      </c>
      <c r="S213" s="140">
        <v>0</v>
      </c>
      <c r="T213" s="139">
        <v>0</v>
      </c>
      <c r="U213" s="140">
        <v>1279812</v>
      </c>
      <c r="V213" s="139">
        <v>31433102107353</v>
      </c>
      <c r="W213" s="142"/>
    </row>
    <row r="214" spans="1:23" x14ac:dyDescent="0.3">
      <c r="A214" s="143"/>
      <c r="B214" s="137">
        <v>50</v>
      </c>
      <c r="C214" s="137" t="s">
        <v>2072</v>
      </c>
      <c r="D214" s="137" t="s">
        <v>2046</v>
      </c>
      <c r="E214" s="137">
        <v>1000764277</v>
      </c>
      <c r="F214" s="137" t="s">
        <v>2213</v>
      </c>
      <c r="G214" s="137" t="s">
        <v>2214</v>
      </c>
      <c r="H214" s="137" t="s">
        <v>2214</v>
      </c>
      <c r="I214" s="137" t="s">
        <v>2097</v>
      </c>
      <c r="J214" s="137" t="s">
        <v>2050</v>
      </c>
      <c r="K214" s="137" t="s">
        <v>2046</v>
      </c>
      <c r="L214" s="139">
        <f t="shared" si="24"/>
        <v>9162009238</v>
      </c>
      <c r="M214" s="140">
        <f t="shared" si="23"/>
        <v>52155</v>
      </c>
      <c r="N214" s="141">
        <f t="shared" si="25"/>
        <v>7.6402455161986377E-8</v>
      </c>
      <c r="O214" s="141">
        <f t="shared" si="26"/>
        <v>0.9732500130011329</v>
      </c>
      <c r="P214" s="141">
        <f t="shared" si="27"/>
        <v>2.6749910596411908E-2</v>
      </c>
      <c r="Q214" s="140">
        <v>5</v>
      </c>
      <c r="R214" s="139">
        <v>700</v>
      </c>
      <c r="S214" s="140">
        <v>2556</v>
      </c>
      <c r="T214" s="139">
        <v>8916925610</v>
      </c>
      <c r="U214" s="140">
        <v>49594</v>
      </c>
      <c r="V214" s="139">
        <v>245082928</v>
      </c>
      <c r="W214" s="142"/>
    </row>
    <row r="215" spans="1:23" x14ac:dyDescent="0.3">
      <c r="A215" s="143"/>
      <c r="B215" s="137">
        <v>50</v>
      </c>
      <c r="C215" s="137" t="s">
        <v>2087</v>
      </c>
      <c r="D215" s="137" t="s">
        <v>2046</v>
      </c>
      <c r="E215" s="137">
        <v>1000764277</v>
      </c>
      <c r="F215" s="137" t="s">
        <v>2213</v>
      </c>
      <c r="G215" s="137" t="s">
        <v>2215</v>
      </c>
      <c r="H215" s="137" t="s">
        <v>2215</v>
      </c>
      <c r="I215" s="137" t="s">
        <v>2102</v>
      </c>
      <c r="J215" s="137" t="s">
        <v>2211</v>
      </c>
      <c r="K215" s="137" t="s">
        <v>2046</v>
      </c>
      <c r="L215" s="139">
        <f t="shared" si="24"/>
        <v>101572307799</v>
      </c>
      <c r="M215" s="140">
        <f t="shared" si="23"/>
        <v>229396</v>
      </c>
      <c r="N215" s="141">
        <f t="shared" si="25"/>
        <v>0</v>
      </c>
      <c r="O215" s="141">
        <f t="shared" si="26"/>
        <v>0.2696659582275403</v>
      </c>
      <c r="P215" s="141">
        <f t="shared" si="27"/>
        <v>0.73033404177245975</v>
      </c>
      <c r="Q215" s="140">
        <v>0</v>
      </c>
      <c r="R215" s="139">
        <v>0</v>
      </c>
      <c r="S215" s="140">
        <v>148</v>
      </c>
      <c r="T215" s="139">
        <v>27390593712</v>
      </c>
      <c r="U215" s="140">
        <v>229248</v>
      </c>
      <c r="V215" s="139">
        <v>74181714087</v>
      </c>
      <c r="W215" s="142"/>
    </row>
    <row r="216" spans="1:23" x14ac:dyDescent="0.3">
      <c r="A216" s="143"/>
      <c r="B216" s="137">
        <v>50</v>
      </c>
      <c r="C216" s="137" t="s">
        <v>2087</v>
      </c>
      <c r="D216" s="137" t="s">
        <v>2046</v>
      </c>
      <c r="E216" s="137">
        <v>1000764277</v>
      </c>
      <c r="F216" s="137" t="s">
        <v>2213</v>
      </c>
      <c r="G216" s="137" t="s">
        <v>2215</v>
      </c>
      <c r="H216" s="137" t="s">
        <v>2215</v>
      </c>
      <c r="I216" s="137" t="s">
        <v>2102</v>
      </c>
      <c r="J216" s="137" t="s">
        <v>2212</v>
      </c>
      <c r="K216" s="137" t="s">
        <v>2048</v>
      </c>
      <c r="L216" s="139">
        <f t="shared" si="24"/>
        <v>103095898141</v>
      </c>
      <c r="M216" s="140">
        <f t="shared" si="23"/>
        <v>268010</v>
      </c>
      <c r="N216" s="141">
        <f t="shared" si="25"/>
        <v>1.3716211939547916E-2</v>
      </c>
      <c r="O216" s="141">
        <f t="shared" si="26"/>
        <v>7.3755934310794913E-2</v>
      </c>
      <c r="P216" s="141">
        <f t="shared" si="27"/>
        <v>0.91252785374965717</v>
      </c>
      <c r="Q216" s="140">
        <v>117</v>
      </c>
      <c r="R216" s="139">
        <v>1414085189</v>
      </c>
      <c r="S216" s="140">
        <v>4417</v>
      </c>
      <c r="T216" s="139">
        <v>7603934291</v>
      </c>
      <c r="U216" s="140">
        <v>263476</v>
      </c>
      <c r="V216" s="139">
        <v>94077878661</v>
      </c>
      <c r="W216" s="142"/>
    </row>
    <row r="217" spans="1:23" x14ac:dyDescent="0.3">
      <c r="A217" s="143"/>
      <c r="B217" s="137">
        <v>50</v>
      </c>
      <c r="C217" s="137" t="s">
        <v>2087</v>
      </c>
      <c r="D217" s="137" t="s">
        <v>2046</v>
      </c>
      <c r="E217" s="137">
        <v>1000764277</v>
      </c>
      <c r="F217" s="137" t="s">
        <v>2213</v>
      </c>
      <c r="G217" s="137" t="s">
        <v>2215</v>
      </c>
      <c r="H217" s="137" t="s">
        <v>2215</v>
      </c>
      <c r="I217" s="137" t="s">
        <v>2102</v>
      </c>
      <c r="J217" s="137" t="s">
        <v>2047</v>
      </c>
      <c r="K217" s="137" t="s">
        <v>2048</v>
      </c>
      <c r="L217" s="139">
        <f t="shared" si="24"/>
        <v>59679625430709</v>
      </c>
      <c r="M217" s="140">
        <f t="shared" si="23"/>
        <v>2406724</v>
      </c>
      <c r="N217" s="141">
        <f t="shared" si="25"/>
        <v>2.2749629171623146E-3</v>
      </c>
      <c r="O217" s="141">
        <f t="shared" si="26"/>
        <v>0</v>
      </c>
      <c r="P217" s="141">
        <f t="shared" si="27"/>
        <v>0.99772503708283766</v>
      </c>
      <c r="Q217" s="140">
        <v>45</v>
      </c>
      <c r="R217" s="139">
        <v>135768934765</v>
      </c>
      <c r="S217" s="140">
        <v>0</v>
      </c>
      <c r="T217" s="139">
        <v>0</v>
      </c>
      <c r="U217" s="140">
        <v>2406679</v>
      </c>
      <c r="V217" s="139">
        <v>59543856495944</v>
      </c>
      <c r="W217" s="142"/>
    </row>
    <row r="218" spans="1:23" x14ac:dyDescent="0.3">
      <c r="A218" s="143"/>
      <c r="B218" s="137">
        <v>50</v>
      </c>
      <c r="C218" s="137" t="s">
        <v>2087</v>
      </c>
      <c r="D218" s="137" t="s">
        <v>2046</v>
      </c>
      <c r="E218" s="137">
        <v>1000764277</v>
      </c>
      <c r="F218" s="137" t="s">
        <v>2213</v>
      </c>
      <c r="G218" s="137" t="s">
        <v>2215</v>
      </c>
      <c r="H218" s="137" t="s">
        <v>2215</v>
      </c>
      <c r="I218" s="137" t="s">
        <v>2102</v>
      </c>
      <c r="J218" s="137" t="s">
        <v>2050</v>
      </c>
      <c r="K218" s="137" t="s">
        <v>2046</v>
      </c>
      <c r="L218" s="139">
        <f t="shared" si="24"/>
        <v>15785276782</v>
      </c>
      <c r="M218" s="140">
        <f t="shared" si="23"/>
        <v>119218</v>
      </c>
      <c r="N218" s="141">
        <f t="shared" si="25"/>
        <v>0.3007522484124916</v>
      </c>
      <c r="O218" s="141">
        <f t="shared" si="26"/>
        <v>0.6597531525627448</v>
      </c>
      <c r="P218" s="141">
        <f t="shared" si="27"/>
        <v>3.9494599024763558E-2</v>
      </c>
      <c r="Q218" s="140">
        <v>7</v>
      </c>
      <c r="R218" s="139">
        <v>4747457484</v>
      </c>
      <c r="S218" s="140">
        <v>5548</v>
      </c>
      <c r="T218" s="139">
        <v>10414386121</v>
      </c>
      <c r="U218" s="140">
        <v>113663</v>
      </c>
      <c r="V218" s="139">
        <v>623433177</v>
      </c>
      <c r="W218" s="142"/>
    </row>
    <row r="219" spans="1:23" x14ac:dyDescent="0.3">
      <c r="A219" s="143"/>
      <c r="B219" s="137">
        <v>51</v>
      </c>
      <c r="C219" s="137" t="s">
        <v>2072</v>
      </c>
      <c r="D219" s="137" t="s">
        <v>2046</v>
      </c>
      <c r="E219" s="137">
        <v>1001044635</v>
      </c>
      <c r="F219" s="137" t="s">
        <v>2216</v>
      </c>
      <c r="G219" s="137" t="s">
        <v>2217</v>
      </c>
      <c r="H219" s="137" t="s">
        <v>2217</v>
      </c>
      <c r="I219" s="137" t="s">
        <v>2133</v>
      </c>
      <c r="J219" s="137" t="s">
        <v>2047</v>
      </c>
      <c r="K219" s="137" t="s">
        <v>2048</v>
      </c>
      <c r="L219" s="139">
        <f t="shared" si="24"/>
        <v>3868756216944</v>
      </c>
      <c r="M219" s="140">
        <f t="shared" si="23"/>
        <v>559639</v>
      </c>
      <c r="N219" s="141">
        <f t="shared" si="25"/>
        <v>4.1274265276692507E-2</v>
      </c>
      <c r="O219" s="141">
        <f t="shared" si="26"/>
        <v>0</v>
      </c>
      <c r="P219" s="141">
        <f t="shared" si="27"/>
        <v>0.95872573472330747</v>
      </c>
      <c r="Q219" s="140">
        <v>19</v>
      </c>
      <c r="R219" s="139">
        <v>159680070389</v>
      </c>
      <c r="S219" s="140">
        <v>0</v>
      </c>
      <c r="T219" s="139">
        <v>0</v>
      </c>
      <c r="U219" s="140">
        <v>559620</v>
      </c>
      <c r="V219" s="139">
        <v>3709076146555</v>
      </c>
      <c r="W219" s="142"/>
    </row>
    <row r="220" spans="1:23" x14ac:dyDescent="0.3">
      <c r="A220" s="143"/>
      <c r="B220" s="137">
        <v>51</v>
      </c>
      <c r="C220" s="137" t="s">
        <v>2072</v>
      </c>
      <c r="D220" s="137" t="s">
        <v>2046</v>
      </c>
      <c r="E220" s="137">
        <v>1001044635</v>
      </c>
      <c r="F220" s="137" t="s">
        <v>2216</v>
      </c>
      <c r="G220" s="137" t="s">
        <v>2217</v>
      </c>
      <c r="H220" s="137" t="s">
        <v>2217</v>
      </c>
      <c r="I220" s="137" t="s">
        <v>2133</v>
      </c>
      <c r="J220" s="137" t="s">
        <v>2050</v>
      </c>
      <c r="K220" s="137" t="s">
        <v>2046</v>
      </c>
      <c r="L220" s="139">
        <f t="shared" si="24"/>
        <v>37641632539</v>
      </c>
      <c r="M220" s="140">
        <f t="shared" ref="M220:M250" si="28">Q220+S220+U220</f>
        <v>18892</v>
      </c>
      <c r="N220" s="141">
        <f t="shared" si="25"/>
        <v>0.11664449620910743</v>
      </c>
      <c r="O220" s="141">
        <f t="shared" si="26"/>
        <v>0.39727774257681753</v>
      </c>
      <c r="P220" s="141">
        <f t="shared" si="27"/>
        <v>0.48607776121407509</v>
      </c>
      <c r="Q220" s="140">
        <v>34</v>
      </c>
      <c r="R220" s="139">
        <v>4390689264</v>
      </c>
      <c r="S220" s="140">
        <v>1538</v>
      </c>
      <c r="T220" s="139">
        <v>14954182802</v>
      </c>
      <c r="U220" s="140">
        <v>17320</v>
      </c>
      <c r="V220" s="139">
        <v>18296760473</v>
      </c>
      <c r="W220" s="142"/>
    </row>
    <row r="221" spans="1:23" x14ac:dyDescent="0.3">
      <c r="A221" s="143"/>
      <c r="B221" s="137">
        <v>51</v>
      </c>
      <c r="C221" s="137" t="s">
        <v>2072</v>
      </c>
      <c r="D221" s="137" t="s">
        <v>2046</v>
      </c>
      <c r="E221" s="137">
        <v>1001044635</v>
      </c>
      <c r="F221" s="137" t="s">
        <v>2216</v>
      </c>
      <c r="G221" s="137" t="s">
        <v>2217</v>
      </c>
      <c r="H221" s="137" t="s">
        <v>2217</v>
      </c>
      <c r="I221" s="137" t="s">
        <v>2133</v>
      </c>
      <c r="J221" s="137" t="s">
        <v>2045</v>
      </c>
      <c r="K221" s="137" t="s">
        <v>2046</v>
      </c>
      <c r="L221" s="139">
        <f t="shared" si="24"/>
        <v>128574118448</v>
      </c>
      <c r="M221" s="140">
        <f t="shared" si="28"/>
        <v>131707</v>
      </c>
      <c r="N221" s="141">
        <f t="shared" si="25"/>
        <v>4.502680642015363E-2</v>
      </c>
      <c r="O221" s="141">
        <f t="shared" si="26"/>
        <v>0.13324862017178773</v>
      </c>
      <c r="P221" s="141">
        <f t="shared" si="27"/>
        <v>0.8217245734080586</v>
      </c>
      <c r="Q221" s="140">
        <v>44</v>
      </c>
      <c r="R221" s="139">
        <v>5789281942</v>
      </c>
      <c r="S221" s="140">
        <v>3867</v>
      </c>
      <c r="T221" s="139">
        <v>17132323873</v>
      </c>
      <c r="U221" s="140">
        <v>127796</v>
      </c>
      <c r="V221" s="139">
        <v>105652512633</v>
      </c>
      <c r="W221" s="142"/>
    </row>
    <row r="222" spans="1:23" x14ac:dyDescent="0.3">
      <c r="A222" s="143"/>
      <c r="B222" s="137">
        <v>51</v>
      </c>
      <c r="C222" s="137" t="s">
        <v>2087</v>
      </c>
      <c r="D222" s="137" t="s">
        <v>2046</v>
      </c>
      <c r="E222" s="137">
        <v>1001044635</v>
      </c>
      <c r="F222" s="137" t="s">
        <v>2216</v>
      </c>
      <c r="G222" s="137" t="s">
        <v>2218</v>
      </c>
      <c r="H222" s="137" t="s">
        <v>2218</v>
      </c>
      <c r="I222" s="137" t="s">
        <v>2102</v>
      </c>
      <c r="J222" s="137" t="s">
        <v>2047</v>
      </c>
      <c r="K222" s="137" t="s">
        <v>2048</v>
      </c>
      <c r="L222" s="139">
        <f t="shared" si="24"/>
        <v>5463742374528</v>
      </c>
      <c r="M222" s="140">
        <f t="shared" si="28"/>
        <v>753391</v>
      </c>
      <c r="N222" s="141">
        <f t="shared" si="25"/>
        <v>2.434829854591971E-2</v>
      </c>
      <c r="O222" s="141">
        <f t="shared" si="26"/>
        <v>0</v>
      </c>
      <c r="P222" s="141">
        <f t="shared" si="27"/>
        <v>0.97565170145408031</v>
      </c>
      <c r="Q222" s="140">
        <v>36</v>
      </c>
      <c r="R222" s="139">
        <v>133032830513</v>
      </c>
      <c r="S222" s="140">
        <v>0</v>
      </c>
      <c r="T222" s="139">
        <v>0</v>
      </c>
      <c r="U222" s="140">
        <v>753355</v>
      </c>
      <c r="V222" s="139">
        <v>5330709544015</v>
      </c>
      <c r="W222" s="142"/>
    </row>
    <row r="223" spans="1:23" x14ac:dyDescent="0.3">
      <c r="A223" s="143"/>
      <c r="B223" s="137">
        <v>51</v>
      </c>
      <c r="C223" s="137" t="s">
        <v>2087</v>
      </c>
      <c r="D223" s="137" t="s">
        <v>2077</v>
      </c>
      <c r="E223" s="137">
        <v>1001044635</v>
      </c>
      <c r="F223" s="137" t="s">
        <v>2216</v>
      </c>
      <c r="G223" s="137" t="s">
        <v>2218</v>
      </c>
      <c r="H223" s="137" t="s">
        <v>2218</v>
      </c>
      <c r="I223" s="137" t="s">
        <v>2102</v>
      </c>
      <c r="J223" s="137" t="s">
        <v>2045</v>
      </c>
      <c r="K223" s="137" t="s">
        <v>2048</v>
      </c>
      <c r="L223" s="139">
        <f t="shared" si="24"/>
        <v>90505387440</v>
      </c>
      <c r="M223" s="140">
        <f t="shared" si="28"/>
        <v>44644</v>
      </c>
      <c r="N223" s="141">
        <f t="shared" si="25"/>
        <v>0.5</v>
      </c>
      <c r="O223" s="141">
        <f t="shared" si="26"/>
        <v>2.7737257560100887E-2</v>
      </c>
      <c r="P223" s="141">
        <f t="shared" si="27"/>
        <v>0.47226274243989913</v>
      </c>
      <c r="Q223" s="140">
        <v>0</v>
      </c>
      <c r="R223" s="139">
        <v>45252693720</v>
      </c>
      <c r="S223" s="140">
        <v>324</v>
      </c>
      <c r="T223" s="139">
        <v>2510371242</v>
      </c>
      <c r="U223" s="140">
        <v>44320</v>
      </c>
      <c r="V223" s="139">
        <v>42742322478</v>
      </c>
      <c r="W223" s="142"/>
    </row>
    <row r="224" spans="1:23" x14ac:dyDescent="0.3">
      <c r="A224" s="143"/>
      <c r="B224" s="137">
        <v>51</v>
      </c>
      <c r="C224" s="137" t="s">
        <v>2087</v>
      </c>
      <c r="D224" s="137" t="s">
        <v>2046</v>
      </c>
      <c r="E224" s="137">
        <v>1001044635</v>
      </c>
      <c r="F224" s="137" t="s">
        <v>2216</v>
      </c>
      <c r="G224" s="137" t="s">
        <v>2218</v>
      </c>
      <c r="H224" s="137" t="s">
        <v>2218</v>
      </c>
      <c r="I224" s="137" t="s">
        <v>2102</v>
      </c>
      <c r="J224" s="137" t="s">
        <v>2045</v>
      </c>
      <c r="K224" s="137" t="s">
        <v>2046</v>
      </c>
      <c r="L224" s="139">
        <f t="shared" si="24"/>
        <v>127499774377</v>
      </c>
      <c r="M224" s="140">
        <f t="shared" si="28"/>
        <v>77324</v>
      </c>
      <c r="N224" s="141">
        <f t="shared" si="25"/>
        <v>1.5359762058945844E-2</v>
      </c>
      <c r="O224" s="141">
        <f t="shared" si="26"/>
        <v>6.099620699723303E-2</v>
      </c>
      <c r="P224" s="141">
        <f t="shared" si="27"/>
        <v>0.92364403094382108</v>
      </c>
      <c r="Q224" s="140">
        <v>21</v>
      </c>
      <c r="R224" s="139">
        <v>1958366197</v>
      </c>
      <c r="S224" s="140">
        <v>1596</v>
      </c>
      <c r="T224" s="139">
        <v>7777002630</v>
      </c>
      <c r="U224" s="140">
        <v>75707</v>
      </c>
      <c r="V224" s="139">
        <v>117764405550</v>
      </c>
      <c r="W224" s="142"/>
    </row>
    <row r="225" spans="1:23" x14ac:dyDescent="0.3">
      <c r="A225" s="143"/>
      <c r="B225" s="137">
        <v>52</v>
      </c>
      <c r="C225" s="137" t="s">
        <v>2087</v>
      </c>
      <c r="D225" s="137" t="s">
        <v>2046</v>
      </c>
      <c r="E225" s="137">
        <v>1000317541</v>
      </c>
      <c r="F225" s="137" t="s">
        <v>2219</v>
      </c>
      <c r="G225" s="137" t="s">
        <v>2220</v>
      </c>
      <c r="H225" s="137" t="s">
        <v>2221</v>
      </c>
      <c r="I225" s="137" t="s">
        <v>2102</v>
      </c>
      <c r="J225" s="137" t="s">
        <v>2047</v>
      </c>
      <c r="K225" s="137" t="s">
        <v>2048</v>
      </c>
      <c r="L225" s="139">
        <f t="shared" si="24"/>
        <v>5648575424296</v>
      </c>
      <c r="M225" s="140">
        <f t="shared" si="28"/>
        <v>1631704</v>
      </c>
      <c r="N225" s="141">
        <f t="shared" si="25"/>
        <v>3.6437066800546737E-2</v>
      </c>
      <c r="O225" s="141">
        <f t="shared" si="26"/>
        <v>0</v>
      </c>
      <c r="P225" s="141">
        <f t="shared" si="27"/>
        <v>0.9635629331994533</v>
      </c>
      <c r="Q225" s="140">
        <v>14</v>
      </c>
      <c r="R225" s="139">
        <v>205817520063</v>
      </c>
      <c r="S225" s="140">
        <v>0</v>
      </c>
      <c r="T225" s="139">
        <v>0</v>
      </c>
      <c r="U225" s="140">
        <v>1631690</v>
      </c>
      <c r="V225" s="139">
        <v>5442757904233</v>
      </c>
      <c r="W225" s="142"/>
    </row>
    <row r="226" spans="1:23" x14ac:dyDescent="0.3">
      <c r="A226" s="143"/>
      <c r="B226" s="137">
        <v>52</v>
      </c>
      <c r="C226" s="137" t="s">
        <v>2087</v>
      </c>
      <c r="D226" s="137" t="s">
        <v>2046</v>
      </c>
      <c r="E226" s="137">
        <v>1000317541</v>
      </c>
      <c r="F226" s="137" t="s">
        <v>2219</v>
      </c>
      <c r="G226" s="137" t="s">
        <v>2220</v>
      </c>
      <c r="H226" s="137" t="s">
        <v>2221</v>
      </c>
      <c r="I226" s="137" t="s">
        <v>2102</v>
      </c>
      <c r="J226" s="137" t="s">
        <v>2050</v>
      </c>
      <c r="K226" s="137" t="s">
        <v>2046</v>
      </c>
      <c r="L226" s="139">
        <f t="shared" si="24"/>
        <v>23485910331</v>
      </c>
      <c r="M226" s="140">
        <f t="shared" si="28"/>
        <v>29407</v>
      </c>
      <c r="N226" s="141">
        <f t="shared" si="25"/>
        <v>7.185858275088379E-2</v>
      </c>
      <c r="O226" s="141">
        <f t="shared" si="26"/>
        <v>0.42415446689546504</v>
      </c>
      <c r="P226" s="141">
        <f t="shared" si="27"/>
        <v>0.50398695035365115</v>
      </c>
      <c r="Q226" s="140">
        <v>29</v>
      </c>
      <c r="R226" s="139">
        <v>1687664231</v>
      </c>
      <c r="S226" s="140">
        <v>2415</v>
      </c>
      <c r="T226" s="139">
        <v>9961653776</v>
      </c>
      <c r="U226" s="140">
        <v>26963</v>
      </c>
      <c r="V226" s="139">
        <v>11836592324</v>
      </c>
      <c r="W226" s="142"/>
    </row>
    <row r="227" spans="1:23" x14ac:dyDescent="0.3">
      <c r="A227" s="143"/>
      <c r="B227" s="137">
        <v>52</v>
      </c>
      <c r="C227" s="137" t="s">
        <v>2087</v>
      </c>
      <c r="D227" s="137" t="s">
        <v>2046</v>
      </c>
      <c r="E227" s="137">
        <v>1000317541</v>
      </c>
      <c r="F227" s="137" t="s">
        <v>2219</v>
      </c>
      <c r="G227" s="137" t="s">
        <v>2220</v>
      </c>
      <c r="H227" s="137" t="s">
        <v>2221</v>
      </c>
      <c r="I227" s="137" t="s">
        <v>2102</v>
      </c>
      <c r="J227" s="137" t="s">
        <v>2045</v>
      </c>
      <c r="K227" s="137" t="s">
        <v>2046</v>
      </c>
      <c r="L227" s="139">
        <f t="shared" si="24"/>
        <v>149691006709</v>
      </c>
      <c r="M227" s="140">
        <f t="shared" si="28"/>
        <v>4520</v>
      </c>
      <c r="N227" s="141">
        <f t="shared" si="25"/>
        <v>1.7862302210298645E-4</v>
      </c>
      <c r="O227" s="141">
        <f t="shared" si="26"/>
        <v>9.1844239291720933E-2</v>
      </c>
      <c r="P227" s="141">
        <f t="shared" si="27"/>
        <v>0.90797713768617605</v>
      </c>
      <c r="Q227" s="140">
        <v>1</v>
      </c>
      <c r="R227" s="139">
        <v>26738260</v>
      </c>
      <c r="S227" s="140">
        <v>403</v>
      </c>
      <c r="T227" s="139">
        <v>13748256640</v>
      </c>
      <c r="U227" s="140">
        <v>4116</v>
      </c>
      <c r="V227" s="139">
        <v>135916011809</v>
      </c>
      <c r="W227" s="142"/>
    </row>
    <row r="228" spans="1:23" x14ac:dyDescent="0.3">
      <c r="A228" s="143"/>
      <c r="B228" s="137">
        <v>53</v>
      </c>
      <c r="C228" s="137" t="s">
        <v>2072</v>
      </c>
      <c r="D228" s="137" t="s">
        <v>2048</v>
      </c>
      <c r="E228" s="137">
        <v>1000810369</v>
      </c>
      <c r="F228" s="137" t="s">
        <v>2222</v>
      </c>
      <c r="G228" s="137" t="s">
        <v>2223</v>
      </c>
      <c r="H228" s="137" t="s">
        <v>2223</v>
      </c>
      <c r="I228" s="137" t="s">
        <v>2097</v>
      </c>
      <c r="J228" s="137" t="s">
        <v>2047</v>
      </c>
      <c r="K228" s="137" t="s">
        <v>2048</v>
      </c>
      <c r="L228" s="139">
        <v>4469754781584</v>
      </c>
      <c r="M228" s="140">
        <f t="shared" si="28"/>
        <v>482819</v>
      </c>
      <c r="N228" s="141">
        <f t="shared" si="25"/>
        <v>5.4197369902952791E-2</v>
      </c>
      <c r="O228" s="141">
        <f t="shared" si="26"/>
        <v>0</v>
      </c>
      <c r="P228" s="141">
        <f t="shared" si="27"/>
        <v>0.94580263009704724</v>
      </c>
      <c r="Q228" s="140">
        <v>5</v>
      </c>
      <c r="R228" s="139">
        <v>242248953273</v>
      </c>
      <c r="S228" s="140">
        <v>0</v>
      </c>
      <c r="T228" s="139">
        <v>0</v>
      </c>
      <c r="U228" s="140">
        <v>482814</v>
      </c>
      <c r="V228" s="139">
        <v>4227505828311</v>
      </c>
      <c r="W228" s="142"/>
    </row>
    <row r="229" spans="1:23" x14ac:dyDescent="0.3">
      <c r="A229" s="143"/>
      <c r="B229" s="137">
        <v>53</v>
      </c>
      <c r="C229" s="137" t="s">
        <v>2072</v>
      </c>
      <c r="D229" s="137" t="s">
        <v>2048</v>
      </c>
      <c r="E229" s="137">
        <v>1000810369</v>
      </c>
      <c r="F229" s="137" t="s">
        <v>2222</v>
      </c>
      <c r="G229" s="137" t="s">
        <v>2223</v>
      </c>
      <c r="H229" s="137" t="s">
        <v>2223</v>
      </c>
      <c r="I229" s="137" t="s">
        <v>2097</v>
      </c>
      <c r="J229" s="137" t="s">
        <v>2050</v>
      </c>
      <c r="K229" s="137" t="s">
        <v>2048</v>
      </c>
      <c r="L229" s="139">
        <v>4722844932</v>
      </c>
      <c r="M229" s="140">
        <f t="shared" si="28"/>
        <v>7890</v>
      </c>
      <c r="N229" s="141">
        <f t="shared" si="25"/>
        <v>2.4776280332042882E-3</v>
      </c>
      <c r="O229" s="141">
        <f t="shared" si="26"/>
        <v>0.11602284531665839</v>
      </c>
      <c r="P229" s="141">
        <f t="shared" si="27"/>
        <v>0.88149952665013731</v>
      </c>
      <c r="Q229" s="140">
        <v>22</v>
      </c>
      <c r="R229" s="139">
        <v>11701453</v>
      </c>
      <c r="S229" s="140">
        <v>357</v>
      </c>
      <c r="T229" s="139">
        <v>547957907</v>
      </c>
      <c r="U229" s="140">
        <v>7511</v>
      </c>
      <c r="V229" s="139">
        <v>4163185572</v>
      </c>
      <c r="W229" s="142"/>
    </row>
    <row r="230" spans="1:23" x14ac:dyDescent="0.3">
      <c r="A230" s="143"/>
      <c r="B230" s="137">
        <v>53</v>
      </c>
      <c r="C230" s="137" t="s">
        <v>2072</v>
      </c>
      <c r="D230" s="137" t="s">
        <v>2048</v>
      </c>
      <c r="E230" s="137">
        <v>1000810369</v>
      </c>
      <c r="F230" s="137" t="s">
        <v>2222</v>
      </c>
      <c r="G230" s="137" t="s">
        <v>2223</v>
      </c>
      <c r="H230" s="137" t="s">
        <v>2223</v>
      </c>
      <c r="I230" s="137" t="s">
        <v>2097</v>
      </c>
      <c r="J230" s="137" t="s">
        <v>2045</v>
      </c>
      <c r="K230" s="137" t="s">
        <v>2048</v>
      </c>
      <c r="L230" s="139">
        <v>178304597971</v>
      </c>
      <c r="M230" s="140">
        <f t="shared" si="28"/>
        <v>9129</v>
      </c>
      <c r="N230" s="141">
        <f t="shared" si="25"/>
        <v>2.3211539506531036E-2</v>
      </c>
      <c r="O230" s="141">
        <f t="shared" si="26"/>
        <v>0.39446709668384178</v>
      </c>
      <c r="P230" s="141">
        <f t="shared" si="27"/>
        <v>0.58232136380962718</v>
      </c>
      <c r="Q230" s="140">
        <v>19</v>
      </c>
      <c r="R230" s="139">
        <v>4138724220</v>
      </c>
      <c r="S230" s="140">
        <v>1948</v>
      </c>
      <c r="T230" s="139">
        <v>70335297087</v>
      </c>
      <c r="U230" s="140">
        <v>7162</v>
      </c>
      <c r="V230" s="139">
        <v>103830576664</v>
      </c>
      <c r="W230" s="142"/>
    </row>
    <row r="231" spans="1:23" x14ac:dyDescent="0.3">
      <c r="A231" s="143"/>
      <c r="B231" s="137">
        <v>54</v>
      </c>
      <c r="C231" s="147" t="s">
        <v>2072</v>
      </c>
      <c r="D231" s="137" t="s">
        <v>2048</v>
      </c>
      <c r="E231" s="147">
        <v>1001067392</v>
      </c>
      <c r="F231" s="137" t="s">
        <v>2224</v>
      </c>
      <c r="G231" s="137" t="s">
        <v>2225</v>
      </c>
      <c r="H231" s="137" t="s">
        <v>2226</v>
      </c>
      <c r="I231" s="137" t="s">
        <v>2097</v>
      </c>
      <c r="J231" s="137" t="s">
        <v>2047</v>
      </c>
      <c r="K231" s="137" t="s">
        <v>2048</v>
      </c>
      <c r="L231" s="139">
        <f t="shared" ref="L231:L250" si="29">R231+T231+V231</f>
        <v>84810825937880</v>
      </c>
      <c r="M231" s="140">
        <f t="shared" si="28"/>
        <v>16496388</v>
      </c>
      <c r="N231" s="141">
        <f t="shared" si="25"/>
        <v>1.5303260851587962E-2</v>
      </c>
      <c r="O231" s="141">
        <f t="shared" si="26"/>
        <v>0</v>
      </c>
      <c r="P231" s="141">
        <f t="shared" si="27"/>
        <v>0.98469673914841205</v>
      </c>
      <c r="Q231" s="140">
        <v>234</v>
      </c>
      <c r="R231" s="139">
        <v>1297882192366</v>
      </c>
      <c r="S231" s="140">
        <v>0</v>
      </c>
      <c r="T231" s="139">
        <v>0</v>
      </c>
      <c r="U231" s="140">
        <v>16496154</v>
      </c>
      <c r="V231" s="139">
        <v>83512943745514</v>
      </c>
      <c r="W231" s="142"/>
    </row>
    <row r="232" spans="1:23" x14ac:dyDescent="0.3">
      <c r="A232" s="143"/>
      <c r="B232" s="137">
        <v>54</v>
      </c>
      <c r="C232" s="147" t="s">
        <v>2072</v>
      </c>
      <c r="D232" s="137" t="s">
        <v>2048</v>
      </c>
      <c r="E232" s="147">
        <v>1001067392</v>
      </c>
      <c r="F232" s="137" t="s">
        <v>2224</v>
      </c>
      <c r="G232" s="137" t="s">
        <v>2225</v>
      </c>
      <c r="H232" s="137" t="s">
        <v>2226</v>
      </c>
      <c r="I232" s="137" t="s">
        <v>2097</v>
      </c>
      <c r="J232" s="137" t="s">
        <v>2050</v>
      </c>
      <c r="K232" s="137" t="s">
        <v>2048</v>
      </c>
      <c r="L232" s="139">
        <f t="shared" si="29"/>
        <v>1078463949698</v>
      </c>
      <c r="M232" s="140">
        <f t="shared" si="28"/>
        <v>2178261.89</v>
      </c>
      <c r="N232" s="141">
        <f t="shared" si="25"/>
        <v>4.6449929465911102E-2</v>
      </c>
      <c r="O232" s="141">
        <f t="shared" si="26"/>
        <v>0.41843748143400444</v>
      </c>
      <c r="P232" s="141">
        <f t="shared" si="27"/>
        <v>0.53511258910008441</v>
      </c>
      <c r="Q232" s="140">
        <v>11.66</v>
      </c>
      <c r="R232" s="139">
        <v>50094574395</v>
      </c>
      <c r="S232" s="140">
        <v>619.23</v>
      </c>
      <c r="T232" s="139">
        <v>451269738929</v>
      </c>
      <c r="U232" s="140">
        <v>2177631</v>
      </c>
      <c r="V232" s="139">
        <v>577099636374</v>
      </c>
      <c r="W232" s="142"/>
    </row>
    <row r="233" spans="1:23" x14ac:dyDescent="0.3">
      <c r="A233" s="143"/>
      <c r="B233" s="137">
        <v>54</v>
      </c>
      <c r="C233" s="147" t="s">
        <v>2072</v>
      </c>
      <c r="D233" s="137" t="s">
        <v>2048</v>
      </c>
      <c r="E233" s="147">
        <v>1001067392</v>
      </c>
      <c r="F233" s="137" t="s">
        <v>2224</v>
      </c>
      <c r="G233" s="137" t="s">
        <v>2225</v>
      </c>
      <c r="H233" s="137" t="s">
        <v>2226</v>
      </c>
      <c r="I233" s="137" t="s">
        <v>2097</v>
      </c>
      <c r="J233" s="137" t="s">
        <v>2045</v>
      </c>
      <c r="K233" s="137" t="s">
        <v>2048</v>
      </c>
      <c r="L233" s="139">
        <f t="shared" si="29"/>
        <v>1012543046280</v>
      </c>
      <c r="M233" s="140">
        <f t="shared" si="28"/>
        <v>1938460</v>
      </c>
      <c r="N233" s="141">
        <f t="shared" si="25"/>
        <v>0.25142092776034147</v>
      </c>
      <c r="O233" s="141">
        <f t="shared" si="26"/>
        <v>6.7058359513165484E-3</v>
      </c>
      <c r="P233" s="141">
        <f t="shared" si="27"/>
        <v>0.7418732362883419</v>
      </c>
      <c r="Q233" s="140">
        <v>7260</v>
      </c>
      <c r="R233" s="139">
        <v>254574512093</v>
      </c>
      <c r="S233" s="140">
        <v>196111</v>
      </c>
      <c r="T233" s="139">
        <v>6789947562</v>
      </c>
      <c r="U233" s="140">
        <v>1735089</v>
      </c>
      <c r="V233" s="139">
        <v>751178586625</v>
      </c>
      <c r="W233" s="142" t="s">
        <v>2106</v>
      </c>
    </row>
    <row r="234" spans="1:23" x14ac:dyDescent="0.3">
      <c r="A234" s="143"/>
      <c r="B234" s="137">
        <v>55</v>
      </c>
      <c r="C234" s="137" t="s">
        <v>2072</v>
      </c>
      <c r="D234" s="137" t="s">
        <v>2046</v>
      </c>
      <c r="E234" s="137">
        <v>1000316632</v>
      </c>
      <c r="F234" s="137" t="s">
        <v>2227</v>
      </c>
      <c r="G234" s="137" t="s">
        <v>2228</v>
      </c>
      <c r="H234" s="137" t="s">
        <v>2228</v>
      </c>
      <c r="I234" s="137" t="s">
        <v>2097</v>
      </c>
      <c r="J234" s="137" t="s">
        <v>2047</v>
      </c>
      <c r="K234" s="137" t="s">
        <v>2048</v>
      </c>
      <c r="L234" s="139">
        <f t="shared" si="29"/>
        <v>17673197402020</v>
      </c>
      <c r="M234" s="140">
        <f t="shared" si="28"/>
        <v>187881</v>
      </c>
      <c r="N234" s="141">
        <f t="shared" si="25"/>
        <v>4.565545898263865E-3</v>
      </c>
      <c r="O234" s="141">
        <f t="shared" si="26"/>
        <v>0</v>
      </c>
      <c r="P234" s="141">
        <f t="shared" si="27"/>
        <v>0.99543445410173614</v>
      </c>
      <c r="Q234" s="140">
        <v>6</v>
      </c>
      <c r="R234" s="139">
        <v>80687793908</v>
      </c>
      <c r="S234" s="140">
        <v>0</v>
      </c>
      <c r="T234" s="139">
        <v>0</v>
      </c>
      <c r="U234" s="140">
        <v>187875</v>
      </c>
      <c r="V234" s="139">
        <v>17592509608112</v>
      </c>
      <c r="W234" s="142"/>
    </row>
    <row r="235" spans="1:23" x14ac:dyDescent="0.3">
      <c r="A235" s="143"/>
      <c r="B235" s="137">
        <v>55</v>
      </c>
      <c r="C235" s="137" t="s">
        <v>2072</v>
      </c>
      <c r="D235" s="137" t="s">
        <v>2046</v>
      </c>
      <c r="E235" s="137">
        <v>1000316632</v>
      </c>
      <c r="F235" s="137" t="s">
        <v>2227</v>
      </c>
      <c r="G235" s="137" t="s">
        <v>2228</v>
      </c>
      <c r="H235" s="137" t="s">
        <v>2228</v>
      </c>
      <c r="I235" s="137" t="s">
        <v>2097</v>
      </c>
      <c r="J235" s="137" t="s">
        <v>2050</v>
      </c>
      <c r="K235" s="137" t="s">
        <v>2046</v>
      </c>
      <c r="L235" s="139">
        <f t="shared" si="29"/>
        <v>56133332274</v>
      </c>
      <c r="M235" s="140">
        <f t="shared" si="28"/>
        <v>11016</v>
      </c>
      <c r="N235" s="141">
        <f t="shared" si="25"/>
        <v>0.16879117407018024</v>
      </c>
      <c r="O235" s="141">
        <f t="shared" si="26"/>
        <v>0.24828069632444211</v>
      </c>
      <c r="P235" s="141">
        <f t="shared" si="27"/>
        <v>0.58292812960537765</v>
      </c>
      <c r="Q235" s="140">
        <v>30</v>
      </c>
      <c r="R235" s="139">
        <v>9474811059</v>
      </c>
      <c r="S235" s="140">
        <v>997</v>
      </c>
      <c r="T235" s="139">
        <v>13936822824</v>
      </c>
      <c r="U235" s="140">
        <v>9989</v>
      </c>
      <c r="V235" s="139">
        <v>32721698391</v>
      </c>
      <c r="W235" s="142"/>
    </row>
    <row r="236" spans="1:23" x14ac:dyDescent="0.3">
      <c r="A236" s="143"/>
      <c r="B236" s="137">
        <v>55</v>
      </c>
      <c r="C236" s="137" t="s">
        <v>2072</v>
      </c>
      <c r="D236" s="137" t="s">
        <v>2046</v>
      </c>
      <c r="E236" s="137">
        <v>1000316632</v>
      </c>
      <c r="F236" s="137" t="s">
        <v>2227</v>
      </c>
      <c r="G236" s="137" t="s">
        <v>2228</v>
      </c>
      <c r="H236" s="137" t="s">
        <v>2228</v>
      </c>
      <c r="I236" s="137" t="s">
        <v>2097</v>
      </c>
      <c r="J236" s="137" t="s">
        <v>2045</v>
      </c>
      <c r="K236" s="137" t="s">
        <v>2046</v>
      </c>
      <c r="L236" s="139">
        <f t="shared" si="29"/>
        <v>1362231192130</v>
      </c>
      <c r="M236" s="140">
        <f t="shared" si="28"/>
        <v>5800</v>
      </c>
      <c r="N236" s="141">
        <f t="shared" si="25"/>
        <v>0</v>
      </c>
      <c r="O236" s="141">
        <f t="shared" si="26"/>
        <v>0.28472192680197134</v>
      </c>
      <c r="P236" s="141">
        <f t="shared" si="27"/>
        <v>0.71527807319802872</v>
      </c>
      <c r="Q236" s="140">
        <v>0</v>
      </c>
      <c r="R236" s="139">
        <v>0</v>
      </c>
      <c r="S236" s="140">
        <v>43</v>
      </c>
      <c r="T236" s="139">
        <v>387857089773</v>
      </c>
      <c r="U236" s="140">
        <v>5757</v>
      </c>
      <c r="V236" s="139">
        <v>974374102357</v>
      </c>
      <c r="W236" s="142"/>
    </row>
    <row r="237" spans="1:23" x14ac:dyDescent="0.3">
      <c r="A237" s="143"/>
      <c r="B237" s="137">
        <v>55</v>
      </c>
      <c r="C237" s="137" t="s">
        <v>2087</v>
      </c>
      <c r="D237" s="137" t="s">
        <v>2046</v>
      </c>
      <c r="E237" s="137">
        <v>1000316632</v>
      </c>
      <c r="F237" s="137" t="s">
        <v>2227</v>
      </c>
      <c r="G237" s="137" t="s">
        <v>2229</v>
      </c>
      <c r="H237" s="137" t="s">
        <v>2229</v>
      </c>
      <c r="I237" s="137" t="s">
        <v>2102</v>
      </c>
      <c r="J237" s="137" t="s">
        <v>2047</v>
      </c>
      <c r="K237" s="137" t="s">
        <v>2048</v>
      </c>
      <c r="L237" s="139">
        <f t="shared" si="29"/>
        <v>42906929742340</v>
      </c>
      <c r="M237" s="140">
        <f t="shared" si="28"/>
        <v>410919</v>
      </c>
      <c r="N237" s="141">
        <f t="shared" si="25"/>
        <v>3.8531572240848856E-4</v>
      </c>
      <c r="O237" s="141">
        <f t="shared" si="26"/>
        <v>0</v>
      </c>
      <c r="P237" s="141">
        <f t="shared" si="27"/>
        <v>0.99961468427759148</v>
      </c>
      <c r="Q237" s="140">
        <v>8</v>
      </c>
      <c r="R237" s="139">
        <v>16532714630</v>
      </c>
      <c r="S237" s="140">
        <v>0</v>
      </c>
      <c r="T237" s="139">
        <v>0</v>
      </c>
      <c r="U237" s="140">
        <v>410911</v>
      </c>
      <c r="V237" s="139">
        <v>42890397027710</v>
      </c>
      <c r="W237" s="142"/>
    </row>
    <row r="238" spans="1:23" x14ac:dyDescent="0.3">
      <c r="A238" s="143"/>
      <c r="B238" s="137">
        <v>55</v>
      </c>
      <c r="C238" s="137" t="s">
        <v>2087</v>
      </c>
      <c r="D238" s="137" t="s">
        <v>2046</v>
      </c>
      <c r="E238" s="137">
        <v>1000316632</v>
      </c>
      <c r="F238" s="137" t="s">
        <v>2227</v>
      </c>
      <c r="G238" s="137" t="s">
        <v>2229</v>
      </c>
      <c r="H238" s="137" t="s">
        <v>2229</v>
      </c>
      <c r="I238" s="137" t="s">
        <v>2102</v>
      </c>
      <c r="J238" s="137" t="s">
        <v>2050</v>
      </c>
      <c r="K238" s="137" t="s">
        <v>2046</v>
      </c>
      <c r="L238" s="139">
        <f t="shared" si="29"/>
        <v>142993525111</v>
      </c>
      <c r="M238" s="140">
        <f t="shared" si="28"/>
        <v>26472</v>
      </c>
      <c r="N238" s="141">
        <f t="shared" si="25"/>
        <v>3.5330498629768829E-2</v>
      </c>
      <c r="O238" s="141">
        <f t="shared" si="26"/>
        <v>0.4406367022988581</v>
      </c>
      <c r="P238" s="141">
        <f t="shared" si="27"/>
        <v>0.52403279907137301</v>
      </c>
      <c r="Q238" s="140">
        <v>52</v>
      </c>
      <c r="R238" s="139">
        <v>5052032543</v>
      </c>
      <c r="S238" s="140">
        <v>2268</v>
      </c>
      <c r="T238" s="139">
        <v>63008195355</v>
      </c>
      <c r="U238" s="140">
        <v>24152</v>
      </c>
      <c r="V238" s="139">
        <v>74933297213</v>
      </c>
      <c r="W238" s="142"/>
    </row>
    <row r="239" spans="1:23" x14ac:dyDescent="0.3">
      <c r="A239" s="143"/>
      <c r="B239" s="137">
        <v>55</v>
      </c>
      <c r="C239" s="137" t="s">
        <v>2087</v>
      </c>
      <c r="D239" s="137" t="s">
        <v>2046</v>
      </c>
      <c r="E239" s="137">
        <v>1000316632</v>
      </c>
      <c r="F239" s="137" t="s">
        <v>2227</v>
      </c>
      <c r="G239" s="137" t="s">
        <v>2229</v>
      </c>
      <c r="H239" s="137" t="s">
        <v>2229</v>
      </c>
      <c r="I239" s="137" t="s">
        <v>2102</v>
      </c>
      <c r="J239" s="137" t="s">
        <v>2045</v>
      </c>
      <c r="K239" s="137" t="s">
        <v>2046</v>
      </c>
      <c r="L239" s="139">
        <f t="shared" si="29"/>
        <v>2839353744364</v>
      </c>
      <c r="M239" s="140">
        <f t="shared" si="28"/>
        <v>11535</v>
      </c>
      <c r="N239" s="141">
        <f t="shared" si="25"/>
        <v>8.3181437349541456E-4</v>
      </c>
      <c r="O239" s="141">
        <f t="shared" si="26"/>
        <v>0.24607163158090453</v>
      </c>
      <c r="P239" s="141">
        <f t="shared" si="27"/>
        <v>0.75309655404560005</v>
      </c>
      <c r="Q239" s="140">
        <v>5</v>
      </c>
      <c r="R239" s="139">
        <v>2361815256</v>
      </c>
      <c r="S239" s="140">
        <v>90</v>
      </c>
      <c r="T239" s="139">
        <v>698684408511</v>
      </c>
      <c r="U239" s="140">
        <v>11440</v>
      </c>
      <c r="V239" s="139">
        <v>2138307520597</v>
      </c>
      <c r="W239" s="142"/>
    </row>
    <row r="240" spans="1:23" x14ac:dyDescent="0.3">
      <c r="A240" s="143"/>
      <c r="B240" s="137">
        <v>56</v>
      </c>
      <c r="C240" s="137" t="s">
        <v>2072</v>
      </c>
      <c r="D240" s="137" t="s">
        <v>2046</v>
      </c>
      <c r="E240" s="137" t="s">
        <v>437</v>
      </c>
      <c r="F240" s="137" t="s">
        <v>2230</v>
      </c>
      <c r="G240" s="137" t="s">
        <v>2231</v>
      </c>
      <c r="H240" s="137" t="s">
        <v>2231</v>
      </c>
      <c r="I240" s="137" t="s">
        <v>2097</v>
      </c>
      <c r="J240" s="137" t="s">
        <v>2047</v>
      </c>
      <c r="K240" s="137" t="s">
        <v>2048</v>
      </c>
      <c r="L240" s="139">
        <f t="shared" si="29"/>
        <v>96415818714343</v>
      </c>
      <c r="M240" s="140">
        <f t="shared" si="28"/>
        <v>8654618</v>
      </c>
      <c r="N240" s="141">
        <f t="shared" si="25"/>
        <v>2.0081252126545233E-3</v>
      </c>
      <c r="O240" s="141">
        <f t="shared" si="26"/>
        <v>0</v>
      </c>
      <c r="P240" s="141">
        <f t="shared" si="27"/>
        <v>0.99799187478734552</v>
      </c>
      <c r="Q240" s="140">
        <v>48</v>
      </c>
      <c r="R240" s="139">
        <v>193615036459</v>
      </c>
      <c r="S240" s="140">
        <v>0</v>
      </c>
      <c r="T240" s="139">
        <v>0</v>
      </c>
      <c r="U240" s="140">
        <v>8654570</v>
      </c>
      <c r="V240" s="139">
        <v>96222203677884</v>
      </c>
      <c r="W240" s="142"/>
    </row>
    <row r="241" spans="1:23" x14ac:dyDescent="0.3">
      <c r="A241" s="143"/>
      <c r="B241" s="137">
        <v>56</v>
      </c>
      <c r="C241" s="137" t="s">
        <v>2072</v>
      </c>
      <c r="D241" s="137" t="s">
        <v>2046</v>
      </c>
      <c r="E241" s="137" t="s">
        <v>437</v>
      </c>
      <c r="F241" s="137" t="s">
        <v>2230</v>
      </c>
      <c r="G241" s="137" t="s">
        <v>2231</v>
      </c>
      <c r="H241" s="137" t="s">
        <v>2231</v>
      </c>
      <c r="I241" s="137" t="s">
        <v>2097</v>
      </c>
      <c r="J241" s="137" t="s">
        <v>2050</v>
      </c>
      <c r="K241" s="137" t="s">
        <v>2046</v>
      </c>
      <c r="L241" s="139">
        <f t="shared" si="29"/>
        <v>336431817657</v>
      </c>
      <c r="M241" s="140">
        <f t="shared" si="28"/>
        <v>407324</v>
      </c>
      <c r="N241" s="141">
        <f t="shared" si="25"/>
        <v>1.2320848229717829E-2</v>
      </c>
      <c r="O241" s="141">
        <f t="shared" si="26"/>
        <v>1.6205024652449263E-2</v>
      </c>
      <c r="P241" s="141">
        <f t="shared" si="27"/>
        <v>0.97147412711783288</v>
      </c>
      <c r="Q241" s="140">
        <v>54</v>
      </c>
      <c r="R241" s="139">
        <v>4145125365</v>
      </c>
      <c r="S241" s="140">
        <v>19352</v>
      </c>
      <c r="T241" s="139">
        <v>5451885899</v>
      </c>
      <c r="U241" s="140">
        <v>387918</v>
      </c>
      <c r="V241" s="139">
        <v>326834806393</v>
      </c>
      <c r="W241" s="142"/>
    </row>
    <row r="242" spans="1:23" x14ac:dyDescent="0.3">
      <c r="A242" s="143"/>
      <c r="B242" s="137">
        <v>56</v>
      </c>
      <c r="C242" s="137" t="s">
        <v>2232</v>
      </c>
      <c r="D242" s="137" t="s">
        <v>2046</v>
      </c>
      <c r="E242" s="137" t="s">
        <v>437</v>
      </c>
      <c r="F242" s="137" t="s">
        <v>2230</v>
      </c>
      <c r="G242" s="137" t="s">
        <v>2231</v>
      </c>
      <c r="H242" s="137" t="s">
        <v>2231</v>
      </c>
      <c r="I242" s="137" t="s">
        <v>2097</v>
      </c>
      <c r="J242" s="137" t="s">
        <v>2045</v>
      </c>
      <c r="K242" s="137" t="s">
        <v>2046</v>
      </c>
      <c r="L242" s="139">
        <f t="shared" si="29"/>
        <v>2357416811514</v>
      </c>
      <c r="M242" s="140">
        <f t="shared" si="28"/>
        <v>421841</v>
      </c>
      <c r="N242" s="141">
        <f t="shared" si="25"/>
        <v>2.3126525069186404E-3</v>
      </c>
      <c r="O242" s="141">
        <f t="shared" si="26"/>
        <v>0.19739616065736895</v>
      </c>
      <c r="P242" s="141">
        <f t="shared" si="27"/>
        <v>0.80029118683571243</v>
      </c>
      <c r="Q242" s="140">
        <v>8</v>
      </c>
      <c r="R242" s="139">
        <v>5451885899</v>
      </c>
      <c r="S242" s="140">
        <v>27846</v>
      </c>
      <c r="T242" s="139">
        <v>465345027662</v>
      </c>
      <c r="U242" s="140">
        <v>393987</v>
      </c>
      <c r="V242" s="139">
        <v>1886619897953</v>
      </c>
      <c r="W242" s="142"/>
    </row>
    <row r="243" spans="1:23" x14ac:dyDescent="0.3">
      <c r="A243" s="143"/>
      <c r="B243" s="137">
        <v>56</v>
      </c>
      <c r="C243" s="137" t="s">
        <v>2087</v>
      </c>
      <c r="D243" s="137" t="s">
        <v>2046</v>
      </c>
      <c r="E243" s="137" t="s">
        <v>437</v>
      </c>
      <c r="F243" s="137" t="s">
        <v>2230</v>
      </c>
      <c r="G243" s="137" t="s">
        <v>2233</v>
      </c>
      <c r="H243" s="137" t="s">
        <v>2233</v>
      </c>
      <c r="I243" s="137" t="s">
        <v>2159</v>
      </c>
      <c r="J243" s="137" t="s">
        <v>2047</v>
      </c>
      <c r="K243" s="137" t="s">
        <v>2048</v>
      </c>
      <c r="L243" s="139">
        <f t="shared" si="29"/>
        <v>101698821700894</v>
      </c>
      <c r="M243" s="140">
        <f t="shared" si="28"/>
        <v>8356039</v>
      </c>
      <c r="N243" s="141">
        <f t="shared" si="25"/>
        <v>1.0449989467288564E-3</v>
      </c>
      <c r="O243" s="141">
        <f t="shared" si="26"/>
        <v>5.3767823118445544E-2</v>
      </c>
      <c r="P243" s="141">
        <f t="shared" si="27"/>
        <v>0.94518717793482565</v>
      </c>
      <c r="Q243" s="140">
        <v>350</v>
      </c>
      <c r="R243" s="139">
        <v>106275161561</v>
      </c>
      <c r="S243" s="140">
        <v>38196</v>
      </c>
      <c r="T243" s="139">
        <v>5468124256568</v>
      </c>
      <c r="U243" s="140">
        <v>8317493</v>
      </c>
      <c r="V243" s="139">
        <v>96124422282765</v>
      </c>
      <c r="W243" s="142"/>
    </row>
    <row r="244" spans="1:23" x14ac:dyDescent="0.3">
      <c r="A244" s="143"/>
      <c r="B244" s="137">
        <v>56</v>
      </c>
      <c r="C244" s="137" t="s">
        <v>2087</v>
      </c>
      <c r="D244" s="137" t="s">
        <v>2046</v>
      </c>
      <c r="E244" s="137" t="s">
        <v>437</v>
      </c>
      <c r="F244" s="137" t="s">
        <v>2230</v>
      </c>
      <c r="G244" s="137" t="s">
        <v>2233</v>
      </c>
      <c r="H244" s="137" t="s">
        <v>2233</v>
      </c>
      <c r="I244" s="137" t="s">
        <v>2159</v>
      </c>
      <c r="J244" s="137" t="s">
        <v>2050</v>
      </c>
      <c r="K244" s="137" t="s">
        <v>2046</v>
      </c>
      <c r="L244" s="139">
        <f t="shared" si="29"/>
        <v>564658051587</v>
      </c>
      <c r="M244" s="140">
        <f t="shared" si="28"/>
        <v>403846</v>
      </c>
      <c r="N244" s="141">
        <f t="shared" si="25"/>
        <v>8.5498912969208928E-3</v>
      </c>
      <c r="O244" s="141">
        <f t="shared" si="26"/>
        <v>0.11792608345502434</v>
      </c>
      <c r="P244" s="141">
        <f t="shared" si="27"/>
        <v>0.87352402524805473</v>
      </c>
      <c r="Q244" s="140">
        <v>32</v>
      </c>
      <c r="R244" s="139">
        <v>4827764961</v>
      </c>
      <c r="S244" s="140">
        <v>2881</v>
      </c>
      <c r="T244" s="139">
        <v>66587912515</v>
      </c>
      <c r="U244" s="140">
        <v>400933</v>
      </c>
      <c r="V244" s="139">
        <v>493242374111</v>
      </c>
      <c r="W244" s="142"/>
    </row>
    <row r="245" spans="1:23" x14ac:dyDescent="0.3">
      <c r="A245" s="143"/>
      <c r="B245" s="137">
        <v>56</v>
      </c>
      <c r="C245" s="137" t="s">
        <v>2087</v>
      </c>
      <c r="D245" s="137" t="s">
        <v>2046</v>
      </c>
      <c r="E245" s="137" t="s">
        <v>437</v>
      </c>
      <c r="F245" s="137" t="s">
        <v>2230</v>
      </c>
      <c r="G245" s="137" t="s">
        <v>2233</v>
      </c>
      <c r="H245" s="137" t="s">
        <v>2233</v>
      </c>
      <c r="I245" s="137" t="s">
        <v>2159</v>
      </c>
      <c r="J245" s="137" t="s">
        <v>2045</v>
      </c>
      <c r="K245" s="137" t="s">
        <v>2046</v>
      </c>
      <c r="L245" s="139">
        <f t="shared" si="29"/>
        <v>2308062393307</v>
      </c>
      <c r="M245" s="140">
        <f t="shared" si="28"/>
        <v>410472</v>
      </c>
      <c r="N245" s="141">
        <f t="shared" si="25"/>
        <v>2.0409243570104112E-3</v>
      </c>
      <c r="O245" s="141">
        <f t="shared" si="26"/>
        <v>0.10625867576898672</v>
      </c>
      <c r="P245" s="141">
        <f t="shared" si="27"/>
        <v>0.89170039987400285</v>
      </c>
      <c r="Q245" s="140">
        <v>17</v>
      </c>
      <c r="R245" s="139">
        <v>4710580756</v>
      </c>
      <c r="S245" s="140">
        <v>3857</v>
      </c>
      <c r="T245" s="139">
        <v>245251653505</v>
      </c>
      <c r="U245" s="140">
        <v>406598</v>
      </c>
      <c r="V245" s="139">
        <v>2058100159046</v>
      </c>
      <c r="W245" s="142"/>
    </row>
    <row r="246" spans="1:23" x14ac:dyDescent="0.3">
      <c r="A246" s="143"/>
      <c r="B246" s="137">
        <v>58</v>
      </c>
      <c r="C246" s="137" t="s">
        <v>2087</v>
      </c>
      <c r="D246" s="137" t="s">
        <v>2046</v>
      </c>
      <c r="E246" s="137" t="s">
        <v>478</v>
      </c>
      <c r="F246" s="137" t="s">
        <v>479</v>
      </c>
      <c r="G246" s="137" t="s">
        <v>2234</v>
      </c>
      <c r="H246" s="137" t="s">
        <v>2234</v>
      </c>
      <c r="I246" s="137" t="s">
        <v>2102</v>
      </c>
      <c r="J246" s="137" t="s">
        <v>2047</v>
      </c>
      <c r="K246" s="137" t="s">
        <v>2048</v>
      </c>
      <c r="L246" s="139">
        <f t="shared" si="29"/>
        <v>59962999761204</v>
      </c>
      <c r="M246" s="140">
        <f t="shared" si="28"/>
        <v>213393557</v>
      </c>
      <c r="N246" s="141">
        <f t="shared" si="25"/>
        <v>2.2138134007446221E-2</v>
      </c>
      <c r="O246" s="141">
        <f t="shared" si="26"/>
        <v>0</v>
      </c>
      <c r="P246" s="141">
        <f t="shared" si="27"/>
        <v>0.97786186599255376</v>
      </c>
      <c r="Q246" s="140">
        <v>81</v>
      </c>
      <c r="R246" s="139">
        <v>1327468924202</v>
      </c>
      <c r="S246" s="140">
        <v>0</v>
      </c>
      <c r="T246" s="139">
        <v>0</v>
      </c>
      <c r="U246" s="140">
        <v>213393476</v>
      </c>
      <c r="V246" s="139">
        <v>58635530837002</v>
      </c>
      <c r="W246" s="142"/>
    </row>
    <row r="247" spans="1:23" x14ac:dyDescent="0.3">
      <c r="A247" s="143"/>
      <c r="B247" s="137">
        <v>58</v>
      </c>
      <c r="C247" s="137" t="s">
        <v>2087</v>
      </c>
      <c r="D247" s="137" t="s">
        <v>2046</v>
      </c>
      <c r="E247" s="137" t="s">
        <v>478</v>
      </c>
      <c r="F247" s="137" t="s">
        <v>479</v>
      </c>
      <c r="G247" s="137" t="s">
        <v>2234</v>
      </c>
      <c r="H247" s="137" t="s">
        <v>2234</v>
      </c>
      <c r="I247" s="137" t="s">
        <v>2102</v>
      </c>
      <c r="J247" s="137" t="s">
        <v>2045</v>
      </c>
      <c r="K247" s="137" t="s">
        <v>2046</v>
      </c>
      <c r="L247" s="139">
        <f t="shared" si="29"/>
        <v>3231768063581</v>
      </c>
      <c r="M247" s="140">
        <f t="shared" si="28"/>
        <v>36489751</v>
      </c>
      <c r="N247" s="141">
        <f t="shared" si="25"/>
        <v>5.2984682202181872E-4</v>
      </c>
      <c r="O247" s="141">
        <f t="shared" si="26"/>
        <v>0.10551652503587938</v>
      </c>
      <c r="P247" s="141">
        <f t="shared" si="27"/>
        <v>0.89395362814209878</v>
      </c>
      <c r="Q247" s="140">
        <v>190</v>
      </c>
      <c r="R247" s="139">
        <v>1712342038</v>
      </c>
      <c r="S247" s="140">
        <v>34174</v>
      </c>
      <c r="T247" s="139">
        <v>341004935791</v>
      </c>
      <c r="U247" s="140">
        <v>36455387</v>
      </c>
      <c r="V247" s="139">
        <v>2889050785752</v>
      </c>
      <c r="W247" s="142"/>
    </row>
    <row r="248" spans="1:23" x14ac:dyDescent="0.3">
      <c r="A248" s="143"/>
      <c r="B248" s="137">
        <v>57</v>
      </c>
      <c r="C248" s="137" t="s">
        <v>2232</v>
      </c>
      <c r="D248" s="137" t="s">
        <v>2048</v>
      </c>
      <c r="E248" s="137" t="s">
        <v>470</v>
      </c>
      <c r="F248" s="137" t="s">
        <v>471</v>
      </c>
      <c r="G248" s="137" t="s">
        <v>2235</v>
      </c>
      <c r="H248" s="137" t="s">
        <v>2235</v>
      </c>
      <c r="I248" s="137" t="s">
        <v>2133</v>
      </c>
      <c r="J248" s="137" t="s">
        <v>2047</v>
      </c>
      <c r="K248" s="137" t="s">
        <v>2048</v>
      </c>
      <c r="L248" s="139">
        <f t="shared" si="29"/>
        <v>10859407416016</v>
      </c>
      <c r="M248" s="140">
        <f t="shared" si="28"/>
        <v>218696</v>
      </c>
      <c r="N248" s="141">
        <f t="shared" si="25"/>
        <v>3.9626300467219343E-2</v>
      </c>
      <c r="O248" s="141">
        <f t="shared" si="26"/>
        <v>0</v>
      </c>
      <c r="P248" s="141">
        <f t="shared" si="27"/>
        <v>0.96037369953278062</v>
      </c>
      <c r="Q248" s="140">
        <v>9</v>
      </c>
      <c r="R248" s="139">
        <v>430318141163</v>
      </c>
      <c r="S248" s="140">
        <v>0</v>
      </c>
      <c r="T248" s="139">
        <v>0</v>
      </c>
      <c r="U248" s="140">
        <v>218687</v>
      </c>
      <c r="V248" s="139">
        <v>10429089274853</v>
      </c>
      <c r="W248" s="142"/>
    </row>
    <row r="249" spans="1:23" x14ac:dyDescent="0.3">
      <c r="A249" s="143"/>
      <c r="B249" s="137">
        <v>57</v>
      </c>
      <c r="C249" s="137" t="s">
        <v>2232</v>
      </c>
      <c r="D249" s="137" t="s">
        <v>2048</v>
      </c>
      <c r="E249" s="137" t="s">
        <v>470</v>
      </c>
      <c r="F249" s="137" t="s">
        <v>471</v>
      </c>
      <c r="G249" s="137" t="s">
        <v>2235</v>
      </c>
      <c r="H249" s="137" t="s">
        <v>2235</v>
      </c>
      <c r="I249" s="137" t="s">
        <v>2133</v>
      </c>
      <c r="J249" s="137" t="s">
        <v>2050</v>
      </c>
      <c r="K249" s="137" t="s">
        <v>2046</v>
      </c>
      <c r="L249" s="139">
        <f t="shared" si="29"/>
        <v>526487530933</v>
      </c>
      <c r="M249" s="140">
        <f t="shared" si="28"/>
        <v>42780</v>
      </c>
      <c r="N249" s="141">
        <f t="shared" si="25"/>
        <v>0.45715780854576321</v>
      </c>
      <c r="O249" s="141">
        <f t="shared" si="26"/>
        <v>0.32456998048401298</v>
      </c>
      <c r="P249" s="141">
        <f t="shared" si="27"/>
        <v>0.21827221097022378</v>
      </c>
      <c r="Q249" s="140">
        <v>84</v>
      </c>
      <c r="R249" s="139">
        <v>240687885868</v>
      </c>
      <c r="S249" s="140">
        <v>1981</v>
      </c>
      <c r="T249" s="139">
        <v>170882047640</v>
      </c>
      <c r="U249" s="140">
        <v>40715</v>
      </c>
      <c r="V249" s="139">
        <v>114917597425</v>
      </c>
      <c r="W249" s="142"/>
    </row>
    <row r="250" spans="1:23" x14ac:dyDescent="0.3">
      <c r="A250" s="143"/>
      <c r="B250" s="137">
        <v>57</v>
      </c>
      <c r="C250" s="137" t="s">
        <v>2232</v>
      </c>
      <c r="D250" s="137" t="s">
        <v>2048</v>
      </c>
      <c r="E250" s="137" t="s">
        <v>470</v>
      </c>
      <c r="F250" s="137" t="s">
        <v>471</v>
      </c>
      <c r="G250" s="137" t="s">
        <v>2235</v>
      </c>
      <c r="H250" s="137" t="s">
        <v>2235</v>
      </c>
      <c r="I250" s="137" t="s">
        <v>2133</v>
      </c>
      <c r="J250" s="137" t="s">
        <v>2045</v>
      </c>
      <c r="K250" s="137" t="s">
        <v>2046</v>
      </c>
      <c r="L250" s="139">
        <f t="shared" si="29"/>
        <v>379481613878</v>
      </c>
      <c r="M250" s="140">
        <f t="shared" si="28"/>
        <v>6804</v>
      </c>
      <c r="N250" s="141">
        <f t="shared" si="25"/>
        <v>2.3834230959362832E-3</v>
      </c>
      <c r="O250" s="141">
        <f t="shared" si="26"/>
        <v>2.751788088831408E-2</v>
      </c>
      <c r="P250" s="141">
        <f t="shared" si="27"/>
        <v>0.97009869601574961</v>
      </c>
      <c r="Q250" s="140">
        <v>5</v>
      </c>
      <c r="R250" s="139">
        <v>904465243</v>
      </c>
      <c r="S250" s="140">
        <v>120</v>
      </c>
      <c r="T250" s="139">
        <v>10442529850</v>
      </c>
      <c r="U250" s="140">
        <v>6679</v>
      </c>
      <c r="V250" s="139">
        <v>368134618785</v>
      </c>
      <c r="W250" s="142"/>
    </row>
  </sheetData>
  <autoFilter ref="B2:W250" xr:uid="{CF7CC85A-CE89-4249-B69A-0A3FCC101B1B}"/>
  <phoneticPr fontId="7" type="noConversion"/>
  <conditionalFormatting sqref="N3:N1048576">
    <cfRule type="dataBar" priority="1">
      <dataBar>
        <cfvo type="percent" val="0"/>
        <cfvo type="num" val="1"/>
        <color rgb="FFE6877F"/>
      </dataBar>
      <extLst>
        <ext xmlns:x14="http://schemas.microsoft.com/office/spreadsheetml/2009/9/main" uri="{B025F937-C7B1-47D3-B67F-A62EFF666E3E}">
          <x14:id>{76B360B4-EE73-4A5C-9822-664A65371B97}</x14:id>
        </ext>
      </extLst>
    </cfRule>
  </conditionalFormatting>
  <conditionalFormatting sqref="O3:O1048576">
    <cfRule type="dataBar" priority="2">
      <dataBar>
        <cfvo type="percent" val="0"/>
        <cfvo type="num" val="1"/>
        <color rgb="FFFAEBB0"/>
      </dataBar>
      <extLst>
        <ext xmlns:x14="http://schemas.microsoft.com/office/spreadsheetml/2009/9/main" uri="{B025F937-C7B1-47D3-B67F-A62EFF666E3E}">
          <x14:id>{FD32D1C7-07D5-40D8-9686-DD436AF380B9}</x14:id>
        </ext>
      </extLst>
    </cfRule>
  </conditionalFormatting>
  <conditionalFormatting sqref="P3:P1048576">
    <cfRule type="dataBar" priority="3">
      <dataBar>
        <cfvo type="percent" val="0"/>
        <cfvo type="num" val="1"/>
        <color rgb="FF86B4AF"/>
      </dataBar>
      <extLst>
        <ext xmlns:x14="http://schemas.microsoft.com/office/spreadsheetml/2009/9/main" uri="{B025F937-C7B1-47D3-B67F-A62EFF666E3E}">
          <x14:id>{68F4BEF9-6614-4063-88EA-039A43529331}</x14:id>
        </ext>
      </extLst>
    </cfRule>
  </conditionalFormatting>
  <pageMargins left="0.7" right="0.7" top="0.75" bottom="0.75" header="0.3" footer="0.3"/>
  <customProperties>
    <customPr name="OrphanNamesChecked" r:id="rId1"/>
  </customProperties>
  <extLst>
    <ext xmlns:x14="http://schemas.microsoft.com/office/spreadsheetml/2009/9/main" uri="{78C0D931-6437-407d-A8EE-F0AAD7539E65}">
      <x14:conditionalFormattings>
        <x14:conditionalFormatting xmlns:xm="http://schemas.microsoft.com/office/excel/2006/main">
          <x14:cfRule type="dataBar" id="{76B360B4-EE73-4A5C-9822-664A65371B97}">
            <x14:dataBar minLength="0" maxLength="100" gradient="0" direction="leftToRight">
              <x14:cfvo type="percent">
                <xm:f>0</xm:f>
              </x14:cfvo>
              <x14:cfvo type="num">
                <xm:f>1</xm:f>
              </x14:cfvo>
              <x14:negativeFillColor rgb="FFFF0000"/>
              <x14:axisColor rgb="FF000000"/>
            </x14:dataBar>
          </x14:cfRule>
          <xm:sqref>N3:N1048576</xm:sqref>
        </x14:conditionalFormatting>
        <x14:conditionalFormatting xmlns:xm="http://schemas.microsoft.com/office/excel/2006/main">
          <x14:cfRule type="dataBar" id="{FD32D1C7-07D5-40D8-9686-DD436AF380B9}">
            <x14:dataBar minLength="0" maxLength="100" gradient="0" direction="leftToRight">
              <x14:cfvo type="percent">
                <xm:f>0</xm:f>
              </x14:cfvo>
              <x14:cfvo type="num">
                <xm:f>1</xm:f>
              </x14:cfvo>
              <x14:negativeFillColor rgb="FFFF0000"/>
              <x14:axisColor rgb="FF000000"/>
            </x14:dataBar>
          </x14:cfRule>
          <xm:sqref>O3:O1048576</xm:sqref>
        </x14:conditionalFormatting>
        <x14:conditionalFormatting xmlns:xm="http://schemas.microsoft.com/office/excel/2006/main">
          <x14:cfRule type="dataBar" id="{68F4BEF9-6614-4063-88EA-039A43529331}">
            <x14:dataBar minLength="0" maxLength="100" gradient="0" direction="leftToRight">
              <x14:cfvo type="percent">
                <xm:f>0</xm:f>
              </x14:cfvo>
              <x14:cfvo type="num">
                <xm:f>1</xm:f>
              </x14:cfvo>
              <x14:negativeFillColor rgb="FFFF0000"/>
              <x14:axisColor rgb="FF000000"/>
            </x14:dataBar>
          </x14:cfRule>
          <xm:sqref>P3:P1048576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E8832-3CBD-4158-98D7-E3A38CA34E14}">
  <sheetPr codeName="Sheet7"/>
  <dimension ref="A1:S46"/>
  <sheetViews>
    <sheetView workbookViewId="0"/>
  </sheetViews>
  <sheetFormatPr defaultRowHeight="16.5" x14ac:dyDescent="0.3"/>
  <cols>
    <col min="3" max="3" width="31.75" bestFit="1" customWidth="1"/>
    <col min="5" max="5" width="11" bestFit="1" customWidth="1"/>
    <col min="10" max="10" width="11.625" bestFit="1" customWidth="1"/>
    <col min="14" max="14" width="9" customWidth="1"/>
    <col min="15" max="15" width="23" customWidth="1"/>
    <col min="17" max="17" width="11.25" bestFit="1" customWidth="1"/>
    <col min="19" max="19" width="63.875" customWidth="1"/>
  </cols>
  <sheetData>
    <row r="1" spans="1:19" ht="17.25" thickBot="1" x14ac:dyDescent="0.35">
      <c r="A1" s="5" t="s">
        <v>7</v>
      </c>
      <c r="B1" s="5" t="s">
        <v>8</v>
      </c>
      <c r="C1" s="5" t="s">
        <v>9</v>
      </c>
      <c r="D1" s="5" t="s">
        <v>19</v>
      </c>
      <c r="E1" s="5" t="s">
        <v>602</v>
      </c>
      <c r="N1" s="59" t="s">
        <v>513</v>
      </c>
      <c r="O1" s="220" t="s">
        <v>514</v>
      </c>
      <c r="P1" s="221"/>
      <c r="Q1" s="220" t="s">
        <v>515</v>
      </c>
      <c r="R1" s="221"/>
      <c r="S1" s="60" t="s">
        <v>516</v>
      </c>
    </row>
    <row r="2" spans="1:19" ht="17.25" thickBot="1" x14ac:dyDescent="0.35">
      <c r="A2" s="9" t="s">
        <v>30</v>
      </c>
      <c r="B2" s="9">
        <v>1529846</v>
      </c>
      <c r="C2" s="10" t="s">
        <v>31</v>
      </c>
      <c r="D2" s="9" t="s">
        <v>40</v>
      </c>
      <c r="E2" s="100">
        <f>$Q$13</f>
        <v>4106.0606818181814</v>
      </c>
      <c r="N2" s="222" t="s">
        <v>517</v>
      </c>
      <c r="O2" s="223"/>
      <c r="P2" s="223"/>
      <c r="Q2" s="223"/>
      <c r="R2" s="223"/>
      <c r="S2" s="224"/>
    </row>
    <row r="3" spans="1:19" ht="17.25" thickBot="1" x14ac:dyDescent="0.35">
      <c r="A3" s="9" t="s">
        <v>47</v>
      </c>
      <c r="B3" s="9">
        <v>1527608</v>
      </c>
      <c r="C3" s="10" t="s">
        <v>48</v>
      </c>
      <c r="D3" s="9" t="s">
        <v>53</v>
      </c>
      <c r="E3" s="100">
        <f t="shared" ref="E3:E45" si="0">$Q$13</f>
        <v>4106.0606818181814</v>
      </c>
      <c r="H3" s="5" t="s">
        <v>7</v>
      </c>
      <c r="I3" s="5" t="s">
        <v>555</v>
      </c>
      <c r="J3" s="5" t="s">
        <v>556</v>
      </c>
      <c r="N3" s="61" t="s">
        <v>518</v>
      </c>
      <c r="O3" s="62" t="s">
        <v>519</v>
      </c>
      <c r="P3" s="63"/>
      <c r="Q3" s="71">
        <v>38</v>
      </c>
      <c r="R3" s="64" t="s">
        <v>520</v>
      </c>
      <c r="S3" s="65" t="s">
        <v>521</v>
      </c>
    </row>
    <row r="4" spans="1:19" ht="17.25" thickBot="1" x14ac:dyDescent="0.35">
      <c r="A4" s="9" t="s">
        <v>65</v>
      </c>
      <c r="B4" s="9">
        <v>1531176</v>
      </c>
      <c r="C4" s="10" t="s">
        <v>66</v>
      </c>
      <c r="D4" s="9" t="s">
        <v>71</v>
      </c>
      <c r="E4" s="100">
        <f t="shared" si="0"/>
        <v>4106.0606818181814</v>
      </c>
      <c r="H4" s="75" t="s">
        <v>375</v>
      </c>
      <c r="I4" s="75">
        <f t="shared" ref="I4:I15" si="1">COUNTIF(A:A,H4)</f>
        <v>1</v>
      </c>
      <c r="J4" s="76">
        <f>ROUND(I4*$Q$13,2)</f>
        <v>4106.0600000000004</v>
      </c>
      <c r="N4" s="61" t="s">
        <v>522</v>
      </c>
      <c r="O4" s="62" t="s">
        <v>523</v>
      </c>
      <c r="P4" s="63"/>
      <c r="Q4" s="71">
        <v>4500</v>
      </c>
      <c r="R4" s="64" t="s">
        <v>524</v>
      </c>
      <c r="S4" s="65"/>
    </row>
    <row r="5" spans="1:19" ht="17.25" thickBot="1" x14ac:dyDescent="0.35">
      <c r="A5" s="9" t="s">
        <v>74</v>
      </c>
      <c r="B5" s="9">
        <v>1526468</v>
      </c>
      <c r="C5" s="10" t="s">
        <v>75</v>
      </c>
      <c r="D5" s="9" t="s">
        <v>81</v>
      </c>
      <c r="E5" s="100">
        <f t="shared" si="0"/>
        <v>4106.0606818181814</v>
      </c>
      <c r="H5" s="75" t="s">
        <v>387</v>
      </c>
      <c r="I5" s="75">
        <f t="shared" si="1"/>
        <v>1</v>
      </c>
      <c r="J5" s="76">
        <f t="shared" ref="J5:J14" si="2">ROUND(I5*$Q$13,2)</f>
        <v>4106.0600000000004</v>
      </c>
      <c r="N5" s="61" t="s">
        <v>525</v>
      </c>
      <c r="O5" s="62" t="s">
        <v>526</v>
      </c>
      <c r="P5" s="63" t="s">
        <v>527</v>
      </c>
      <c r="Q5" s="71">
        <f>Q3*Q4</f>
        <v>171000</v>
      </c>
      <c r="R5" s="64" t="s">
        <v>524</v>
      </c>
      <c r="S5" s="65"/>
    </row>
    <row r="6" spans="1:19" ht="17.25" thickBot="1" x14ac:dyDescent="0.35">
      <c r="A6" s="9" t="s">
        <v>86</v>
      </c>
      <c r="B6" s="9">
        <v>1516473</v>
      </c>
      <c r="C6" s="10" t="s">
        <v>87</v>
      </c>
      <c r="D6" s="9" t="s">
        <v>94</v>
      </c>
      <c r="E6" s="100">
        <f t="shared" si="0"/>
        <v>4106.0606818181814</v>
      </c>
      <c r="H6" s="75" t="s">
        <v>116</v>
      </c>
      <c r="I6" s="75">
        <f t="shared" si="1"/>
        <v>7</v>
      </c>
      <c r="J6" s="76">
        <f>ROUND(I6*$Q$13,2)+0.01</f>
        <v>28742.429999999997</v>
      </c>
      <c r="N6" s="61" t="s">
        <v>528</v>
      </c>
      <c r="O6" s="62" t="s">
        <v>529</v>
      </c>
      <c r="P6" s="63"/>
      <c r="Q6" s="71">
        <v>-27000</v>
      </c>
      <c r="R6" s="64" t="s">
        <v>524</v>
      </c>
      <c r="S6" s="65" t="s">
        <v>542</v>
      </c>
    </row>
    <row r="7" spans="1:19" ht="17.25" thickBot="1" x14ac:dyDescent="0.35">
      <c r="A7" s="9" t="s">
        <v>47</v>
      </c>
      <c r="B7" s="9">
        <v>1511883</v>
      </c>
      <c r="C7" s="10" t="s">
        <v>97</v>
      </c>
      <c r="D7" s="9" t="s">
        <v>102</v>
      </c>
      <c r="E7" s="100">
        <f t="shared" si="0"/>
        <v>4106.0606818181814</v>
      </c>
      <c r="H7" s="75" t="s">
        <v>58</v>
      </c>
      <c r="I7" s="75">
        <f t="shared" si="1"/>
        <v>4</v>
      </c>
      <c r="J7" s="76">
        <f t="shared" si="2"/>
        <v>16424.240000000002</v>
      </c>
      <c r="N7" s="61" t="s">
        <v>530</v>
      </c>
      <c r="O7" s="62" t="s">
        <v>531</v>
      </c>
      <c r="P7" s="63" t="s">
        <v>532</v>
      </c>
      <c r="Q7" s="71">
        <f>Q5+Q6</f>
        <v>144000</v>
      </c>
      <c r="R7" s="64" t="s">
        <v>524</v>
      </c>
      <c r="S7" s="65"/>
    </row>
    <row r="8" spans="1:19" ht="17.25" thickBot="1" x14ac:dyDescent="0.35">
      <c r="A8" s="9" t="s">
        <v>122</v>
      </c>
      <c r="B8" s="9">
        <v>1527322</v>
      </c>
      <c r="C8" s="10" t="s">
        <v>123</v>
      </c>
      <c r="D8" s="9" t="s">
        <v>130</v>
      </c>
      <c r="E8" s="100">
        <f t="shared" si="0"/>
        <v>4106.0606818181814</v>
      </c>
      <c r="H8" s="75" t="s">
        <v>47</v>
      </c>
      <c r="I8" s="75">
        <f t="shared" si="1"/>
        <v>3</v>
      </c>
      <c r="J8" s="76">
        <f t="shared" si="2"/>
        <v>12318.18</v>
      </c>
      <c r="N8" s="61" t="s">
        <v>533</v>
      </c>
      <c r="O8" s="62" t="s">
        <v>534</v>
      </c>
      <c r="P8" s="63" t="s">
        <v>543</v>
      </c>
      <c r="Q8" s="71">
        <f>ROUND(Q7/0.9,2)</f>
        <v>160000</v>
      </c>
      <c r="R8" s="64"/>
      <c r="S8" s="65"/>
    </row>
    <row r="9" spans="1:19" ht="17.25" thickBot="1" x14ac:dyDescent="0.35">
      <c r="A9" s="9" t="s">
        <v>116</v>
      </c>
      <c r="B9" s="9">
        <v>1515048</v>
      </c>
      <c r="C9" s="10" t="s">
        <v>135</v>
      </c>
      <c r="D9" s="9" t="s">
        <v>140</v>
      </c>
      <c r="E9" s="100">
        <f t="shared" si="0"/>
        <v>4106.0606818181814</v>
      </c>
      <c r="H9" s="75" t="s">
        <v>30</v>
      </c>
      <c r="I9" s="75">
        <f t="shared" si="1"/>
        <v>5</v>
      </c>
      <c r="J9" s="76">
        <f t="shared" si="2"/>
        <v>20530.3</v>
      </c>
      <c r="N9" s="225" t="s">
        <v>535</v>
      </c>
      <c r="O9" s="226"/>
      <c r="P9" s="226"/>
      <c r="Q9" s="226"/>
      <c r="R9" s="226"/>
      <c r="S9" s="227"/>
    </row>
    <row r="10" spans="1:19" ht="17.25" thickBot="1" x14ac:dyDescent="0.35">
      <c r="A10" s="9" t="s">
        <v>122</v>
      </c>
      <c r="B10" s="9">
        <v>1523946</v>
      </c>
      <c r="C10" s="10" t="s">
        <v>143</v>
      </c>
      <c r="D10" s="9" t="s">
        <v>149</v>
      </c>
      <c r="E10" s="100">
        <f t="shared" si="0"/>
        <v>4106.0606818181814</v>
      </c>
      <c r="H10" s="75" t="s">
        <v>358</v>
      </c>
      <c r="I10" s="75">
        <f t="shared" si="1"/>
        <v>1</v>
      </c>
      <c r="J10" s="76">
        <f t="shared" si="2"/>
        <v>4106.0600000000004</v>
      </c>
      <c r="N10" s="61" t="s">
        <v>544</v>
      </c>
      <c r="O10" s="62" t="s">
        <v>550</v>
      </c>
      <c r="P10" s="63"/>
      <c r="Q10" s="71">
        <f>9000+11666.67</f>
        <v>20666.669999999998</v>
      </c>
      <c r="R10" s="62" t="s">
        <v>524</v>
      </c>
      <c r="S10" s="65" t="s">
        <v>551</v>
      </c>
    </row>
    <row r="11" spans="1:19" ht="17.25" thickBot="1" x14ac:dyDescent="0.35">
      <c r="A11" s="9" t="s">
        <v>154</v>
      </c>
      <c r="B11" s="9">
        <v>1512425</v>
      </c>
      <c r="C11" s="10" t="s">
        <v>155</v>
      </c>
      <c r="D11" s="9" t="s">
        <v>160</v>
      </c>
      <c r="E11" s="100">
        <f t="shared" si="0"/>
        <v>4106.0606818181814</v>
      </c>
      <c r="H11" s="75" t="s">
        <v>86</v>
      </c>
      <c r="I11" s="75">
        <f t="shared" si="1"/>
        <v>5</v>
      </c>
      <c r="J11" s="76">
        <f t="shared" si="2"/>
        <v>20530.3</v>
      </c>
      <c r="N11" s="61" t="s">
        <v>545</v>
      </c>
      <c r="O11" s="62" t="s">
        <v>558</v>
      </c>
      <c r="P11" s="63" t="s">
        <v>553</v>
      </c>
      <c r="Q11" s="74">
        <f>Q8+Q10</f>
        <v>180666.66999999998</v>
      </c>
      <c r="R11" s="62" t="s">
        <v>524</v>
      </c>
      <c r="S11" s="65"/>
    </row>
    <row r="12" spans="1:19" ht="17.25" thickBot="1" x14ac:dyDescent="0.35">
      <c r="A12" s="9" t="s">
        <v>86</v>
      </c>
      <c r="B12" s="9">
        <v>1530311</v>
      </c>
      <c r="C12" s="10" t="s">
        <v>180</v>
      </c>
      <c r="D12" s="9" t="s">
        <v>185</v>
      </c>
      <c r="E12" s="100">
        <f t="shared" si="0"/>
        <v>4106.0606818181814</v>
      </c>
      <c r="H12" s="75" t="s">
        <v>154</v>
      </c>
      <c r="I12" s="75">
        <f t="shared" si="1"/>
        <v>6</v>
      </c>
      <c r="J12" s="76">
        <f>ROUND(I12*$Q$13,2)+0.01</f>
        <v>24636.37</v>
      </c>
      <c r="N12" s="61" t="s">
        <v>546</v>
      </c>
      <c r="O12" s="62" t="s">
        <v>536</v>
      </c>
      <c r="P12" s="63"/>
      <c r="Q12" s="71">
        <v>44</v>
      </c>
      <c r="R12" s="62" t="s">
        <v>520</v>
      </c>
      <c r="S12" s="65"/>
    </row>
    <row r="13" spans="1:19" ht="17.25" thickBot="1" x14ac:dyDescent="0.35">
      <c r="A13" s="9" t="s">
        <v>116</v>
      </c>
      <c r="B13" s="9">
        <v>1528166</v>
      </c>
      <c r="C13" s="10" t="s">
        <v>189</v>
      </c>
      <c r="D13" s="9" t="s">
        <v>192</v>
      </c>
      <c r="E13" s="100">
        <f t="shared" si="0"/>
        <v>4106.0606818181814</v>
      </c>
      <c r="H13" s="75" t="s">
        <v>74</v>
      </c>
      <c r="I13" s="75">
        <f t="shared" si="1"/>
        <v>1</v>
      </c>
      <c r="J13" s="76">
        <f t="shared" si="2"/>
        <v>4106.0600000000004</v>
      </c>
      <c r="N13" s="61" t="s">
        <v>547</v>
      </c>
      <c r="O13" s="62" t="s">
        <v>537</v>
      </c>
      <c r="P13" s="63" t="s">
        <v>552</v>
      </c>
      <c r="Q13" s="74">
        <f>Q11/Q12</f>
        <v>4106.0606818181814</v>
      </c>
      <c r="R13" s="62" t="s">
        <v>524</v>
      </c>
      <c r="S13" s="65"/>
    </row>
    <row r="14" spans="1:19" ht="17.25" thickBot="1" x14ac:dyDescent="0.35">
      <c r="A14" s="9" t="s">
        <v>154</v>
      </c>
      <c r="B14" s="9">
        <v>1514244</v>
      </c>
      <c r="C14" s="10" t="s">
        <v>203</v>
      </c>
      <c r="D14" s="9" t="s">
        <v>208</v>
      </c>
      <c r="E14" s="100">
        <f t="shared" si="0"/>
        <v>4106.0606818181814</v>
      </c>
      <c r="H14" s="75" t="s">
        <v>65</v>
      </c>
      <c r="I14" s="75">
        <f t="shared" si="1"/>
        <v>4</v>
      </c>
      <c r="J14" s="76">
        <f t="shared" si="2"/>
        <v>16424.240000000002</v>
      </c>
      <c r="N14" s="61" t="s">
        <v>548</v>
      </c>
      <c r="O14" s="62" t="s">
        <v>538</v>
      </c>
      <c r="P14" s="63"/>
      <c r="Q14" s="71">
        <v>1466.5</v>
      </c>
      <c r="R14" s="62" t="s">
        <v>539</v>
      </c>
      <c r="S14" s="65" t="s">
        <v>540</v>
      </c>
    </row>
    <row r="15" spans="1:19" ht="17.25" thickBot="1" x14ac:dyDescent="0.35">
      <c r="A15" s="9" t="s">
        <v>30</v>
      </c>
      <c r="B15" s="9">
        <v>1546791</v>
      </c>
      <c r="C15" s="10" t="s">
        <v>213</v>
      </c>
      <c r="D15" s="9" t="s">
        <v>217</v>
      </c>
      <c r="E15" s="100">
        <f t="shared" si="0"/>
        <v>4106.0606818181814</v>
      </c>
      <c r="H15" s="77" t="s">
        <v>122</v>
      </c>
      <c r="I15" s="77">
        <f t="shared" si="1"/>
        <v>6</v>
      </c>
      <c r="J15" s="78">
        <f>ROUND(I15*$Q$13,2)+0.01</f>
        <v>24636.37</v>
      </c>
      <c r="N15" s="67" t="s">
        <v>549</v>
      </c>
      <c r="O15" s="68" t="s">
        <v>537</v>
      </c>
      <c r="P15" s="69" t="s">
        <v>554</v>
      </c>
      <c r="Q15" s="99">
        <f>ROUND(Q13*Q14,2)</f>
        <v>6021537.9900000002</v>
      </c>
      <c r="R15" s="68" t="s">
        <v>541</v>
      </c>
      <c r="S15" s="70"/>
    </row>
    <row r="16" spans="1:19" x14ac:dyDescent="0.3">
      <c r="A16" s="9" t="s">
        <v>86</v>
      </c>
      <c r="B16" s="9">
        <v>1522493</v>
      </c>
      <c r="C16" s="10" t="s">
        <v>222</v>
      </c>
      <c r="D16" s="9" t="s">
        <v>225</v>
      </c>
      <c r="E16" s="100">
        <f t="shared" si="0"/>
        <v>4106.0606818181814</v>
      </c>
      <c r="H16" s="79" t="s">
        <v>557</v>
      </c>
      <c r="I16" s="80">
        <f>SUM(I4:I15)</f>
        <v>44</v>
      </c>
      <c r="J16" s="81">
        <f>SUM(J4:J15)</f>
        <v>180666.66999999998</v>
      </c>
      <c r="K16" t="b">
        <f>J16=Q11</f>
        <v>1</v>
      </c>
    </row>
    <row r="17" spans="1:19" x14ac:dyDescent="0.3">
      <c r="A17" s="9" t="s">
        <v>154</v>
      </c>
      <c r="B17" s="9">
        <v>1514071</v>
      </c>
      <c r="C17" s="10" t="s">
        <v>228</v>
      </c>
      <c r="D17" s="9" t="s">
        <v>231</v>
      </c>
      <c r="E17" s="100">
        <f t="shared" si="0"/>
        <v>4106.0606818181814</v>
      </c>
    </row>
    <row r="18" spans="1:19" x14ac:dyDescent="0.3">
      <c r="A18" s="9" t="s">
        <v>65</v>
      </c>
      <c r="B18" s="9">
        <v>1513980</v>
      </c>
      <c r="C18" s="10" t="s">
        <v>240</v>
      </c>
      <c r="D18" s="9" t="s">
        <v>244</v>
      </c>
      <c r="E18" s="100">
        <f t="shared" si="0"/>
        <v>4106.0606818181814</v>
      </c>
    </row>
    <row r="19" spans="1:19" x14ac:dyDescent="0.3">
      <c r="A19" s="9" t="s">
        <v>122</v>
      </c>
      <c r="B19" s="9">
        <v>1550289</v>
      </c>
      <c r="C19" s="10" t="s">
        <v>249</v>
      </c>
      <c r="D19" s="9" t="s">
        <v>253</v>
      </c>
      <c r="E19" s="100">
        <f t="shared" si="0"/>
        <v>4106.0606818181814</v>
      </c>
      <c r="S19" s="72"/>
    </row>
    <row r="20" spans="1:19" x14ac:dyDescent="0.3">
      <c r="A20" s="9" t="s">
        <v>116</v>
      </c>
      <c r="B20" s="9">
        <v>1514621</v>
      </c>
      <c r="C20" s="10" t="s">
        <v>258</v>
      </c>
      <c r="D20" s="9" t="s">
        <v>148</v>
      </c>
      <c r="E20" s="100">
        <f t="shared" si="0"/>
        <v>4106.0606818181814</v>
      </c>
      <c r="S20" s="66"/>
    </row>
    <row r="21" spans="1:19" x14ac:dyDescent="0.3">
      <c r="A21" s="9" t="s">
        <v>154</v>
      </c>
      <c r="B21" s="9">
        <v>1514486</v>
      </c>
      <c r="C21" s="10" t="s">
        <v>265</v>
      </c>
      <c r="D21" s="9" t="s">
        <v>208</v>
      </c>
      <c r="E21" s="100">
        <f t="shared" si="0"/>
        <v>4106.0606818181814</v>
      </c>
      <c r="S21" s="73"/>
    </row>
    <row r="22" spans="1:19" x14ac:dyDescent="0.3">
      <c r="A22" s="9" t="s">
        <v>58</v>
      </c>
      <c r="B22" s="9">
        <v>1536028</v>
      </c>
      <c r="C22" s="10" t="s">
        <v>272</v>
      </c>
      <c r="D22" s="9" t="s">
        <v>276</v>
      </c>
      <c r="E22" s="100">
        <f t="shared" si="0"/>
        <v>4106.0606818181814</v>
      </c>
    </row>
    <row r="23" spans="1:19" x14ac:dyDescent="0.3">
      <c r="A23" s="9" t="s">
        <v>58</v>
      </c>
      <c r="B23" s="9">
        <v>1515113</v>
      </c>
      <c r="C23" s="10" t="s">
        <v>279</v>
      </c>
      <c r="D23" s="9" t="s">
        <v>283</v>
      </c>
      <c r="E23" s="100">
        <f t="shared" si="0"/>
        <v>4106.0606818181814</v>
      </c>
    </row>
    <row r="24" spans="1:19" x14ac:dyDescent="0.3">
      <c r="A24" s="9" t="s">
        <v>122</v>
      </c>
      <c r="B24" s="9">
        <v>1527570</v>
      </c>
      <c r="C24" s="10" t="s">
        <v>288</v>
      </c>
      <c r="D24" s="9" t="s">
        <v>237</v>
      </c>
      <c r="E24" s="100">
        <f t="shared" si="0"/>
        <v>4106.0606818181814</v>
      </c>
    </row>
    <row r="25" spans="1:19" x14ac:dyDescent="0.3">
      <c r="A25" s="9" t="s">
        <v>47</v>
      </c>
      <c r="B25" s="9">
        <v>1511896</v>
      </c>
      <c r="C25" s="10" t="s">
        <v>299</v>
      </c>
      <c r="D25" s="9" t="s">
        <v>53</v>
      </c>
      <c r="E25" s="100">
        <f t="shared" si="0"/>
        <v>4106.0606818181814</v>
      </c>
    </row>
    <row r="26" spans="1:19" x14ac:dyDescent="0.3">
      <c r="A26" s="9" t="s">
        <v>122</v>
      </c>
      <c r="B26" s="9">
        <v>1547363</v>
      </c>
      <c r="C26" s="10" t="s">
        <v>302</v>
      </c>
      <c r="D26" s="9" t="s">
        <v>149</v>
      </c>
      <c r="E26" s="100">
        <f t="shared" si="0"/>
        <v>4106.0606818181814</v>
      </c>
    </row>
    <row r="27" spans="1:19" x14ac:dyDescent="0.3">
      <c r="A27" s="9" t="s">
        <v>122</v>
      </c>
      <c r="B27" s="9">
        <v>1545810</v>
      </c>
      <c r="C27" s="10" t="s">
        <v>308</v>
      </c>
      <c r="D27" s="9" t="s">
        <v>311</v>
      </c>
      <c r="E27" s="100">
        <f t="shared" si="0"/>
        <v>4106.0606818181814</v>
      </c>
    </row>
    <row r="28" spans="1:19" x14ac:dyDescent="0.3">
      <c r="A28" s="9" t="s">
        <v>116</v>
      </c>
      <c r="B28" s="9">
        <v>1516793</v>
      </c>
      <c r="C28" s="10" t="s">
        <v>316</v>
      </c>
      <c r="D28" s="9" t="s">
        <v>243</v>
      </c>
      <c r="E28" s="100">
        <f t="shared" si="0"/>
        <v>4106.0606818181814</v>
      </c>
    </row>
    <row r="29" spans="1:19" x14ac:dyDescent="0.3">
      <c r="A29" s="9" t="s">
        <v>86</v>
      </c>
      <c r="B29" s="9">
        <v>1529786</v>
      </c>
      <c r="C29" s="10" t="s">
        <v>324</v>
      </c>
      <c r="D29" s="9" t="s">
        <v>94</v>
      </c>
      <c r="E29" s="100">
        <f t="shared" si="0"/>
        <v>4106.0606818181814</v>
      </c>
    </row>
    <row r="30" spans="1:19" x14ac:dyDescent="0.3">
      <c r="A30" s="9" t="s">
        <v>65</v>
      </c>
      <c r="B30" s="9">
        <v>1548549</v>
      </c>
      <c r="C30" s="10" t="s">
        <v>327</v>
      </c>
      <c r="D30" s="9" t="s">
        <v>330</v>
      </c>
      <c r="E30" s="100">
        <f t="shared" si="0"/>
        <v>4106.0606818181814</v>
      </c>
    </row>
    <row r="31" spans="1:19" x14ac:dyDescent="0.3">
      <c r="A31" s="9" t="s">
        <v>65</v>
      </c>
      <c r="B31" s="9">
        <v>1548319</v>
      </c>
      <c r="C31" s="10" t="s">
        <v>333</v>
      </c>
      <c r="D31" s="9" t="s">
        <v>337</v>
      </c>
      <c r="E31" s="100">
        <f t="shared" si="0"/>
        <v>4106.0606818181814</v>
      </c>
    </row>
    <row r="32" spans="1:19" x14ac:dyDescent="0.3">
      <c r="A32" s="9" t="s">
        <v>154</v>
      </c>
      <c r="B32" s="9">
        <v>1550023</v>
      </c>
      <c r="C32" s="10" t="s">
        <v>339</v>
      </c>
      <c r="D32" s="9" t="s">
        <v>39</v>
      </c>
      <c r="E32" s="100">
        <f t="shared" si="0"/>
        <v>4106.0606818181814</v>
      </c>
    </row>
    <row r="33" spans="1:5" x14ac:dyDescent="0.3">
      <c r="A33" s="9" t="s">
        <v>30</v>
      </c>
      <c r="B33" s="9">
        <v>1546794</v>
      </c>
      <c r="C33" s="10" t="s">
        <v>347</v>
      </c>
      <c r="D33" s="9" t="s">
        <v>349</v>
      </c>
      <c r="E33" s="100">
        <f t="shared" si="0"/>
        <v>4106.0606818181814</v>
      </c>
    </row>
    <row r="34" spans="1:5" x14ac:dyDescent="0.3">
      <c r="A34" s="9" t="s">
        <v>86</v>
      </c>
      <c r="B34" s="9">
        <v>1548415</v>
      </c>
      <c r="C34" s="10" t="s">
        <v>352</v>
      </c>
      <c r="D34" s="9" t="s">
        <v>356</v>
      </c>
      <c r="E34" s="100">
        <f t="shared" si="0"/>
        <v>4106.0606818181814</v>
      </c>
    </row>
    <row r="35" spans="1:5" x14ac:dyDescent="0.3">
      <c r="A35" s="9" t="s">
        <v>358</v>
      </c>
      <c r="B35" s="9">
        <v>1545760</v>
      </c>
      <c r="C35" s="10" t="s">
        <v>359</v>
      </c>
      <c r="D35" s="9" t="s">
        <v>363</v>
      </c>
      <c r="E35" s="100">
        <f t="shared" si="0"/>
        <v>4106.0606818181814</v>
      </c>
    </row>
    <row r="36" spans="1:5" x14ac:dyDescent="0.3">
      <c r="A36" s="9" t="s">
        <v>375</v>
      </c>
      <c r="B36" s="9">
        <v>1533193</v>
      </c>
      <c r="C36" s="10" t="s">
        <v>376</v>
      </c>
      <c r="D36" s="9" t="s">
        <v>384</v>
      </c>
      <c r="E36" s="100">
        <f t="shared" si="0"/>
        <v>4106.0606818181814</v>
      </c>
    </row>
    <row r="37" spans="1:5" x14ac:dyDescent="0.3">
      <c r="A37" s="9" t="s">
        <v>387</v>
      </c>
      <c r="B37" s="9">
        <v>1527656</v>
      </c>
      <c r="C37" s="10" t="s">
        <v>388</v>
      </c>
      <c r="D37" s="9" t="s">
        <v>392</v>
      </c>
      <c r="E37" s="100">
        <f t="shared" si="0"/>
        <v>4106.0606818181814</v>
      </c>
    </row>
    <row r="38" spans="1:5" x14ac:dyDescent="0.3">
      <c r="A38" s="9" t="s">
        <v>58</v>
      </c>
      <c r="B38" s="9">
        <v>1545490</v>
      </c>
      <c r="C38" s="10" t="s">
        <v>397</v>
      </c>
      <c r="D38" s="9" t="s">
        <v>283</v>
      </c>
      <c r="E38" s="100">
        <f t="shared" si="0"/>
        <v>4106.0606818181814</v>
      </c>
    </row>
    <row r="39" spans="1:5" x14ac:dyDescent="0.3">
      <c r="A39" s="9" t="s">
        <v>30</v>
      </c>
      <c r="B39" s="9">
        <v>1550076</v>
      </c>
      <c r="C39" s="10" t="s">
        <v>405</v>
      </c>
      <c r="D39" s="9" t="s">
        <v>409</v>
      </c>
      <c r="E39" s="100">
        <f t="shared" si="0"/>
        <v>4106.0606818181814</v>
      </c>
    </row>
    <row r="40" spans="1:5" x14ac:dyDescent="0.3">
      <c r="A40" s="9" t="s">
        <v>116</v>
      </c>
      <c r="B40" s="9">
        <v>1545702</v>
      </c>
      <c r="C40" s="10" t="s">
        <v>413</v>
      </c>
      <c r="D40" s="9" t="s">
        <v>305</v>
      </c>
      <c r="E40" s="100">
        <f t="shared" si="0"/>
        <v>4106.0606818181814</v>
      </c>
    </row>
    <row r="41" spans="1:5" x14ac:dyDescent="0.3">
      <c r="A41" s="32" t="s">
        <v>30</v>
      </c>
      <c r="B41" s="9">
        <v>1545607</v>
      </c>
      <c r="C41" s="10" t="s">
        <v>419</v>
      </c>
      <c r="D41" s="9" t="s">
        <v>422</v>
      </c>
      <c r="E41" s="100">
        <f t="shared" si="0"/>
        <v>4106.0606818181814</v>
      </c>
    </row>
    <row r="42" spans="1:5" x14ac:dyDescent="0.3">
      <c r="A42" s="32" t="s">
        <v>426</v>
      </c>
      <c r="B42" s="9">
        <v>1544619</v>
      </c>
      <c r="C42" s="10" t="s">
        <v>427</v>
      </c>
      <c r="D42" s="9" t="s">
        <v>305</v>
      </c>
      <c r="E42" s="100">
        <f t="shared" si="0"/>
        <v>4106.0606818181814</v>
      </c>
    </row>
    <row r="43" spans="1:5" x14ac:dyDescent="0.3">
      <c r="A43" s="32" t="s">
        <v>434</v>
      </c>
      <c r="B43" s="9" t="s">
        <v>435</v>
      </c>
      <c r="C43" s="10" t="s">
        <v>436</v>
      </c>
      <c r="D43" s="9" t="s">
        <v>129</v>
      </c>
      <c r="E43" s="100">
        <f t="shared" si="0"/>
        <v>4106.0606818181814</v>
      </c>
    </row>
    <row r="44" spans="1:5" x14ac:dyDescent="0.3">
      <c r="A44" s="32" t="s">
        <v>444</v>
      </c>
      <c r="B44" s="9">
        <v>1546066</v>
      </c>
      <c r="C44" s="10" t="s">
        <v>469</v>
      </c>
      <c r="D44" s="9" t="s">
        <v>473</v>
      </c>
      <c r="E44" s="100">
        <f t="shared" si="0"/>
        <v>4106.0606818181814</v>
      </c>
    </row>
    <row r="45" spans="1:5" x14ac:dyDescent="0.3">
      <c r="A45" s="32" t="s">
        <v>426</v>
      </c>
      <c r="B45" s="9">
        <v>1544627</v>
      </c>
      <c r="C45" s="10" t="s">
        <v>477</v>
      </c>
      <c r="D45" s="9" t="s">
        <v>243</v>
      </c>
      <c r="E45" s="100">
        <f t="shared" si="0"/>
        <v>4106.0606818181814</v>
      </c>
    </row>
    <row r="46" spans="1:5" x14ac:dyDescent="0.3">
      <c r="E46" s="97">
        <f>SUM(E2:E45)</f>
        <v>180666.6699999999</v>
      </c>
    </row>
  </sheetData>
  <mergeCells count="4">
    <mergeCell ref="O1:P1"/>
    <mergeCell ref="Q1:R1"/>
    <mergeCell ref="N2:S2"/>
    <mergeCell ref="N9:S9"/>
  </mergeCells>
  <phoneticPr fontId="7" type="noConversion"/>
  <pageMargins left="0.7" right="0.7" top="0.75" bottom="0.75" header="0.3" footer="0.3"/>
  <customProperties>
    <customPr name="OrphanNamesChecked" r:id="rId1"/>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4C58-EB01-454C-A314-8D1340E45077}">
  <sheetPr codeName="Sheet15">
    <tabColor theme="1"/>
  </sheetPr>
  <dimension ref="A1"/>
  <sheetViews>
    <sheetView workbookViewId="0"/>
  </sheetViews>
  <sheetFormatPr defaultRowHeight="16.5" x14ac:dyDescent="0.3"/>
  <sheetData/>
  <phoneticPr fontId="7" type="noConversion"/>
  <pageMargins left="0.7" right="0.7" top="0.75" bottom="0.75" header="0.3" footer="0.3"/>
  <customProperties>
    <customPr name="OrphanNamesChecked" r:id="rId1"/>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A2894-BBB5-4E54-9326-BDD51B388FF0}">
  <sheetPr codeName="Sheet16"/>
  <dimension ref="A1:O38"/>
  <sheetViews>
    <sheetView workbookViewId="0"/>
  </sheetViews>
  <sheetFormatPr defaultRowHeight="16.5" x14ac:dyDescent="0.3"/>
  <cols>
    <col min="1" max="1" width="36.25" style="128" bestFit="1" customWidth="1"/>
    <col min="2" max="2" width="41.5" style="128" bestFit="1" customWidth="1"/>
    <col min="3" max="3" width="19.375" style="128" bestFit="1" customWidth="1"/>
    <col min="4" max="4" width="18.875" style="128" bestFit="1" customWidth="1"/>
    <col min="5" max="5" width="19.75" style="128" bestFit="1" customWidth="1"/>
    <col min="6" max="6" width="12.25" style="128" bestFit="1" customWidth="1"/>
    <col min="7" max="7" width="24.25" style="128" bestFit="1" customWidth="1"/>
    <col min="8" max="8" width="27.75" style="128" bestFit="1" customWidth="1"/>
    <col min="9" max="9" width="23.25" style="128" bestFit="1" customWidth="1"/>
    <col min="10" max="10" width="16" style="128" bestFit="1" customWidth="1"/>
    <col min="11" max="11" width="16.625" style="128" bestFit="1" customWidth="1"/>
    <col min="12" max="12" width="19.25" style="128" bestFit="1" customWidth="1"/>
    <col min="13" max="13" width="18.75" style="128" bestFit="1" customWidth="1"/>
    <col min="14" max="14" width="15.125" style="128" bestFit="1" customWidth="1"/>
    <col min="15" max="15" width="14.25" style="128" bestFit="1" customWidth="1"/>
    <col min="16" max="16384" width="9" style="128"/>
  </cols>
  <sheetData>
    <row r="1" spans="1:15" x14ac:dyDescent="0.3">
      <c r="A1" s="128" t="s">
        <v>1963</v>
      </c>
      <c r="B1" s="128" t="s">
        <v>1964</v>
      </c>
      <c r="C1" s="128" t="s">
        <v>1965</v>
      </c>
      <c r="D1" s="128" t="s">
        <v>1966</v>
      </c>
      <c r="E1" s="128" t="s">
        <v>1967</v>
      </c>
      <c r="F1" s="128" t="s">
        <v>1968</v>
      </c>
      <c r="G1" s="128" t="s">
        <v>1969</v>
      </c>
      <c r="H1" s="128" t="s">
        <v>1970</v>
      </c>
      <c r="I1" s="128" t="s">
        <v>1971</v>
      </c>
      <c r="J1" s="128" t="s">
        <v>1972</v>
      </c>
      <c r="K1" s="128" t="s">
        <v>1973</v>
      </c>
      <c r="L1" s="128" t="s">
        <v>1974</v>
      </c>
      <c r="M1" s="128" t="s">
        <v>1975</v>
      </c>
      <c r="N1" s="128" t="s">
        <v>1976</v>
      </c>
      <c r="O1" s="128" t="s">
        <v>1977</v>
      </c>
    </row>
    <row r="2" spans="1:15" x14ac:dyDescent="0.3">
      <c r="A2" s="128" t="s">
        <v>1978</v>
      </c>
      <c r="B2" s="128" t="s">
        <v>1979</v>
      </c>
      <c r="C2" s="128" t="s">
        <v>1980</v>
      </c>
      <c r="D2" s="129">
        <v>179827894339</v>
      </c>
      <c r="E2" s="129">
        <v>-179827894339</v>
      </c>
      <c r="F2" s="129">
        <v>6191</v>
      </c>
      <c r="G2" s="130">
        <v>3.1158011389698162E-3</v>
      </c>
      <c r="H2" s="130">
        <v>3.7758032962339129E-2</v>
      </c>
      <c r="I2" s="130">
        <v>0.95912616589869104</v>
      </c>
      <c r="J2" s="128">
        <v>7</v>
      </c>
      <c r="K2" s="129">
        <v>560307958</v>
      </c>
      <c r="L2" s="129">
        <v>346</v>
      </c>
      <c r="M2" s="129">
        <v>6789947562</v>
      </c>
      <c r="N2" s="129">
        <v>5838</v>
      </c>
      <c r="O2" s="128">
        <v>172477638819</v>
      </c>
    </row>
    <row r="3" spans="1:15" x14ac:dyDescent="0.3">
      <c r="A3" s="128" t="s">
        <v>1981</v>
      </c>
      <c r="B3" s="128" t="s">
        <v>1982</v>
      </c>
      <c r="C3" s="128" t="s">
        <v>1983</v>
      </c>
      <c r="D3" s="129">
        <v>56228814165281</v>
      </c>
      <c r="E3" s="129">
        <v>-38753034434131</v>
      </c>
      <c r="F3" s="129">
        <v>852899</v>
      </c>
      <c r="G3" s="130">
        <v>4.2092299177338914E-2</v>
      </c>
      <c r="H3" s="130">
        <v>0.13938428990911003</v>
      </c>
      <c r="I3" s="130">
        <v>0.81852341091355107</v>
      </c>
      <c r="J3" s="128">
        <v>312</v>
      </c>
      <c r="K3" s="129">
        <v>2366800068232</v>
      </c>
      <c r="L3" s="129">
        <v>3348</v>
      </c>
      <c r="M3" s="129">
        <v>7837413334859</v>
      </c>
      <c r="N3" s="129">
        <v>849239</v>
      </c>
      <c r="O3" s="128">
        <v>46024600762190</v>
      </c>
    </row>
    <row r="4" spans="1:15" x14ac:dyDescent="0.3">
      <c r="A4" s="128" t="s">
        <v>1981</v>
      </c>
      <c r="B4" s="128" t="s">
        <v>1984</v>
      </c>
      <c r="C4" s="128" t="s">
        <v>1983</v>
      </c>
      <c r="D4" s="129">
        <v>128504641705944</v>
      </c>
      <c r="E4" s="129">
        <v>-110826994009952</v>
      </c>
      <c r="F4" s="129">
        <v>2948860</v>
      </c>
      <c r="G4" s="130">
        <v>3.3819683899083436E-2</v>
      </c>
      <c r="H4" s="130">
        <v>6.8700474628331218E-2</v>
      </c>
      <c r="I4" s="130">
        <v>0.8974798414725853</v>
      </c>
      <c r="J4" s="128">
        <v>446</v>
      </c>
      <c r="K4" s="129">
        <v>4345986362060</v>
      </c>
      <c r="L4" s="129">
        <v>14431</v>
      </c>
      <c r="M4" s="129">
        <v>8828329877142</v>
      </c>
      <c r="N4" s="129">
        <v>2933983</v>
      </c>
      <c r="O4" s="128">
        <v>115330325466742</v>
      </c>
    </row>
    <row r="5" spans="1:15" x14ac:dyDescent="0.3">
      <c r="A5" s="128" t="s">
        <v>1985</v>
      </c>
      <c r="B5" s="128" t="s">
        <v>1986</v>
      </c>
      <c r="C5" s="128" t="s">
        <v>1980</v>
      </c>
      <c r="D5" s="129">
        <v>121265318782</v>
      </c>
      <c r="E5" s="129">
        <v>-121265318782</v>
      </c>
      <c r="F5" s="129">
        <v>924</v>
      </c>
      <c r="G5" s="130">
        <v>0</v>
      </c>
      <c r="H5" s="130">
        <v>0.14259018462718645</v>
      </c>
      <c r="I5" s="130">
        <v>0.85740981537281358</v>
      </c>
      <c r="J5" s="128">
        <v>0</v>
      </c>
      <c r="K5" s="129">
        <v>0</v>
      </c>
      <c r="L5" s="129">
        <v>5</v>
      </c>
      <c r="M5" s="129">
        <v>17291244194</v>
      </c>
      <c r="N5" s="129">
        <v>919</v>
      </c>
      <c r="O5" s="128">
        <v>103974074588</v>
      </c>
    </row>
    <row r="6" spans="1:15" x14ac:dyDescent="0.3">
      <c r="A6" s="128" t="s">
        <v>593</v>
      </c>
      <c r="B6" s="128" t="s">
        <v>1987</v>
      </c>
      <c r="C6" s="128" t="s">
        <v>1980</v>
      </c>
      <c r="D6" s="129">
        <v>113421331056</v>
      </c>
      <c r="E6" s="129">
        <v>-110554916350</v>
      </c>
      <c r="F6" s="129">
        <v>7138</v>
      </c>
      <c r="G6" s="130">
        <v>8.0601217292065916E-2</v>
      </c>
      <c r="H6" s="130">
        <v>0.82260585844239542</v>
      </c>
      <c r="I6" s="130">
        <v>9.6792924265538691E-2</v>
      </c>
      <c r="J6" s="128">
        <v>379</v>
      </c>
      <c r="K6" s="129">
        <v>9141897350</v>
      </c>
      <c r="L6" s="129">
        <v>2855</v>
      </c>
      <c r="M6" s="129">
        <v>93301051399</v>
      </c>
      <c r="N6" s="129">
        <v>3904</v>
      </c>
      <c r="O6" s="128">
        <v>10978382307</v>
      </c>
    </row>
    <row r="7" spans="1:15" x14ac:dyDescent="0.3">
      <c r="A7" s="128" t="s">
        <v>1988</v>
      </c>
      <c r="B7" s="128" t="s">
        <v>1989</v>
      </c>
      <c r="C7" s="128" t="s">
        <v>1983</v>
      </c>
      <c r="D7" s="129">
        <v>10623770772348</v>
      </c>
      <c r="E7" s="129">
        <v>-9709643751772</v>
      </c>
      <c r="F7" s="129">
        <v>58324</v>
      </c>
      <c r="G7" s="130">
        <v>7.7643293777289735E-3</v>
      </c>
      <c r="H7" s="130">
        <v>0.1874110567241615</v>
      </c>
      <c r="I7" s="130">
        <v>0.80482461389810955</v>
      </c>
      <c r="J7" s="128">
        <v>23</v>
      </c>
      <c r="K7" s="129">
        <v>82486455510</v>
      </c>
      <c r="L7" s="129">
        <v>4057</v>
      </c>
      <c r="M7" s="129">
        <v>1991012106841</v>
      </c>
      <c r="N7" s="129">
        <v>54244</v>
      </c>
      <c r="O7" s="128">
        <v>8550272209997</v>
      </c>
    </row>
    <row r="8" spans="1:15" x14ac:dyDescent="0.3">
      <c r="A8" s="128" t="s">
        <v>1988</v>
      </c>
      <c r="B8" s="128" t="s">
        <v>1990</v>
      </c>
      <c r="C8" s="128" t="s">
        <v>1991</v>
      </c>
      <c r="D8" s="129">
        <v>8128554123101</v>
      </c>
      <c r="E8" s="129">
        <v>-7712819863891</v>
      </c>
      <c r="F8" s="129">
        <v>57424</v>
      </c>
      <c r="G8" s="130">
        <v>1.2877277840289211E-2</v>
      </c>
      <c r="H8" s="130">
        <v>0.22290298196043479</v>
      </c>
      <c r="I8" s="130">
        <v>0.76421974019927597</v>
      </c>
      <c r="J8" s="128">
        <v>18</v>
      </c>
      <c r="K8" s="129">
        <v>104673649883</v>
      </c>
      <c r="L8" s="129">
        <v>3753</v>
      </c>
      <c r="M8" s="129">
        <v>1811878953066</v>
      </c>
      <c r="N8" s="129">
        <v>53653</v>
      </c>
      <c r="O8" s="128">
        <v>6212001520152</v>
      </c>
    </row>
    <row r="9" spans="1:15" x14ac:dyDescent="0.3">
      <c r="A9" s="128" t="s">
        <v>1988</v>
      </c>
      <c r="B9" s="128" t="s">
        <v>1992</v>
      </c>
      <c r="C9" s="128" t="s">
        <v>1983</v>
      </c>
      <c r="D9" s="129">
        <v>6668533628386</v>
      </c>
      <c r="E9" s="129">
        <v>-5653386471374</v>
      </c>
      <c r="F9" s="129">
        <v>55146</v>
      </c>
      <c r="G9" s="130">
        <v>2.4806795965582943E-2</v>
      </c>
      <c r="H9" s="130">
        <v>0.21235715406023145</v>
      </c>
      <c r="I9" s="130">
        <v>0.76283604997418564</v>
      </c>
      <c r="J9" s="128">
        <v>27</v>
      </c>
      <c r="K9" s="129">
        <v>165424953109</v>
      </c>
      <c r="L9" s="129">
        <v>3395</v>
      </c>
      <c r="M9" s="129">
        <v>1416110823079</v>
      </c>
      <c r="N9" s="129">
        <v>51724</v>
      </c>
      <c r="O9" s="128">
        <v>5086997852198</v>
      </c>
    </row>
    <row r="10" spans="1:15" x14ac:dyDescent="0.3">
      <c r="A10" s="128" t="s">
        <v>1988</v>
      </c>
      <c r="B10" s="128" t="s">
        <v>1993</v>
      </c>
      <c r="C10" s="128" t="s">
        <v>1983</v>
      </c>
      <c r="D10" s="129">
        <v>5002810190765</v>
      </c>
      <c r="E10" s="129">
        <v>-4421870677729</v>
      </c>
      <c r="F10" s="129">
        <v>54552</v>
      </c>
      <c r="G10" s="130">
        <v>8.958162774739812E-4</v>
      </c>
      <c r="H10" s="130">
        <v>0.25416974814580368</v>
      </c>
      <c r="I10" s="130">
        <v>0.74493443557672234</v>
      </c>
      <c r="J10" s="128">
        <v>19</v>
      </c>
      <c r="K10" s="129">
        <v>4481598802</v>
      </c>
      <c r="L10" s="129">
        <v>3656</v>
      </c>
      <c r="M10" s="129">
        <v>1271563006208</v>
      </c>
      <c r="N10" s="129">
        <v>50877</v>
      </c>
      <c r="O10" s="128">
        <v>3726765585755</v>
      </c>
    </row>
    <row r="11" spans="1:15" x14ac:dyDescent="0.3">
      <c r="A11" s="128" t="s">
        <v>567</v>
      </c>
      <c r="B11" s="128" t="s">
        <v>1994</v>
      </c>
      <c r="C11" s="128" t="s">
        <v>1983</v>
      </c>
      <c r="D11" s="129">
        <v>1087844709965</v>
      </c>
      <c r="E11" s="129">
        <v>-452472562847</v>
      </c>
      <c r="F11" s="129">
        <v>5648</v>
      </c>
      <c r="G11" s="130">
        <v>1.1924290775305007E-3</v>
      </c>
      <c r="H11" s="130">
        <v>0.32638050448250405</v>
      </c>
      <c r="I11" s="130">
        <v>0.67242706643996542</v>
      </c>
      <c r="J11" s="128">
        <v>1</v>
      </c>
      <c r="K11" s="129">
        <v>1297177664</v>
      </c>
      <c r="L11" s="129">
        <v>56</v>
      </c>
      <c r="M11" s="129">
        <v>355051305237</v>
      </c>
      <c r="N11" s="129">
        <v>5591</v>
      </c>
      <c r="O11" s="128">
        <v>731496227064</v>
      </c>
    </row>
    <row r="12" spans="1:15" x14ac:dyDescent="0.3">
      <c r="A12" s="128" t="s">
        <v>567</v>
      </c>
      <c r="B12" s="128" t="s">
        <v>1995</v>
      </c>
      <c r="C12" s="128" t="s">
        <v>1983</v>
      </c>
      <c r="D12" s="129">
        <v>1305213647171</v>
      </c>
      <c r="E12" s="129">
        <v>-590559650687</v>
      </c>
      <c r="F12" s="129">
        <v>5524</v>
      </c>
      <c r="G12" s="130">
        <v>0</v>
      </c>
      <c r="H12" s="130">
        <v>0.1617484301842739</v>
      </c>
      <c r="I12" s="130">
        <v>0.83825156981572613</v>
      </c>
      <c r="J12" s="128">
        <v>0</v>
      </c>
      <c r="K12" s="129">
        <v>0</v>
      </c>
      <c r="L12" s="129">
        <v>38</v>
      </c>
      <c r="M12" s="129">
        <v>211116258485</v>
      </c>
      <c r="N12" s="129">
        <v>5486</v>
      </c>
      <c r="O12" s="128">
        <v>1094097388686</v>
      </c>
    </row>
    <row r="13" spans="1:15" x14ac:dyDescent="0.3">
      <c r="A13" s="128" t="s">
        <v>511</v>
      </c>
      <c r="B13" s="128" t="s">
        <v>1996</v>
      </c>
      <c r="C13" s="128" t="s">
        <v>1980</v>
      </c>
      <c r="D13" s="129">
        <v>487093877244</v>
      </c>
      <c r="E13" s="129">
        <v>-366946477966</v>
      </c>
      <c r="F13" s="129">
        <v>4774</v>
      </c>
      <c r="G13" s="130">
        <v>1.2242921101249497E-2</v>
      </c>
      <c r="H13" s="130">
        <v>0.12580335950579805</v>
      </c>
      <c r="I13" s="130">
        <v>0.8619537193929524</v>
      </c>
      <c r="J13" s="128">
        <v>6</v>
      </c>
      <c r="K13" s="129">
        <v>5963451908</v>
      </c>
      <c r="L13" s="129">
        <v>212</v>
      </c>
      <c r="M13" s="129">
        <v>61278046152</v>
      </c>
      <c r="N13" s="129">
        <v>4556</v>
      </c>
      <c r="O13" s="128">
        <v>419852379184</v>
      </c>
    </row>
    <row r="14" spans="1:15" x14ac:dyDescent="0.3">
      <c r="A14" s="128" t="s">
        <v>1997</v>
      </c>
      <c r="B14" s="128" t="s">
        <v>1998</v>
      </c>
      <c r="C14" s="128" t="s">
        <v>1983</v>
      </c>
      <c r="D14" s="129">
        <v>2322687911644</v>
      </c>
      <c r="E14" s="129">
        <v>-581666130784</v>
      </c>
      <c r="F14" s="129">
        <v>13844312</v>
      </c>
      <c r="G14" s="130">
        <v>1.0655273283995667E-2</v>
      </c>
      <c r="H14" s="130">
        <v>0.12180123300196571</v>
      </c>
      <c r="I14" s="130">
        <v>0.8675434937140386</v>
      </c>
      <c r="J14" s="128">
        <v>498</v>
      </c>
      <c r="K14" s="129">
        <v>24748874452</v>
      </c>
      <c r="L14" s="129">
        <v>27145</v>
      </c>
      <c r="M14" s="129">
        <v>282906251517</v>
      </c>
      <c r="N14" s="129">
        <v>13816669</v>
      </c>
      <c r="O14" s="128">
        <v>2015032785675</v>
      </c>
    </row>
    <row r="15" spans="1:15" x14ac:dyDescent="0.3">
      <c r="A15" s="128" t="s">
        <v>1997</v>
      </c>
      <c r="B15" s="128" t="s">
        <v>1999</v>
      </c>
      <c r="C15" s="128" t="s">
        <v>1983</v>
      </c>
      <c r="D15" s="129">
        <v>1877597417154</v>
      </c>
      <c r="E15" s="129">
        <v>-446043621100</v>
      </c>
      <c r="F15" s="129">
        <v>13420125</v>
      </c>
      <c r="G15" s="130">
        <v>1.3625657252862342E-2</v>
      </c>
      <c r="H15" s="130">
        <v>0.15483345632987502</v>
      </c>
      <c r="I15" s="130">
        <v>0.83154088641726265</v>
      </c>
      <c r="J15" s="128">
        <v>409</v>
      </c>
      <c r="K15" s="129">
        <v>25583498865</v>
      </c>
      <c r="L15" s="129">
        <v>29739</v>
      </c>
      <c r="M15" s="129">
        <v>290714897694</v>
      </c>
      <c r="N15" s="129">
        <v>13389977</v>
      </c>
      <c r="O15" s="128">
        <v>1561299020595</v>
      </c>
    </row>
    <row r="16" spans="1:15" x14ac:dyDescent="0.3">
      <c r="A16" s="128" t="s">
        <v>1997</v>
      </c>
      <c r="B16" s="128" t="s">
        <v>2000</v>
      </c>
      <c r="C16" s="128" t="s">
        <v>1983</v>
      </c>
      <c r="D16" s="129">
        <v>3829085275456</v>
      </c>
      <c r="E16" s="129">
        <v>-961506678096</v>
      </c>
      <c r="F16" s="129">
        <v>28268258</v>
      </c>
      <c r="G16" s="130">
        <v>8.6708381886444405E-3</v>
      </c>
      <c r="H16" s="130">
        <v>9.4274763038284831E-2</v>
      </c>
      <c r="I16" s="130">
        <v>0.89705439877307069</v>
      </c>
      <c r="J16" s="128">
        <v>573</v>
      </c>
      <c r="K16" s="129">
        <v>33201378834</v>
      </c>
      <c r="L16" s="129">
        <v>24321</v>
      </c>
      <c r="M16" s="129">
        <v>360986106997</v>
      </c>
      <c r="N16" s="129">
        <v>28243364</v>
      </c>
      <c r="O16" s="128">
        <v>3434897789625</v>
      </c>
    </row>
    <row r="17" spans="1:15" x14ac:dyDescent="0.3">
      <c r="A17" s="128" t="s">
        <v>479</v>
      </c>
      <c r="B17" s="128" t="s">
        <v>2001</v>
      </c>
      <c r="C17" s="128" t="s">
        <v>1983</v>
      </c>
      <c r="D17" s="129">
        <v>779840294768</v>
      </c>
      <c r="E17" s="129">
        <v>-580490156022</v>
      </c>
      <c r="F17" s="129">
        <v>9055392</v>
      </c>
      <c r="G17" s="130">
        <v>4.765325111990469E-4</v>
      </c>
      <c r="H17" s="130">
        <v>0.14774821054390064</v>
      </c>
      <c r="I17" s="130">
        <v>0.85177525694490031</v>
      </c>
      <c r="J17" s="128">
        <v>74</v>
      </c>
      <c r="K17" s="129">
        <v>371619254</v>
      </c>
      <c r="L17" s="129">
        <v>11097</v>
      </c>
      <c r="M17" s="129">
        <v>115220008062</v>
      </c>
      <c r="N17" s="129">
        <v>9044221</v>
      </c>
      <c r="O17" s="128">
        <v>664248667452</v>
      </c>
    </row>
    <row r="18" spans="1:15" x14ac:dyDescent="0.3">
      <c r="A18" s="128" t="s">
        <v>479</v>
      </c>
      <c r="B18" s="128" t="s">
        <v>2002</v>
      </c>
      <c r="C18" s="128" t="s">
        <v>1983</v>
      </c>
      <c r="D18" s="129">
        <v>732381325604</v>
      </c>
      <c r="E18" s="129">
        <v>-560023072098</v>
      </c>
      <c r="F18" s="129">
        <v>8233287</v>
      </c>
      <c r="G18" s="130">
        <v>8.7376308164636377E-4</v>
      </c>
      <c r="H18" s="130">
        <v>0.12199895285739656</v>
      </c>
      <c r="I18" s="130">
        <v>0.87712728406095708</v>
      </c>
      <c r="J18" s="128">
        <v>87</v>
      </c>
      <c r="K18" s="129">
        <v>639927764</v>
      </c>
      <c r="L18" s="129">
        <v>16605</v>
      </c>
      <c r="M18" s="129">
        <v>89349754816</v>
      </c>
      <c r="N18" s="129">
        <v>8216595</v>
      </c>
      <c r="O18" s="128">
        <v>642391643024</v>
      </c>
    </row>
    <row r="19" spans="1:15" x14ac:dyDescent="0.3">
      <c r="A19" s="128" t="s">
        <v>479</v>
      </c>
      <c r="B19" s="128" t="s">
        <v>2003</v>
      </c>
      <c r="C19" s="128" t="s">
        <v>1983</v>
      </c>
      <c r="D19" s="129">
        <v>1467426237954</v>
      </c>
      <c r="E19" s="129">
        <v>-1083852079888</v>
      </c>
      <c r="F19" s="129">
        <v>17915779</v>
      </c>
      <c r="G19" s="130">
        <v>1.2092238520104916E-3</v>
      </c>
      <c r="H19" s="130">
        <v>0.10832251546055757</v>
      </c>
      <c r="I19" s="130">
        <v>0.8904682606874319</v>
      </c>
      <c r="J19" s="128">
        <v>180</v>
      </c>
      <c r="K19" s="129">
        <v>1774446808</v>
      </c>
      <c r="L19" s="129">
        <v>26202</v>
      </c>
      <c r="M19" s="129">
        <v>158955301348</v>
      </c>
      <c r="N19" s="129">
        <v>17889397</v>
      </c>
      <c r="O19" s="128">
        <v>1306696489798</v>
      </c>
    </row>
    <row r="20" spans="1:15" x14ac:dyDescent="0.3">
      <c r="A20" s="128" t="s">
        <v>360</v>
      </c>
      <c r="B20" s="128" t="s">
        <v>2004</v>
      </c>
      <c r="C20" s="128" t="s">
        <v>1991</v>
      </c>
      <c r="D20" s="129">
        <v>48589712683693</v>
      </c>
      <c r="E20" s="129">
        <v>-37174773222831</v>
      </c>
      <c r="F20" s="129">
        <v>36502</v>
      </c>
      <c r="G20" s="130">
        <v>5.5395283166107936E-2</v>
      </c>
      <c r="H20" s="130">
        <v>0.17604947238775995</v>
      </c>
      <c r="I20" s="130">
        <v>0.7685552444461321</v>
      </c>
      <c r="J20" s="128">
        <v>94</v>
      </c>
      <c r="K20" s="129">
        <v>2691640893073</v>
      </c>
      <c r="L20" s="129">
        <v>1978</v>
      </c>
      <c r="M20" s="129">
        <v>8554193281437</v>
      </c>
      <c r="N20" s="129">
        <v>34430</v>
      </c>
      <c r="O20" s="128">
        <v>37343878509183</v>
      </c>
    </row>
    <row r="21" spans="1:15" x14ac:dyDescent="0.3">
      <c r="A21" s="128" t="s">
        <v>2005</v>
      </c>
      <c r="B21" s="128" t="s">
        <v>2006</v>
      </c>
      <c r="C21" s="128" t="s">
        <v>1983</v>
      </c>
      <c r="D21" s="129">
        <v>5938756662953</v>
      </c>
      <c r="E21" s="129">
        <v>-2387312164789</v>
      </c>
      <c r="F21" s="129">
        <v>781875</v>
      </c>
      <c r="G21" s="130">
        <v>1.2506331741006004E-2</v>
      </c>
      <c r="H21" s="130">
        <v>0.57729022307832056</v>
      </c>
      <c r="I21" s="130">
        <v>0.41020344518067342</v>
      </c>
      <c r="J21" s="128">
        <v>222</v>
      </c>
      <c r="K21" s="129">
        <v>74272060956</v>
      </c>
      <c r="L21" s="129">
        <v>12933</v>
      </c>
      <c r="M21" s="129">
        <v>3428386158764</v>
      </c>
      <c r="N21" s="129">
        <v>768720</v>
      </c>
      <c r="O21" s="128">
        <v>2436098443233</v>
      </c>
    </row>
    <row r="22" spans="1:15" x14ac:dyDescent="0.3">
      <c r="A22" s="128" t="s">
        <v>564</v>
      </c>
      <c r="B22" s="128" t="s">
        <v>2007</v>
      </c>
      <c r="C22" s="128" t="s">
        <v>1983</v>
      </c>
      <c r="D22" s="129">
        <v>461351428115</v>
      </c>
      <c r="E22" s="129">
        <v>-335352197803</v>
      </c>
      <c r="F22" s="129">
        <v>224257</v>
      </c>
      <c r="G22" s="130">
        <v>7.3728321719904247E-2</v>
      </c>
      <c r="H22" s="130">
        <v>0.39903505251556515</v>
      </c>
      <c r="I22" s="130">
        <v>0.52723662576453056</v>
      </c>
      <c r="J22" s="128">
        <v>84</v>
      </c>
      <c r="K22" s="129">
        <v>34014666518</v>
      </c>
      <c r="L22" s="129">
        <v>6946</v>
      </c>
      <c r="M22" s="129">
        <v>184095391346</v>
      </c>
      <c r="N22" s="129">
        <v>217227</v>
      </c>
      <c r="O22" s="128">
        <v>243241370251</v>
      </c>
    </row>
    <row r="23" spans="1:15" x14ac:dyDescent="0.3">
      <c r="A23" s="128" t="s">
        <v>2008</v>
      </c>
      <c r="B23" s="128" t="s">
        <v>2009</v>
      </c>
      <c r="C23" s="128" t="s">
        <v>1983</v>
      </c>
      <c r="D23" s="129">
        <v>1585560862692</v>
      </c>
      <c r="E23" s="129">
        <v>-683893890616</v>
      </c>
      <c r="F23" s="129">
        <v>16265746</v>
      </c>
      <c r="G23" s="130">
        <v>4.9907424716985768E-2</v>
      </c>
      <c r="H23" s="130">
        <v>0.2319462409456807</v>
      </c>
      <c r="I23" s="130">
        <v>0.71814633433733355</v>
      </c>
      <c r="J23" s="128">
        <v>2956</v>
      </c>
      <c r="K23" s="129">
        <v>79131259389</v>
      </c>
      <c r="L23" s="129">
        <v>188330</v>
      </c>
      <c r="M23" s="129">
        <v>367764881892</v>
      </c>
      <c r="N23" s="129">
        <v>16074460</v>
      </c>
      <c r="O23" s="128">
        <v>1138664721411</v>
      </c>
    </row>
    <row r="24" spans="1:15" x14ac:dyDescent="0.3">
      <c r="A24" s="128" t="s">
        <v>2008</v>
      </c>
      <c r="B24" s="128" t="s">
        <v>2010</v>
      </c>
      <c r="C24" s="128" t="s">
        <v>1983</v>
      </c>
      <c r="D24" s="129">
        <v>1653975399915</v>
      </c>
      <c r="E24" s="129">
        <v>-699832794879</v>
      </c>
      <c r="F24" s="129">
        <v>16273686</v>
      </c>
      <c r="G24" s="130">
        <v>5.4367134708062287E-2</v>
      </c>
      <c r="H24" s="130">
        <v>0.2282723744744953</v>
      </c>
      <c r="I24" s="130">
        <v>0.71736049081744246</v>
      </c>
      <c r="J24" s="128">
        <v>3042</v>
      </c>
      <c r="K24" s="129">
        <v>89921903371</v>
      </c>
      <c r="L24" s="129">
        <v>197774</v>
      </c>
      <c r="M24" s="129">
        <v>377556891861</v>
      </c>
      <c r="N24" s="129">
        <v>16072870</v>
      </c>
      <c r="O24" s="128">
        <v>1186496604683</v>
      </c>
    </row>
    <row r="25" spans="1:15" x14ac:dyDescent="0.3">
      <c r="A25" s="128" t="s">
        <v>2008</v>
      </c>
      <c r="B25" s="128" t="s">
        <v>2011</v>
      </c>
      <c r="C25" s="128" t="s">
        <v>1983</v>
      </c>
      <c r="D25" s="129">
        <v>1831687519501</v>
      </c>
      <c r="E25" s="129">
        <v>-670124245647</v>
      </c>
      <c r="F25" s="129">
        <v>15624667</v>
      </c>
      <c r="G25" s="130">
        <v>0.10626590035020093</v>
      </c>
      <c r="H25" s="130">
        <v>0.28677227656718401</v>
      </c>
      <c r="I25" s="130">
        <v>0.60696182308261504</v>
      </c>
      <c r="J25" s="128">
        <v>2898</v>
      </c>
      <c r="K25" s="129">
        <v>194645923420</v>
      </c>
      <c r="L25" s="129">
        <v>210915</v>
      </c>
      <c r="M25" s="129">
        <v>525277199927</v>
      </c>
      <c r="N25" s="129">
        <v>15410854</v>
      </c>
      <c r="O25" s="128">
        <v>1111764396154</v>
      </c>
    </row>
    <row r="26" spans="1:15" x14ac:dyDescent="0.3">
      <c r="A26" s="128" t="s">
        <v>2008</v>
      </c>
      <c r="B26" s="128" t="s">
        <v>2012</v>
      </c>
      <c r="C26" s="128" t="s">
        <v>1983</v>
      </c>
      <c r="D26" s="129">
        <v>1454129870542</v>
      </c>
      <c r="E26" s="129">
        <v>-588917847606</v>
      </c>
      <c r="F26" s="129">
        <v>14349485</v>
      </c>
      <c r="G26" s="130">
        <v>3.0072368091648358E-2</v>
      </c>
      <c r="H26" s="130">
        <v>0.27958837614652887</v>
      </c>
      <c r="I26" s="130">
        <v>0.69033925576182276</v>
      </c>
      <c r="J26" s="128">
        <v>2004</v>
      </c>
      <c r="K26" s="129">
        <v>43729128720</v>
      </c>
      <c r="L26" s="129">
        <v>209210</v>
      </c>
      <c r="M26" s="129">
        <v>406557809211</v>
      </c>
      <c r="N26" s="129">
        <v>14138271</v>
      </c>
      <c r="O26" s="128">
        <v>1003842932611</v>
      </c>
    </row>
    <row r="27" spans="1:15" x14ac:dyDescent="0.3">
      <c r="A27" s="128" t="s">
        <v>2013</v>
      </c>
      <c r="B27" s="128" t="s">
        <v>1986</v>
      </c>
      <c r="C27" s="128" t="s">
        <v>1983</v>
      </c>
      <c r="D27" s="129">
        <v>339996041532</v>
      </c>
      <c r="E27" s="129">
        <v>-339688305532</v>
      </c>
      <c r="F27" s="129">
        <v>46748</v>
      </c>
      <c r="G27" s="130">
        <v>1.6004280948335285E-3</v>
      </c>
      <c r="H27" s="130">
        <v>0.26351803810800373</v>
      </c>
      <c r="I27" s="130">
        <v>0.7348815337971627</v>
      </c>
      <c r="J27" s="128">
        <v>61</v>
      </c>
      <c r="K27" s="129">
        <v>544139217</v>
      </c>
      <c r="L27" s="129">
        <v>3577</v>
      </c>
      <c r="M27" s="129">
        <v>89595089829</v>
      </c>
      <c r="N27" s="129">
        <v>43110</v>
      </c>
      <c r="O27" s="128">
        <v>249856812486</v>
      </c>
    </row>
    <row r="28" spans="1:15" x14ac:dyDescent="0.3">
      <c r="A28" s="128" t="s">
        <v>569</v>
      </c>
      <c r="B28" s="128" t="s">
        <v>2014</v>
      </c>
      <c r="C28" s="128" t="s">
        <v>1980</v>
      </c>
      <c r="D28" s="129">
        <v>3705203487633</v>
      </c>
      <c r="E28" s="129">
        <v>-1560667402545</v>
      </c>
      <c r="F28" s="129">
        <v>22331737</v>
      </c>
      <c r="G28" s="130">
        <v>1.3127361500210738E-2</v>
      </c>
      <c r="H28" s="130">
        <v>0.14196219383433231</v>
      </c>
      <c r="I28" s="130">
        <v>0.84491044466545695</v>
      </c>
      <c r="J28" s="128">
        <v>2940</v>
      </c>
      <c r="K28" s="129">
        <v>48639545614</v>
      </c>
      <c r="L28" s="129">
        <v>312427</v>
      </c>
      <c r="M28" s="129">
        <v>525998815707</v>
      </c>
      <c r="N28" s="129">
        <v>22016370</v>
      </c>
      <c r="O28" s="128">
        <v>3130565126312</v>
      </c>
    </row>
    <row r="29" spans="1:15" x14ac:dyDescent="0.3">
      <c r="A29" s="128" t="s">
        <v>585</v>
      </c>
      <c r="B29" s="128" t="s">
        <v>2015</v>
      </c>
      <c r="C29" s="128" t="s">
        <v>1980</v>
      </c>
      <c r="D29" s="129">
        <v>11173406209</v>
      </c>
      <c r="E29" s="129">
        <v>-11173406209</v>
      </c>
      <c r="F29" s="129">
        <v>591</v>
      </c>
      <c r="G29" s="130">
        <v>6.7031515903960989E-2</v>
      </c>
      <c r="H29" s="130">
        <v>0.79683863697969315</v>
      </c>
      <c r="I29" s="130">
        <v>0.1361298471163459</v>
      </c>
      <c r="J29" s="128">
        <v>21</v>
      </c>
      <c r="K29" s="129">
        <v>748970356</v>
      </c>
      <c r="L29" s="129">
        <v>276</v>
      </c>
      <c r="M29" s="129">
        <v>8903401774</v>
      </c>
      <c r="N29" s="129">
        <v>294</v>
      </c>
      <c r="O29" s="128">
        <v>1521034079</v>
      </c>
    </row>
    <row r="30" spans="1:15" x14ac:dyDescent="0.3">
      <c r="A30" s="128" t="s">
        <v>585</v>
      </c>
      <c r="B30" s="128" t="s">
        <v>2016</v>
      </c>
      <c r="C30" s="128" t="s">
        <v>1983</v>
      </c>
      <c r="D30" s="129">
        <v>11189979068</v>
      </c>
      <c r="E30" s="129">
        <v>-11189979068</v>
      </c>
      <c r="F30" s="129">
        <v>513</v>
      </c>
      <c r="G30" s="130">
        <v>0</v>
      </c>
      <c r="H30" s="130">
        <v>8.2493852168124535E-2</v>
      </c>
      <c r="I30" s="130">
        <v>0.91750614783187545</v>
      </c>
      <c r="J30" s="128">
        <v>0</v>
      </c>
      <c r="K30" s="129">
        <v>0</v>
      </c>
      <c r="L30" s="129">
        <v>94</v>
      </c>
      <c r="M30" s="129">
        <v>923104479</v>
      </c>
      <c r="N30" s="129">
        <v>419</v>
      </c>
      <c r="O30" s="128">
        <v>10266874589</v>
      </c>
    </row>
    <row r="31" spans="1:15" x14ac:dyDescent="0.3">
      <c r="A31" s="128" t="s">
        <v>2017</v>
      </c>
      <c r="B31" s="128" t="s">
        <v>2018</v>
      </c>
      <c r="C31" s="128" t="s">
        <v>1983</v>
      </c>
      <c r="D31" s="129">
        <v>1215806097502</v>
      </c>
      <c r="E31" s="129">
        <v>-1215806097502</v>
      </c>
      <c r="F31" s="129">
        <v>90694</v>
      </c>
      <c r="G31" s="130">
        <v>6.9179342966621069E-5</v>
      </c>
      <c r="H31" s="130">
        <v>0.32541057949855295</v>
      </c>
      <c r="I31" s="130">
        <v>0.67452024115848042</v>
      </c>
      <c r="J31" s="128">
        <v>13</v>
      </c>
      <c r="K31" s="129">
        <v>84108667</v>
      </c>
      <c r="L31" s="129">
        <v>20776</v>
      </c>
      <c r="M31" s="129">
        <v>395636166746</v>
      </c>
      <c r="N31" s="129">
        <v>69905</v>
      </c>
      <c r="O31" s="128">
        <v>820085822089</v>
      </c>
    </row>
    <row r="32" spans="1:15" x14ac:dyDescent="0.3">
      <c r="A32" s="128" t="s">
        <v>576</v>
      </c>
      <c r="B32" s="128" t="s">
        <v>2019</v>
      </c>
      <c r="C32" s="128" t="s">
        <v>1983</v>
      </c>
      <c r="D32" s="129">
        <v>294840105264</v>
      </c>
      <c r="E32" s="129">
        <v>-294840105264</v>
      </c>
      <c r="F32" s="129">
        <v>32679</v>
      </c>
      <c r="G32" s="130">
        <v>0</v>
      </c>
      <c r="H32" s="130">
        <v>6.1323042276798531E-3</v>
      </c>
      <c r="I32" s="130">
        <v>0.99386769577232015</v>
      </c>
      <c r="J32" s="128">
        <v>0</v>
      </c>
      <c r="K32" s="129">
        <v>0</v>
      </c>
      <c r="L32" s="129">
        <v>154</v>
      </c>
      <c r="M32" s="129">
        <v>1808049224</v>
      </c>
      <c r="N32" s="129">
        <v>32525</v>
      </c>
      <c r="O32" s="128">
        <v>293032056040</v>
      </c>
    </row>
    <row r="33" spans="1:15" x14ac:dyDescent="0.3">
      <c r="A33" s="128" t="s">
        <v>2020</v>
      </c>
      <c r="B33" s="128" t="s">
        <v>2021</v>
      </c>
      <c r="C33" s="128" t="s">
        <v>1991</v>
      </c>
      <c r="D33" s="129">
        <v>52578613777</v>
      </c>
      <c r="E33" s="129">
        <v>-51124279109</v>
      </c>
      <c r="F33" s="129">
        <v>383</v>
      </c>
      <c r="G33" s="130">
        <v>1.2527039925273228E-2</v>
      </c>
      <c r="H33" s="130">
        <v>3.8646573198338509E-2</v>
      </c>
      <c r="I33" s="130">
        <v>0.94882638687638832</v>
      </c>
      <c r="J33" s="128">
        <v>1</v>
      </c>
      <c r="K33" s="129">
        <v>658654394</v>
      </c>
      <c r="L33" s="129">
        <v>158</v>
      </c>
      <c r="M33" s="129">
        <v>2031983246</v>
      </c>
      <c r="N33" s="129">
        <v>224</v>
      </c>
      <c r="O33" s="128">
        <v>49887976137</v>
      </c>
    </row>
    <row r="34" spans="1:15" x14ac:dyDescent="0.3">
      <c r="A34" s="128" t="s">
        <v>2020</v>
      </c>
      <c r="B34" s="128" t="s">
        <v>2022</v>
      </c>
      <c r="C34" s="128" t="s">
        <v>1991</v>
      </c>
      <c r="D34" s="129">
        <v>48944607528</v>
      </c>
      <c r="E34" s="129">
        <v>-48944607528</v>
      </c>
      <c r="F34" s="129">
        <v>337</v>
      </c>
      <c r="G34" s="130">
        <v>0</v>
      </c>
      <c r="H34" s="130">
        <v>9.0751521389950005E-2</v>
      </c>
      <c r="I34" s="130">
        <v>0.90924847861004998</v>
      </c>
      <c r="J34" s="128">
        <v>0</v>
      </c>
      <c r="K34" s="129">
        <v>0</v>
      </c>
      <c r="L34" s="129">
        <v>72</v>
      </c>
      <c r="M34" s="129">
        <v>4441797597</v>
      </c>
      <c r="N34" s="129">
        <v>265</v>
      </c>
      <c r="O34" s="128">
        <v>44502809931</v>
      </c>
    </row>
    <row r="35" spans="1:15" x14ac:dyDescent="0.3">
      <c r="A35" s="128" t="s">
        <v>563</v>
      </c>
      <c r="B35" s="128" t="s">
        <v>2023</v>
      </c>
      <c r="C35" s="128" t="s">
        <v>1983</v>
      </c>
      <c r="D35" s="129">
        <v>101373929644</v>
      </c>
      <c r="E35" s="129">
        <v>-101373929644</v>
      </c>
      <c r="F35" s="129">
        <v>1711</v>
      </c>
      <c r="G35" s="130">
        <v>0.17998531938216042</v>
      </c>
      <c r="H35" s="130">
        <v>0.10863007671373012</v>
      </c>
      <c r="I35" s="130">
        <v>0.71138460390410951</v>
      </c>
      <c r="J35" s="128">
        <v>13</v>
      </c>
      <c r="K35" s="129">
        <v>18245819104</v>
      </c>
      <c r="L35" s="129">
        <v>117</v>
      </c>
      <c r="M35" s="129">
        <v>11012257754</v>
      </c>
      <c r="N35" s="129">
        <v>1581</v>
      </c>
      <c r="O35" s="128">
        <v>72115852786</v>
      </c>
    </row>
    <row r="36" spans="1:15" x14ac:dyDescent="0.3">
      <c r="A36" s="128" t="s">
        <v>563</v>
      </c>
      <c r="B36" s="128" t="s">
        <v>2024</v>
      </c>
      <c r="C36" s="128" t="s">
        <v>1983</v>
      </c>
      <c r="D36" s="129">
        <v>72520541138</v>
      </c>
      <c r="E36" s="129">
        <v>-72473086986</v>
      </c>
      <c r="F36" s="129">
        <v>1593</v>
      </c>
      <c r="G36" s="130">
        <v>2.2317814712939629E-2</v>
      </c>
      <c r="H36" s="130">
        <v>0.13068903078046418</v>
      </c>
      <c r="I36" s="130">
        <v>0.84699315450659618</v>
      </c>
      <c r="J36" s="128">
        <v>4</v>
      </c>
      <c r="K36" s="129">
        <v>1618500000</v>
      </c>
      <c r="L36" s="129">
        <v>148</v>
      </c>
      <c r="M36" s="129">
        <v>9477639233</v>
      </c>
      <c r="N36" s="129">
        <v>1441</v>
      </c>
      <c r="O36" s="128">
        <v>61424401905</v>
      </c>
    </row>
    <row r="37" spans="1:15" x14ac:dyDescent="0.3">
      <c r="A37" s="128" t="s">
        <v>2025</v>
      </c>
      <c r="B37" s="128" t="s">
        <v>2026</v>
      </c>
      <c r="C37" s="128" t="s">
        <v>1983</v>
      </c>
      <c r="D37" s="129">
        <v>406552601030</v>
      </c>
      <c r="E37" s="129">
        <v>-406552601030</v>
      </c>
      <c r="F37" s="129">
        <v>42203</v>
      </c>
      <c r="G37" s="130">
        <v>8.4573152189629719E-5</v>
      </c>
      <c r="H37" s="130">
        <v>1.4502864925871951E-2</v>
      </c>
      <c r="I37" s="130">
        <v>0.98541256192193838</v>
      </c>
      <c r="J37" s="128">
        <v>4</v>
      </c>
      <c r="K37" s="129">
        <v>34383435</v>
      </c>
      <c r="L37" s="129">
        <v>312</v>
      </c>
      <c r="M37" s="129">
        <v>5896177458</v>
      </c>
      <c r="N37" s="129">
        <v>41887</v>
      </c>
      <c r="O37" s="128">
        <v>400622040137</v>
      </c>
    </row>
    <row r="38" spans="1:15" x14ac:dyDescent="0.3">
      <c r="A38" s="128" t="s">
        <v>2025</v>
      </c>
      <c r="B38" s="128" t="s">
        <v>2027</v>
      </c>
      <c r="C38" s="128" t="s">
        <v>1983</v>
      </c>
      <c r="D38" s="129">
        <v>470415790711</v>
      </c>
      <c r="E38" s="129">
        <v>-470415790711</v>
      </c>
      <c r="F38" s="129">
        <v>41960</v>
      </c>
      <c r="G38" s="130">
        <v>3.0392508674912731E-5</v>
      </c>
      <c r="H38" s="130">
        <v>6.6539208266564826E-3</v>
      </c>
      <c r="I38" s="130">
        <v>0.99331568666466863</v>
      </c>
      <c r="J38" s="128">
        <v>4</v>
      </c>
      <c r="K38" s="129">
        <v>14297116</v>
      </c>
      <c r="L38" s="129">
        <v>218</v>
      </c>
      <c r="M38" s="129">
        <v>3130109427</v>
      </c>
      <c r="N38" s="129">
        <v>41738</v>
      </c>
      <c r="O38" s="128">
        <v>467271384168</v>
      </c>
    </row>
  </sheetData>
  <autoFilter ref="A1:O38" xr:uid="{E6AE4276-A455-4B89-8927-7FA2A3AA2511}"/>
  <phoneticPr fontId="7" type="noConversion"/>
  <pageMargins left="0.7" right="0.7" top="0.75" bottom="0.75" header="0.3" footer="0.3"/>
  <customProperties>
    <customPr name="OrphanNamesChecked" r:id="rId1"/>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56924-1245-4493-A29F-73A67C9B7780}">
  <sheetPr codeName="Sheet6"/>
  <dimension ref="A1:M34"/>
  <sheetViews>
    <sheetView workbookViewId="0"/>
  </sheetViews>
  <sheetFormatPr defaultRowHeight="16.5" x14ac:dyDescent="0.3"/>
  <cols>
    <col min="1" max="1" width="5.5" bestFit="1" customWidth="1"/>
    <col min="2" max="2" width="8.5" bestFit="1" customWidth="1"/>
    <col min="3" max="3" width="26.25" bestFit="1" customWidth="1"/>
    <col min="4" max="4" width="7.125" bestFit="1" customWidth="1"/>
    <col min="5" max="5" width="9.875" bestFit="1" customWidth="1"/>
    <col min="6" max="7" width="7.125" customWidth="1"/>
    <col min="9" max="9" width="5.5" bestFit="1" customWidth="1"/>
    <col min="10" max="11" width="6.875" bestFit="1" customWidth="1"/>
    <col min="12" max="12" width="11" bestFit="1" customWidth="1"/>
    <col min="13" max="13" width="13.75" bestFit="1" customWidth="1"/>
  </cols>
  <sheetData>
    <row r="1" spans="1:13" ht="17.25" thickBot="1" x14ac:dyDescent="0.35">
      <c r="A1" s="98" t="s">
        <v>559</v>
      </c>
      <c r="B1" s="98" t="s">
        <v>603</v>
      </c>
      <c r="C1" s="98" t="s">
        <v>560</v>
      </c>
      <c r="D1" s="98" t="s">
        <v>561</v>
      </c>
      <c r="E1" s="98" t="s">
        <v>602</v>
      </c>
      <c r="F1" s="96"/>
      <c r="G1" s="96"/>
      <c r="I1" s="82" t="s">
        <v>116</v>
      </c>
      <c r="J1" s="83">
        <v>13500</v>
      </c>
    </row>
    <row r="2" spans="1:13" ht="17.25" thickBot="1" x14ac:dyDescent="0.35">
      <c r="A2" s="75" t="s">
        <v>116</v>
      </c>
      <c r="B2" s="75">
        <v>1364898</v>
      </c>
      <c r="C2" s="75" t="s">
        <v>562</v>
      </c>
      <c r="D2" s="75" t="s">
        <v>243</v>
      </c>
      <c r="E2" s="76">
        <f t="shared" ref="E2:E32" si="0">_xlfn.XLOOKUP(A2,$I$12:$I$20,$M$12:$M$20,,0)</f>
        <v>1687.5</v>
      </c>
      <c r="I2" s="82" t="s">
        <v>58</v>
      </c>
      <c r="J2" s="83">
        <v>6500</v>
      </c>
    </row>
    <row r="3" spans="1:13" ht="17.25" thickBot="1" x14ac:dyDescent="0.35">
      <c r="A3" s="75" t="s">
        <v>30</v>
      </c>
      <c r="B3" s="75">
        <v>1389098</v>
      </c>
      <c r="C3" s="75" t="s">
        <v>563</v>
      </c>
      <c r="D3" s="75" t="s">
        <v>175</v>
      </c>
      <c r="E3" s="76">
        <f t="shared" si="0"/>
        <v>3000</v>
      </c>
      <c r="I3" s="82" t="s">
        <v>47</v>
      </c>
      <c r="J3" s="83">
        <v>3000</v>
      </c>
    </row>
    <row r="4" spans="1:13" ht="17.25" thickBot="1" x14ac:dyDescent="0.35">
      <c r="A4" s="75" t="s">
        <v>116</v>
      </c>
      <c r="B4" s="75">
        <v>1388705</v>
      </c>
      <c r="C4" s="75" t="s">
        <v>564</v>
      </c>
      <c r="D4" s="75" t="s">
        <v>565</v>
      </c>
      <c r="E4" s="76">
        <f t="shared" si="0"/>
        <v>1687.5</v>
      </c>
      <c r="I4" s="82" t="s">
        <v>30</v>
      </c>
      <c r="J4" s="83">
        <v>6000</v>
      </c>
    </row>
    <row r="5" spans="1:13" ht="17.25" thickBot="1" x14ac:dyDescent="0.35">
      <c r="A5" s="75" t="s">
        <v>116</v>
      </c>
      <c r="B5" s="75">
        <v>1355228</v>
      </c>
      <c r="C5" s="75" t="s">
        <v>566</v>
      </c>
      <c r="D5" s="75" t="s">
        <v>148</v>
      </c>
      <c r="E5" s="76">
        <f t="shared" si="0"/>
        <v>1687.5</v>
      </c>
      <c r="I5" s="82" t="s">
        <v>358</v>
      </c>
      <c r="J5" s="83">
        <v>1500</v>
      </c>
    </row>
    <row r="6" spans="1:13" ht="17.25" thickBot="1" x14ac:dyDescent="0.35">
      <c r="A6" s="75" t="s">
        <v>116</v>
      </c>
      <c r="B6" s="75">
        <v>1369547</v>
      </c>
      <c r="C6" s="75" t="s">
        <v>136</v>
      </c>
      <c r="D6" s="75" t="s">
        <v>604</v>
      </c>
      <c r="E6" s="76">
        <f t="shared" si="0"/>
        <v>1687.5</v>
      </c>
      <c r="I6" s="82" t="s">
        <v>154</v>
      </c>
      <c r="J6" s="83">
        <v>6000</v>
      </c>
    </row>
    <row r="7" spans="1:13" ht="17.25" thickBot="1" x14ac:dyDescent="0.35">
      <c r="A7" s="75" t="s">
        <v>116</v>
      </c>
      <c r="B7" s="75">
        <v>1388117</v>
      </c>
      <c r="C7" s="75" t="s">
        <v>567</v>
      </c>
      <c r="D7" s="75" t="s">
        <v>305</v>
      </c>
      <c r="E7" s="76">
        <f t="shared" si="0"/>
        <v>1687.5</v>
      </c>
      <c r="I7" s="82" t="s">
        <v>74</v>
      </c>
      <c r="J7" s="83">
        <v>3000</v>
      </c>
    </row>
    <row r="8" spans="1:13" ht="17.25" thickBot="1" x14ac:dyDescent="0.35">
      <c r="A8" s="75" t="s">
        <v>58</v>
      </c>
      <c r="B8" s="75">
        <v>1390816</v>
      </c>
      <c r="C8" s="75" t="s">
        <v>568</v>
      </c>
      <c r="D8" s="75" t="s">
        <v>283</v>
      </c>
      <c r="E8" s="76">
        <f t="shared" si="0"/>
        <v>928.57142857142856</v>
      </c>
      <c r="I8" s="82" t="s">
        <v>65</v>
      </c>
      <c r="J8" s="83">
        <v>7500</v>
      </c>
    </row>
    <row r="9" spans="1:13" x14ac:dyDescent="0.3">
      <c r="A9" s="75" t="s">
        <v>47</v>
      </c>
      <c r="B9" s="75">
        <v>1360690</v>
      </c>
      <c r="C9" s="94" t="s">
        <v>49</v>
      </c>
      <c r="D9" s="94" t="s">
        <v>53</v>
      </c>
      <c r="E9" s="76">
        <f t="shared" si="0"/>
        <v>1000</v>
      </c>
      <c r="F9" s="95"/>
      <c r="G9" s="95"/>
      <c r="J9" s="66">
        <f>SUM(J1:J8)</f>
        <v>47000</v>
      </c>
      <c r="L9" s="66"/>
    </row>
    <row r="10" spans="1:13" x14ac:dyDescent="0.3">
      <c r="A10" s="75" t="s">
        <v>47</v>
      </c>
      <c r="B10" s="75">
        <v>1389666</v>
      </c>
      <c r="C10" s="75" t="s">
        <v>569</v>
      </c>
      <c r="D10" s="75" t="s">
        <v>570</v>
      </c>
      <c r="E10" s="76">
        <f t="shared" si="0"/>
        <v>1000</v>
      </c>
    </row>
    <row r="11" spans="1:13" x14ac:dyDescent="0.3">
      <c r="A11" s="75" t="s">
        <v>30</v>
      </c>
      <c r="B11" s="75">
        <v>1377050</v>
      </c>
      <c r="C11" s="75" t="s">
        <v>571</v>
      </c>
      <c r="D11" s="75" t="s">
        <v>217</v>
      </c>
      <c r="E11" s="76">
        <f t="shared" si="0"/>
        <v>3000</v>
      </c>
      <c r="L11" t="s">
        <v>572</v>
      </c>
      <c r="M11" s="85" t="s">
        <v>573</v>
      </c>
    </row>
    <row r="12" spans="1:13" x14ac:dyDescent="0.3">
      <c r="A12" s="75" t="s">
        <v>154</v>
      </c>
      <c r="B12" s="75">
        <v>1384136</v>
      </c>
      <c r="C12" s="75" t="s">
        <v>511</v>
      </c>
      <c r="D12" s="75" t="s">
        <v>160</v>
      </c>
      <c r="E12" s="76">
        <f t="shared" si="0"/>
        <v>2000</v>
      </c>
      <c r="I12" s="86" t="s">
        <v>116</v>
      </c>
      <c r="J12" s="87">
        <f>COUNTIF($A$2:$A$33,I12)</f>
        <v>8</v>
      </c>
      <c r="K12" s="87">
        <f t="shared" ref="K12:K19" si="1">J12*1500</f>
        <v>12000</v>
      </c>
      <c r="L12" s="87">
        <v>13500</v>
      </c>
      <c r="M12" s="88">
        <f t="shared" ref="M12:M16" si="2">IFERROR(L12/J12,)</f>
        <v>1687.5</v>
      </c>
    </row>
    <row r="13" spans="1:13" x14ac:dyDescent="0.3">
      <c r="A13" s="75" t="s">
        <v>154</v>
      </c>
      <c r="B13" s="75">
        <v>1407036</v>
      </c>
      <c r="C13" s="75" t="s">
        <v>574</v>
      </c>
      <c r="D13" s="75" t="s">
        <v>575</v>
      </c>
      <c r="E13" s="76">
        <f t="shared" si="0"/>
        <v>2000</v>
      </c>
      <c r="I13" s="84" t="s">
        <v>58</v>
      </c>
      <c r="J13" s="89">
        <f t="shared" ref="J13:J20" si="3">COUNTIF($A$2:$A$33,I13)</f>
        <v>7</v>
      </c>
      <c r="K13" s="89">
        <f t="shared" si="1"/>
        <v>10500</v>
      </c>
      <c r="L13" s="89">
        <v>6500</v>
      </c>
      <c r="M13" s="90">
        <f t="shared" si="2"/>
        <v>928.57142857142856</v>
      </c>
    </row>
    <row r="14" spans="1:13" x14ac:dyDescent="0.3">
      <c r="A14" s="75" t="s">
        <v>65</v>
      </c>
      <c r="B14" s="75">
        <v>1389789</v>
      </c>
      <c r="C14" s="75" t="s">
        <v>576</v>
      </c>
      <c r="D14" s="75" t="s">
        <v>577</v>
      </c>
      <c r="E14" s="76">
        <f t="shared" si="0"/>
        <v>1500</v>
      </c>
      <c r="I14" s="84" t="s">
        <v>47</v>
      </c>
      <c r="J14" s="89">
        <f t="shared" si="3"/>
        <v>3</v>
      </c>
      <c r="K14" s="89">
        <f t="shared" si="1"/>
        <v>4500</v>
      </c>
      <c r="L14" s="89">
        <v>3000</v>
      </c>
      <c r="M14" s="90">
        <f t="shared" si="2"/>
        <v>1000</v>
      </c>
    </row>
    <row r="15" spans="1:13" x14ac:dyDescent="0.3">
      <c r="A15" s="75" t="s">
        <v>65</v>
      </c>
      <c r="B15" s="75">
        <v>1388305</v>
      </c>
      <c r="C15" s="75" t="s">
        <v>578</v>
      </c>
      <c r="D15" s="75" t="s">
        <v>579</v>
      </c>
      <c r="E15" s="76">
        <f t="shared" si="0"/>
        <v>1500</v>
      </c>
      <c r="I15" s="84" t="s">
        <v>30</v>
      </c>
      <c r="J15" s="89">
        <f t="shared" si="3"/>
        <v>2</v>
      </c>
      <c r="K15" s="89">
        <f t="shared" si="1"/>
        <v>3000</v>
      </c>
      <c r="L15" s="89">
        <v>6000</v>
      </c>
      <c r="M15" s="90">
        <f t="shared" si="2"/>
        <v>3000</v>
      </c>
    </row>
    <row r="16" spans="1:13" x14ac:dyDescent="0.3">
      <c r="A16" s="75" t="s">
        <v>116</v>
      </c>
      <c r="B16" s="75">
        <v>1358244</v>
      </c>
      <c r="C16" s="75" t="s">
        <v>580</v>
      </c>
      <c r="D16" s="75" t="s">
        <v>275</v>
      </c>
      <c r="E16" s="76">
        <f t="shared" si="0"/>
        <v>1687.5</v>
      </c>
      <c r="I16" s="84" t="s">
        <v>358</v>
      </c>
      <c r="J16" s="89">
        <f t="shared" si="3"/>
        <v>1</v>
      </c>
      <c r="K16" s="89">
        <f t="shared" si="1"/>
        <v>1500</v>
      </c>
      <c r="L16" s="89">
        <v>1500</v>
      </c>
      <c r="M16" s="90">
        <f t="shared" si="2"/>
        <v>1500</v>
      </c>
    </row>
    <row r="17" spans="1:13" x14ac:dyDescent="0.3">
      <c r="A17" s="75" t="s">
        <v>116</v>
      </c>
      <c r="B17" s="75">
        <v>1389564</v>
      </c>
      <c r="C17" s="75" t="s">
        <v>581</v>
      </c>
      <c r="D17" s="75" t="s">
        <v>140</v>
      </c>
      <c r="E17" s="76">
        <f t="shared" si="0"/>
        <v>1687.5</v>
      </c>
      <c r="I17" s="84" t="s">
        <v>86</v>
      </c>
      <c r="J17" s="89">
        <f t="shared" si="3"/>
        <v>0</v>
      </c>
      <c r="K17" s="89">
        <f t="shared" si="1"/>
        <v>0</v>
      </c>
      <c r="L17" s="89">
        <v>0</v>
      </c>
      <c r="M17" s="90">
        <f>IFERROR(L17/J17,)</f>
        <v>0</v>
      </c>
    </row>
    <row r="18" spans="1:13" x14ac:dyDescent="0.3">
      <c r="A18" s="75" t="s">
        <v>116</v>
      </c>
      <c r="B18" s="75">
        <v>1356676</v>
      </c>
      <c r="C18" s="75" t="s">
        <v>582</v>
      </c>
      <c r="D18" s="75" t="s">
        <v>282</v>
      </c>
      <c r="E18" s="76">
        <f t="shared" si="0"/>
        <v>1687.5</v>
      </c>
      <c r="I18" s="84" t="s">
        <v>154</v>
      </c>
      <c r="J18" s="89">
        <f t="shared" si="3"/>
        <v>3</v>
      </c>
      <c r="K18" s="89">
        <f t="shared" si="1"/>
        <v>4500</v>
      </c>
      <c r="L18" s="89">
        <v>6000</v>
      </c>
      <c r="M18" s="90">
        <f t="shared" ref="M18:M20" si="4">IFERROR(L18/J18,)</f>
        <v>2000</v>
      </c>
    </row>
    <row r="19" spans="1:13" x14ac:dyDescent="0.3">
      <c r="A19" s="75" t="s">
        <v>58</v>
      </c>
      <c r="B19" s="75">
        <v>1391517</v>
      </c>
      <c r="C19" s="75" t="s">
        <v>471</v>
      </c>
      <c r="D19" s="75" t="s">
        <v>512</v>
      </c>
      <c r="E19" s="76">
        <f t="shared" si="0"/>
        <v>928.57142857142856</v>
      </c>
      <c r="I19" s="84" t="s">
        <v>74</v>
      </c>
      <c r="J19" s="89">
        <f t="shared" si="3"/>
        <v>3</v>
      </c>
      <c r="K19" s="89">
        <f t="shared" si="1"/>
        <v>4500</v>
      </c>
      <c r="L19" s="89">
        <v>3000</v>
      </c>
      <c r="M19" s="90">
        <f t="shared" si="4"/>
        <v>1000</v>
      </c>
    </row>
    <row r="20" spans="1:13" x14ac:dyDescent="0.3">
      <c r="A20" s="75" t="s">
        <v>58</v>
      </c>
      <c r="B20" s="75">
        <v>1388958</v>
      </c>
      <c r="C20" s="75" t="s">
        <v>583</v>
      </c>
      <c r="D20" s="75" t="s">
        <v>276</v>
      </c>
      <c r="E20" s="76">
        <f t="shared" si="0"/>
        <v>928.57142857142856</v>
      </c>
      <c r="I20" s="91" t="s">
        <v>65</v>
      </c>
      <c r="J20" s="92">
        <f t="shared" si="3"/>
        <v>5</v>
      </c>
      <c r="K20" s="92">
        <f>J20*1500</f>
        <v>7500</v>
      </c>
      <c r="L20" s="92">
        <v>7500</v>
      </c>
      <c r="M20" s="93">
        <f t="shared" si="4"/>
        <v>1500</v>
      </c>
    </row>
    <row r="21" spans="1:13" x14ac:dyDescent="0.3">
      <c r="A21" s="75" t="s">
        <v>58</v>
      </c>
      <c r="B21" s="75">
        <v>1388366</v>
      </c>
      <c r="C21" s="75" t="s">
        <v>599</v>
      </c>
      <c r="D21" s="75" t="s">
        <v>584</v>
      </c>
      <c r="E21" s="76">
        <f t="shared" si="0"/>
        <v>928.57142857142856</v>
      </c>
      <c r="J21" s="89">
        <f>SUM(J12:J20)</f>
        <v>32</v>
      </c>
      <c r="K21" s="89">
        <f>SUM(K12:K20)</f>
        <v>48000</v>
      </c>
      <c r="L21" s="89">
        <f>SUM(L12:L20)</f>
        <v>47000</v>
      </c>
      <c r="M21" s="89"/>
    </row>
    <row r="22" spans="1:13" x14ac:dyDescent="0.3">
      <c r="A22" s="75" t="s">
        <v>58</v>
      </c>
      <c r="B22" s="75">
        <v>1356469</v>
      </c>
      <c r="C22" s="75" t="s">
        <v>600</v>
      </c>
      <c r="D22" s="75" t="s">
        <v>584</v>
      </c>
      <c r="E22" s="76">
        <f t="shared" si="0"/>
        <v>928.57142857142856</v>
      </c>
    </row>
    <row r="23" spans="1:13" x14ac:dyDescent="0.3">
      <c r="A23" s="75" t="s">
        <v>58</v>
      </c>
      <c r="B23" s="75">
        <v>1388950</v>
      </c>
      <c r="C23" s="75" t="s">
        <v>585</v>
      </c>
      <c r="D23" s="75" t="s">
        <v>584</v>
      </c>
      <c r="E23" s="76">
        <f t="shared" si="0"/>
        <v>928.57142857142856</v>
      </c>
    </row>
    <row r="24" spans="1:13" x14ac:dyDescent="0.3">
      <c r="A24" s="75" t="s">
        <v>58</v>
      </c>
      <c r="B24" s="75">
        <v>1388681</v>
      </c>
      <c r="C24" s="75" t="s">
        <v>398</v>
      </c>
      <c r="D24" s="75" t="s">
        <v>283</v>
      </c>
      <c r="E24" s="76">
        <f t="shared" si="0"/>
        <v>928.57142857142856</v>
      </c>
    </row>
    <row r="25" spans="1:13" x14ac:dyDescent="0.3">
      <c r="A25" s="75" t="s">
        <v>47</v>
      </c>
      <c r="B25" s="75">
        <v>1361657</v>
      </c>
      <c r="C25" s="75" t="s">
        <v>586</v>
      </c>
      <c r="D25" s="75" t="s">
        <v>174</v>
      </c>
      <c r="E25" s="76">
        <f t="shared" si="0"/>
        <v>1000</v>
      </c>
    </row>
    <row r="26" spans="1:13" x14ac:dyDescent="0.3">
      <c r="A26" s="75" t="s">
        <v>587</v>
      </c>
      <c r="B26" s="75">
        <v>1388127</v>
      </c>
      <c r="C26" s="75" t="s">
        <v>360</v>
      </c>
      <c r="D26" s="75" t="s">
        <v>588</v>
      </c>
      <c r="E26" s="76">
        <f t="shared" si="0"/>
        <v>1500</v>
      </c>
    </row>
    <row r="27" spans="1:13" x14ac:dyDescent="0.3">
      <c r="A27" s="75" t="s">
        <v>154</v>
      </c>
      <c r="B27" s="75">
        <v>1363734</v>
      </c>
      <c r="C27" s="75" t="s">
        <v>589</v>
      </c>
      <c r="D27" s="75" t="s">
        <v>590</v>
      </c>
      <c r="E27" s="76">
        <f t="shared" si="0"/>
        <v>2000</v>
      </c>
    </row>
    <row r="28" spans="1:13" x14ac:dyDescent="0.3">
      <c r="A28" s="75" t="s">
        <v>74</v>
      </c>
      <c r="B28" s="75">
        <v>1356647</v>
      </c>
      <c r="C28" s="75" t="s">
        <v>601</v>
      </c>
      <c r="D28" s="75" t="s">
        <v>591</v>
      </c>
      <c r="E28" s="76">
        <f t="shared" si="0"/>
        <v>1000</v>
      </c>
    </row>
    <row r="29" spans="1:13" x14ac:dyDescent="0.3">
      <c r="A29" s="75" t="s">
        <v>74</v>
      </c>
      <c r="B29" s="75">
        <v>1393275</v>
      </c>
      <c r="C29" s="75" t="s">
        <v>592</v>
      </c>
      <c r="D29" s="75" t="s">
        <v>355</v>
      </c>
      <c r="E29" s="76">
        <f t="shared" si="0"/>
        <v>1000</v>
      </c>
    </row>
    <row r="30" spans="1:13" x14ac:dyDescent="0.3">
      <c r="A30" s="75" t="s">
        <v>74</v>
      </c>
      <c r="B30" s="75">
        <v>1392725</v>
      </c>
      <c r="C30" s="75" t="s">
        <v>593</v>
      </c>
      <c r="D30" s="75" t="s">
        <v>594</v>
      </c>
      <c r="E30" s="76">
        <f t="shared" si="0"/>
        <v>1000</v>
      </c>
    </row>
    <row r="31" spans="1:13" x14ac:dyDescent="0.3">
      <c r="A31" s="75" t="s">
        <v>65</v>
      </c>
      <c r="B31" s="75">
        <v>1393442</v>
      </c>
      <c r="C31" s="75" t="s">
        <v>595</v>
      </c>
      <c r="D31" s="75" t="s">
        <v>577</v>
      </c>
      <c r="E31" s="76">
        <f t="shared" si="0"/>
        <v>1500</v>
      </c>
    </row>
    <row r="32" spans="1:13" x14ac:dyDescent="0.3">
      <c r="A32" s="75" t="s">
        <v>65</v>
      </c>
      <c r="B32" s="75">
        <v>1299907</v>
      </c>
      <c r="C32" s="75" t="s">
        <v>596</v>
      </c>
      <c r="D32" s="75" t="s">
        <v>244</v>
      </c>
      <c r="E32" s="76">
        <f t="shared" si="0"/>
        <v>1500</v>
      </c>
    </row>
    <row r="33" spans="1:5" x14ac:dyDescent="0.3">
      <c r="A33" s="75" t="s">
        <v>65</v>
      </c>
      <c r="B33" s="75">
        <v>1393933</v>
      </c>
      <c r="C33" s="75" t="s">
        <v>597</v>
      </c>
      <c r="D33" s="75" t="s">
        <v>598</v>
      </c>
      <c r="E33" s="76">
        <f>_xlfn.XLOOKUP(A33,$I$12:$I$20,$M$12:$M$20,,0)</f>
        <v>1500</v>
      </c>
    </row>
    <row r="34" spans="1:5" x14ac:dyDescent="0.3">
      <c r="E34" s="97"/>
    </row>
  </sheetData>
  <autoFilter ref="A1:E33" xr:uid="{2A456924-1245-4493-A29F-73A67C9B7780}"/>
  <phoneticPr fontId="7" type="noConversion"/>
  <pageMargins left="0.7" right="0.7" top="0.75" bottom="0.75" header="0.3" footer="0.3"/>
  <customProperties>
    <customPr name="OrphanNamesChecke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3C8D-800A-4307-92F3-822CC1AB77B1}">
  <sheetPr filterMode="1"/>
  <dimension ref="A1:V71"/>
  <sheetViews>
    <sheetView workbookViewId="0"/>
  </sheetViews>
  <sheetFormatPr defaultRowHeight="16.5" x14ac:dyDescent="0.3"/>
  <cols>
    <col min="1" max="1" width="8.5" bestFit="1" customWidth="1"/>
    <col min="2" max="2" width="4.5" bestFit="1" customWidth="1"/>
    <col min="3" max="3" width="6.375" bestFit="1" customWidth="1"/>
    <col min="4" max="4" width="10.25" bestFit="1" customWidth="1"/>
    <col min="5" max="5" width="27.25" bestFit="1" customWidth="1"/>
    <col min="6" max="6" width="8" bestFit="1" customWidth="1"/>
    <col min="7" max="7" width="39.25" bestFit="1" customWidth="1"/>
    <col min="8" max="8" width="32.375" bestFit="1" customWidth="1"/>
    <col min="9" max="9" width="33.75" bestFit="1" customWidth="1"/>
    <col min="13" max="13" width="4.625" customWidth="1"/>
    <col min="15" max="15" width="1.5" customWidth="1"/>
    <col min="19" max="19" width="22.625" customWidth="1"/>
    <col min="20" max="20" width="24.75" customWidth="1"/>
    <col min="21" max="21" width="46.75" customWidth="1"/>
  </cols>
  <sheetData>
    <row r="1" spans="1:22" x14ac:dyDescent="0.3">
      <c r="A1" s="5" t="s">
        <v>1621</v>
      </c>
      <c r="B1" s="4" t="s">
        <v>6</v>
      </c>
      <c r="C1" s="4" t="s">
        <v>7</v>
      </c>
      <c r="D1" s="4" t="s">
        <v>10</v>
      </c>
      <c r="E1" s="4" t="s">
        <v>11</v>
      </c>
      <c r="F1" s="4" t="s">
        <v>8</v>
      </c>
      <c r="G1" s="4" t="s">
        <v>9</v>
      </c>
      <c r="H1" s="4" t="s">
        <v>20</v>
      </c>
      <c r="I1" s="4" t="s">
        <v>21</v>
      </c>
      <c r="J1" s="151" t="str">
        <f>_xlfn.TEXTJOIN("; ",TRUE,P2:P107)</f>
        <v/>
      </c>
      <c r="K1" s="151"/>
      <c r="L1" s="153" t="s">
        <v>2447</v>
      </c>
      <c r="N1" s="153" t="s">
        <v>20</v>
      </c>
      <c r="U1" s="152" t="s">
        <v>2449</v>
      </c>
      <c r="V1" t="s">
        <v>2450</v>
      </c>
    </row>
    <row r="2" spans="1:22" hidden="1" x14ac:dyDescent="0.3">
      <c r="A2" s="105">
        <v>1666520</v>
      </c>
      <c r="B2" s="27">
        <v>10</v>
      </c>
      <c r="C2" s="28" t="s">
        <v>784</v>
      </c>
      <c r="D2" s="28">
        <v>1000317527</v>
      </c>
      <c r="E2" s="29" t="s">
        <v>1573</v>
      </c>
      <c r="F2" s="28">
        <v>1666520</v>
      </c>
      <c r="G2" s="29" t="s">
        <v>789</v>
      </c>
      <c r="H2" s="104" t="s">
        <v>790</v>
      </c>
      <c r="I2" s="104" t="s">
        <v>791</v>
      </c>
      <c r="K2" s="154" t="str">
        <f>E2</f>
        <v>주식회사 카카오</v>
      </c>
      <c r="L2" t="s">
        <v>153</v>
      </c>
      <c r="M2" t="s">
        <v>1801</v>
      </c>
      <c r="N2" t="s">
        <v>2358</v>
      </c>
      <c r="O2" t="s">
        <v>2396</v>
      </c>
      <c r="S2" s="151" t="s">
        <v>1573</v>
      </c>
      <c r="T2" s="151" t="str">
        <f>M2</f>
        <v>jjung9@kr.kpmg.com</v>
      </c>
      <c r="U2" s="151" t="str">
        <f>_xlfn.TEXTJOIN("; ",TRUE,O2,$U$1)</f>
        <v>semokim@kr.kpmg.com; ckim19@kr.kpmg.com</v>
      </c>
      <c r="V2" t="s">
        <v>2474</v>
      </c>
    </row>
    <row r="3" spans="1:22" hidden="1" x14ac:dyDescent="0.3">
      <c r="A3" s="105">
        <v>1683436</v>
      </c>
      <c r="B3" s="27">
        <v>16</v>
      </c>
      <c r="C3" s="28" t="s">
        <v>637</v>
      </c>
      <c r="D3" s="28">
        <v>1000325445</v>
      </c>
      <c r="E3" s="29" t="s">
        <v>1579</v>
      </c>
      <c r="F3" s="28">
        <v>1683436</v>
      </c>
      <c r="G3" s="29" t="s">
        <v>802</v>
      </c>
      <c r="H3" s="104" t="s">
        <v>803</v>
      </c>
      <c r="I3" s="104" t="s">
        <v>804</v>
      </c>
      <c r="K3" s="154" t="str">
        <f t="shared" ref="K3:K66" si="0">E3</f>
        <v>삼성디스플레이 주식회사</v>
      </c>
      <c r="L3" t="s">
        <v>365</v>
      </c>
      <c r="M3" t="s">
        <v>1805</v>
      </c>
      <c r="N3" t="s">
        <v>364</v>
      </c>
      <c r="O3" t="s">
        <v>2397</v>
      </c>
      <c r="S3" s="151" t="s">
        <v>1579</v>
      </c>
      <c r="T3" s="151" t="str">
        <f t="shared" ref="T3:T66" si="1">M3</f>
        <v>jongseokyoun@kr.kpmg.com</v>
      </c>
      <c r="U3" s="151" t="str">
        <f t="shared" ref="U3:U66" si="2">_xlfn.TEXTJOIN("; ",TRUE,O3,$U$1)</f>
        <v>jinjang@kr.kpmg.com; ckim19@kr.kpmg.com</v>
      </c>
      <c r="V3" t="s">
        <v>2474</v>
      </c>
    </row>
    <row r="4" spans="1:22" hidden="1" x14ac:dyDescent="0.3">
      <c r="A4" s="105">
        <v>1670326</v>
      </c>
      <c r="B4" s="27">
        <v>20</v>
      </c>
      <c r="C4" s="28" t="s">
        <v>637</v>
      </c>
      <c r="D4" s="28">
        <v>1000314621</v>
      </c>
      <c r="E4" s="29" t="s">
        <v>1583</v>
      </c>
      <c r="F4" s="28">
        <v>1670326</v>
      </c>
      <c r="G4" s="29" t="s">
        <v>811</v>
      </c>
      <c r="H4" s="104" t="s">
        <v>812</v>
      </c>
      <c r="I4" s="104" t="s">
        <v>813</v>
      </c>
      <c r="K4" s="154" t="str">
        <f t="shared" si="0"/>
        <v>넷마블 주식회사</v>
      </c>
      <c r="L4" t="s">
        <v>1707</v>
      </c>
      <c r="M4" t="s">
        <v>1807</v>
      </c>
      <c r="N4" t="s">
        <v>2359</v>
      </c>
      <c r="O4" t="s">
        <v>2398</v>
      </c>
      <c r="S4" s="151" t="s">
        <v>1583</v>
      </c>
      <c r="T4" s="151" t="str">
        <f t="shared" si="1"/>
        <v>hyeongcheollee@kr.kpmg.com</v>
      </c>
      <c r="U4" s="151" t="str">
        <f t="shared" si="2"/>
        <v>yoonahlee@kr.kpmg.com; ckim19@kr.kpmg.com</v>
      </c>
      <c r="V4" t="s">
        <v>2474</v>
      </c>
    </row>
    <row r="5" spans="1:22" hidden="1" x14ac:dyDescent="0.3">
      <c r="A5" s="105">
        <v>1660660</v>
      </c>
      <c r="B5" s="27">
        <v>23</v>
      </c>
      <c r="C5" s="28" t="s">
        <v>613</v>
      </c>
      <c r="D5" s="28">
        <v>1000326094</v>
      </c>
      <c r="E5" s="29" t="s">
        <v>1585</v>
      </c>
      <c r="F5" s="28">
        <v>1660660</v>
      </c>
      <c r="G5" s="29" t="s">
        <v>819</v>
      </c>
      <c r="H5" s="104" t="s">
        <v>820</v>
      </c>
      <c r="I5" s="104" t="s">
        <v>1696</v>
      </c>
      <c r="K5" s="154" t="str">
        <f t="shared" si="0"/>
        <v>팬오션 주식회사</v>
      </c>
      <c r="L5" t="s">
        <v>1709</v>
      </c>
      <c r="M5" t="s">
        <v>1809</v>
      </c>
      <c r="N5" t="s">
        <v>2360</v>
      </c>
      <c r="O5" t="s">
        <v>2399</v>
      </c>
      <c r="S5" s="151" t="s">
        <v>2451</v>
      </c>
      <c r="T5" s="151" t="str">
        <f t="shared" si="1"/>
        <v>jlee176@kr.kpmg.com</v>
      </c>
      <c r="U5" s="151" t="str">
        <f t="shared" si="2"/>
        <v>jongsunam@kr.kpmg.com; ckim19@kr.kpmg.com</v>
      </c>
      <c r="V5" t="s">
        <v>2474</v>
      </c>
    </row>
    <row r="6" spans="1:22" hidden="1" x14ac:dyDescent="0.3">
      <c r="A6" s="105">
        <v>1684186</v>
      </c>
      <c r="B6" s="27">
        <v>26</v>
      </c>
      <c r="C6" s="28" t="s">
        <v>434</v>
      </c>
      <c r="D6" s="28">
        <v>1000315539</v>
      </c>
      <c r="E6" s="29" t="s">
        <v>1588</v>
      </c>
      <c r="F6" s="28">
        <v>1684186</v>
      </c>
      <c r="G6" s="29" t="s">
        <v>825</v>
      </c>
      <c r="H6" s="104" t="s">
        <v>826</v>
      </c>
      <c r="I6" s="104" t="s">
        <v>827</v>
      </c>
      <c r="K6" s="154" t="str">
        <f t="shared" si="0"/>
        <v>GS칼텍스㈜</v>
      </c>
      <c r="L6" t="s">
        <v>1710</v>
      </c>
      <c r="M6" t="s">
        <v>1811</v>
      </c>
      <c r="N6" t="s">
        <v>232</v>
      </c>
      <c r="O6" t="s">
        <v>2400</v>
      </c>
      <c r="S6" s="151" t="s">
        <v>2452</v>
      </c>
      <c r="T6" s="151" t="str">
        <f t="shared" si="1"/>
        <v>ckim12@kr.kpmg.com</v>
      </c>
      <c r="U6" s="151" t="str">
        <f t="shared" si="2"/>
        <v>yeasolju@kr.kpmg.com; ckim19@kr.kpmg.com</v>
      </c>
      <c r="V6" t="s">
        <v>2474</v>
      </c>
    </row>
    <row r="7" spans="1:22" hidden="1" x14ac:dyDescent="0.3">
      <c r="A7" s="105">
        <v>1669115</v>
      </c>
      <c r="B7" s="27">
        <v>30</v>
      </c>
      <c r="C7" s="28" t="s">
        <v>426</v>
      </c>
      <c r="D7" s="28">
        <v>1000317405</v>
      </c>
      <c r="E7" s="29" t="s">
        <v>190</v>
      </c>
      <c r="F7" s="28">
        <v>1669115</v>
      </c>
      <c r="G7" s="29" t="s">
        <v>833</v>
      </c>
      <c r="H7" s="104" t="s">
        <v>834</v>
      </c>
      <c r="I7" s="104" t="s">
        <v>835</v>
      </c>
      <c r="K7" s="154" t="str">
        <f t="shared" si="0"/>
        <v>주식회사 현대백화점</v>
      </c>
      <c r="L7" t="s">
        <v>194</v>
      </c>
      <c r="M7" t="s">
        <v>1814</v>
      </c>
      <c r="N7" t="s">
        <v>193</v>
      </c>
      <c r="O7" t="s">
        <v>2401</v>
      </c>
      <c r="S7" s="151" t="s">
        <v>190</v>
      </c>
      <c r="T7" s="151" t="str">
        <f t="shared" si="1"/>
        <v>ykim85@kr.kpmg.com</v>
      </c>
      <c r="U7" s="151" t="str">
        <f t="shared" si="2"/>
        <v>sehyunlee@kr.kpmg.com; ckim19@kr.kpmg.com</v>
      </c>
      <c r="V7" t="s">
        <v>2474</v>
      </c>
    </row>
    <row r="8" spans="1:22" hidden="1" x14ac:dyDescent="0.3">
      <c r="A8" s="105">
        <v>1669145</v>
      </c>
      <c r="B8" s="27">
        <v>35</v>
      </c>
      <c r="C8" s="28" t="s">
        <v>843</v>
      </c>
      <c r="D8" s="28">
        <v>1001210610</v>
      </c>
      <c r="E8" s="29" t="s">
        <v>1594</v>
      </c>
      <c r="F8" s="28">
        <v>1669145</v>
      </c>
      <c r="G8" s="29" t="s">
        <v>844</v>
      </c>
      <c r="H8" s="104" t="s">
        <v>842</v>
      </c>
      <c r="I8" s="104" t="s">
        <v>845</v>
      </c>
      <c r="K8" s="154" t="str">
        <f t="shared" si="0"/>
        <v>에스케이스퀘어 주식회사</v>
      </c>
      <c r="L8" t="s">
        <v>1713</v>
      </c>
      <c r="M8" t="s">
        <v>1817</v>
      </c>
      <c r="N8" t="s">
        <v>2361</v>
      </c>
      <c r="O8" t="s">
        <v>2402</v>
      </c>
      <c r="S8" s="151" t="s">
        <v>1594</v>
      </c>
      <c r="T8" s="151" t="str">
        <f t="shared" si="1"/>
        <v>hocheolyang@kr.kpmg.com</v>
      </c>
      <c r="U8" s="151" t="str">
        <f t="shared" si="2"/>
        <v>jaejoongkim@kr.kpmg.com; ckim19@kr.kpmg.com</v>
      </c>
      <c r="V8" t="s">
        <v>2475</v>
      </c>
    </row>
    <row r="9" spans="1:22" hidden="1" x14ac:dyDescent="0.3">
      <c r="A9" s="105">
        <v>1660527</v>
      </c>
      <c r="B9" s="27">
        <v>39</v>
      </c>
      <c r="C9" s="28" t="s">
        <v>613</v>
      </c>
      <c r="D9" s="28">
        <v>1000882638</v>
      </c>
      <c r="E9" s="29" t="s">
        <v>1597</v>
      </c>
      <c r="F9" s="28">
        <v>1660527</v>
      </c>
      <c r="G9" s="29" t="s">
        <v>853</v>
      </c>
      <c r="H9" s="104" t="s">
        <v>820</v>
      </c>
      <c r="I9" s="104" t="s">
        <v>855</v>
      </c>
      <c r="K9" s="154" t="str">
        <f t="shared" si="0"/>
        <v>주식회사 하림지주</v>
      </c>
      <c r="L9" t="s">
        <v>246</v>
      </c>
      <c r="M9" t="s">
        <v>1820</v>
      </c>
      <c r="N9" t="s">
        <v>2360</v>
      </c>
      <c r="O9" t="s">
        <v>2399</v>
      </c>
      <c r="S9" s="151" t="s">
        <v>1597</v>
      </c>
      <c r="T9" s="151" t="str">
        <f t="shared" si="1"/>
        <v>taeseoblee@kr.kpmg.com</v>
      </c>
      <c r="U9" s="151" t="str">
        <f t="shared" si="2"/>
        <v>jongsunam@kr.kpmg.com; ckim19@kr.kpmg.com</v>
      </c>
      <c r="V9" t="s">
        <v>2474</v>
      </c>
    </row>
    <row r="10" spans="1:22" hidden="1" x14ac:dyDescent="0.3">
      <c r="A10" s="105">
        <v>1661221</v>
      </c>
      <c r="B10" s="27">
        <v>41</v>
      </c>
      <c r="C10" s="28" t="s">
        <v>843</v>
      </c>
      <c r="D10" s="28">
        <v>1000314612</v>
      </c>
      <c r="E10" s="29" t="s">
        <v>1598</v>
      </c>
      <c r="F10" s="28">
        <v>1661221</v>
      </c>
      <c r="G10" s="29" t="s">
        <v>858</v>
      </c>
      <c r="H10" s="104" t="s">
        <v>859</v>
      </c>
      <c r="I10" s="104" t="s">
        <v>860</v>
      </c>
      <c r="K10" s="154" t="str">
        <f t="shared" si="0"/>
        <v>(주)엘지헬로비전</v>
      </c>
      <c r="L10" t="s">
        <v>1715</v>
      </c>
      <c r="M10" t="s">
        <v>1821</v>
      </c>
      <c r="N10" t="s">
        <v>103</v>
      </c>
      <c r="O10" t="s">
        <v>2403</v>
      </c>
      <c r="S10" s="151" t="s">
        <v>1598</v>
      </c>
      <c r="T10" s="151" t="str">
        <f t="shared" si="1"/>
        <v>hyegyeongryu@kr.kpmg.com</v>
      </c>
      <c r="U10" s="151" t="str">
        <f t="shared" si="2"/>
        <v>hlee42@kr.kpmg.com; ckim19@kr.kpmg.com</v>
      </c>
      <c r="V10" t="s">
        <v>2474</v>
      </c>
    </row>
    <row r="11" spans="1:22" hidden="1" x14ac:dyDescent="0.3">
      <c r="A11" s="105">
        <v>1672093</v>
      </c>
      <c r="B11" s="27">
        <v>45</v>
      </c>
      <c r="C11" s="28" t="s">
        <v>784</v>
      </c>
      <c r="D11" s="28">
        <v>1000708387</v>
      </c>
      <c r="E11" s="29" t="s">
        <v>1566</v>
      </c>
      <c r="F11" s="28">
        <v>1672093</v>
      </c>
      <c r="G11" s="29" t="s">
        <v>865</v>
      </c>
      <c r="H11" s="104" t="s">
        <v>790</v>
      </c>
      <c r="I11" s="104" t="s">
        <v>1668</v>
      </c>
      <c r="K11" s="154" t="str">
        <f t="shared" si="0"/>
        <v>주식회사 카카오게임즈</v>
      </c>
      <c r="L11" t="s">
        <v>1717</v>
      </c>
      <c r="M11" t="s">
        <v>1823</v>
      </c>
      <c r="N11" t="s">
        <v>2358</v>
      </c>
      <c r="O11" t="s">
        <v>2396</v>
      </c>
      <c r="S11" s="151" t="s">
        <v>1566</v>
      </c>
      <c r="T11" s="151" t="str">
        <f t="shared" si="1"/>
        <v>slee89@kr.kpmg.com</v>
      </c>
      <c r="U11" s="151" t="str">
        <f t="shared" si="2"/>
        <v>semokim@kr.kpmg.com; ckim19@kr.kpmg.com</v>
      </c>
      <c r="V11" t="s">
        <v>2474</v>
      </c>
    </row>
    <row r="12" spans="1:22" hidden="1" x14ac:dyDescent="0.3">
      <c r="A12" s="105">
        <v>1692146</v>
      </c>
      <c r="B12" s="27">
        <v>46</v>
      </c>
      <c r="C12" s="28" t="s">
        <v>434</v>
      </c>
      <c r="D12" s="28">
        <v>1000317436</v>
      </c>
      <c r="E12" s="29" t="s">
        <v>1565</v>
      </c>
      <c r="F12" s="28">
        <v>1692146</v>
      </c>
      <c r="G12" s="29" t="s">
        <v>866</v>
      </c>
      <c r="H12" s="104" t="s">
        <v>867</v>
      </c>
      <c r="I12" s="104" t="s">
        <v>1174</v>
      </c>
      <c r="K12" s="154" t="str">
        <f t="shared" si="0"/>
        <v>한국중부발전 (주)</v>
      </c>
      <c r="L12" t="s">
        <v>1718</v>
      </c>
      <c r="M12" t="s">
        <v>1824</v>
      </c>
      <c r="N12" t="s">
        <v>2362</v>
      </c>
      <c r="O12" t="s">
        <v>2404</v>
      </c>
      <c r="S12" s="151" t="s">
        <v>1565</v>
      </c>
      <c r="T12" s="151" t="str">
        <f t="shared" si="1"/>
        <v>ghyun@kr.kpmg.com</v>
      </c>
      <c r="U12" s="151" t="str">
        <f t="shared" si="2"/>
        <v>sorakim@kr.kpmg.com; ckim19@kr.kpmg.com</v>
      </c>
      <c r="V12" t="s">
        <v>2474</v>
      </c>
    </row>
    <row r="13" spans="1:22" hidden="1" x14ac:dyDescent="0.3">
      <c r="A13" s="105">
        <v>1708795</v>
      </c>
      <c r="B13" s="27">
        <v>49</v>
      </c>
      <c r="C13" s="28" t="s">
        <v>444</v>
      </c>
      <c r="D13" s="28">
        <v>1000326360</v>
      </c>
      <c r="E13" s="29" t="s">
        <v>1562</v>
      </c>
      <c r="F13" s="28">
        <v>1708795</v>
      </c>
      <c r="G13" s="29" t="s">
        <v>871</v>
      </c>
      <c r="H13" s="104" t="s">
        <v>872</v>
      </c>
      <c r="I13" s="104" t="s">
        <v>1655</v>
      </c>
      <c r="K13" s="154" t="str">
        <f t="shared" si="0"/>
        <v>아이에스동서 ㈜</v>
      </c>
      <c r="L13" t="s">
        <v>1720</v>
      </c>
      <c r="M13" t="s">
        <v>1826</v>
      </c>
      <c r="N13" t="s">
        <v>2363</v>
      </c>
      <c r="O13" t="s">
        <v>2405</v>
      </c>
      <c r="S13" s="151" t="s">
        <v>2453</v>
      </c>
      <c r="T13" s="151" t="str">
        <f t="shared" si="1"/>
        <v>youngjoojin@kr.kpmg.com</v>
      </c>
      <c r="U13" s="151" t="str">
        <f t="shared" si="2"/>
        <v>junheehan@kr.kpmg.com; ckim19@kr.kpmg.com</v>
      </c>
      <c r="V13" t="s">
        <v>2476</v>
      </c>
    </row>
    <row r="14" spans="1:22" hidden="1" x14ac:dyDescent="0.3">
      <c r="A14" s="105">
        <v>1699032</v>
      </c>
      <c r="B14" s="27">
        <v>51</v>
      </c>
      <c r="C14" s="28" t="s">
        <v>613</v>
      </c>
      <c r="D14" s="28">
        <v>1000316397</v>
      </c>
      <c r="E14" s="29" t="s">
        <v>1560</v>
      </c>
      <c r="F14" s="28">
        <v>1699032</v>
      </c>
      <c r="G14" s="29" t="s">
        <v>875</v>
      </c>
      <c r="H14" s="104" t="s">
        <v>876</v>
      </c>
      <c r="I14" s="104" t="s">
        <v>1268</v>
      </c>
      <c r="K14" s="154" t="str">
        <f t="shared" si="0"/>
        <v>한국남동발전 ㈜</v>
      </c>
      <c r="L14" t="s">
        <v>73</v>
      </c>
      <c r="M14" t="s">
        <v>1828</v>
      </c>
      <c r="N14" t="s">
        <v>2364</v>
      </c>
      <c r="O14" t="s">
        <v>2406</v>
      </c>
      <c r="S14" s="151" t="s">
        <v>2454</v>
      </c>
      <c r="T14" s="151" t="str">
        <f t="shared" si="1"/>
        <v>yanghoshin@kr.kpmg.com</v>
      </c>
      <c r="U14" s="151" t="str">
        <f t="shared" si="2"/>
        <v>suminpark@kr.kpmg.com; ckim19@kr.kpmg.com</v>
      </c>
      <c r="V14" t="s">
        <v>2474</v>
      </c>
    </row>
    <row r="15" spans="1:22" hidden="1" x14ac:dyDescent="0.3">
      <c r="A15" s="105">
        <v>1699021</v>
      </c>
      <c r="B15" s="27">
        <v>55</v>
      </c>
      <c r="C15" s="28" t="s">
        <v>613</v>
      </c>
      <c r="D15" s="28">
        <v>1000317365</v>
      </c>
      <c r="E15" s="29" t="s">
        <v>1556</v>
      </c>
      <c r="F15" s="28">
        <v>1699021</v>
      </c>
      <c r="G15" s="29" t="s">
        <v>881</v>
      </c>
      <c r="H15" s="104" t="s">
        <v>876</v>
      </c>
      <c r="I15" s="104" t="s">
        <v>882</v>
      </c>
      <c r="K15" s="154" t="str">
        <f t="shared" si="0"/>
        <v>한국동서발전 ㈜</v>
      </c>
      <c r="L15" t="s">
        <v>1724</v>
      </c>
      <c r="M15" t="s">
        <v>1832</v>
      </c>
      <c r="N15" t="s">
        <v>2364</v>
      </c>
      <c r="O15" t="s">
        <v>2406</v>
      </c>
      <c r="S15" s="151" t="s">
        <v>2455</v>
      </c>
      <c r="T15" s="151" t="str">
        <f t="shared" si="1"/>
        <v>myoungjaejeon@kr.kpmg.com</v>
      </c>
      <c r="U15" s="151" t="str">
        <f t="shared" si="2"/>
        <v>suminpark@kr.kpmg.com; ckim19@kr.kpmg.com</v>
      </c>
      <c r="V15" t="s">
        <v>2474</v>
      </c>
    </row>
    <row r="16" spans="1:22" hidden="1" x14ac:dyDescent="0.3">
      <c r="A16" s="105">
        <v>1669402</v>
      </c>
      <c r="B16" s="27">
        <v>68</v>
      </c>
      <c r="C16" s="28" t="s">
        <v>434</v>
      </c>
      <c r="D16" s="28">
        <v>1000855664</v>
      </c>
      <c r="E16" s="29" t="s">
        <v>1614</v>
      </c>
      <c r="F16" s="28">
        <v>1669402</v>
      </c>
      <c r="G16" s="29" t="s">
        <v>909</v>
      </c>
      <c r="H16" s="104" t="s">
        <v>910</v>
      </c>
      <c r="I16" s="104" t="s">
        <v>1685</v>
      </c>
      <c r="K16" s="154" t="str">
        <f t="shared" si="0"/>
        <v>에스케이케미칼</v>
      </c>
      <c r="L16" t="s">
        <v>1731</v>
      </c>
      <c r="M16" t="s">
        <v>1842</v>
      </c>
      <c r="N16" t="s">
        <v>343</v>
      </c>
      <c r="O16" t="s">
        <v>2407</v>
      </c>
      <c r="S16" s="151" t="s">
        <v>1614</v>
      </c>
      <c r="T16" s="151" t="str">
        <f t="shared" si="1"/>
        <v>seungheonjeong@kr.kpmg.com</v>
      </c>
      <c r="U16" s="151" t="str">
        <f t="shared" si="2"/>
        <v>eunseokkim@kr.kpmg.com; ckim19@kr.kpmg.com</v>
      </c>
      <c r="V16" t="s">
        <v>2474</v>
      </c>
    </row>
    <row r="17" spans="1:22" hidden="1" x14ac:dyDescent="0.3">
      <c r="A17" s="105">
        <v>1668837</v>
      </c>
      <c r="B17" s="27">
        <v>69</v>
      </c>
      <c r="C17" s="28" t="s">
        <v>794</v>
      </c>
      <c r="D17" s="28">
        <v>1000575020</v>
      </c>
      <c r="E17" s="29" t="s">
        <v>1613</v>
      </c>
      <c r="F17" s="28">
        <v>1668837</v>
      </c>
      <c r="G17" s="29" t="s">
        <v>911</v>
      </c>
      <c r="H17" s="104" t="s">
        <v>798</v>
      </c>
      <c r="I17" s="104" t="s">
        <v>912</v>
      </c>
      <c r="K17" s="154" t="str">
        <f t="shared" si="0"/>
        <v>에어부산㈜</v>
      </c>
      <c r="L17" t="s">
        <v>1732</v>
      </c>
      <c r="M17" t="s">
        <v>1843</v>
      </c>
      <c r="N17" t="s">
        <v>2365</v>
      </c>
      <c r="O17" t="s">
        <v>2408</v>
      </c>
      <c r="S17" s="151" t="s">
        <v>1613</v>
      </c>
      <c r="T17" s="151" t="str">
        <f t="shared" si="1"/>
        <v>sujungna@kr.kpmg.com</v>
      </c>
      <c r="U17" s="151" t="str">
        <f t="shared" si="2"/>
        <v>skim56@kr.kpmg.com; ckim19@kr.kpmg.com</v>
      </c>
      <c r="V17" t="s">
        <v>2474</v>
      </c>
    </row>
    <row r="18" spans="1:22" hidden="1" x14ac:dyDescent="0.3">
      <c r="A18" s="105">
        <v>1707140</v>
      </c>
      <c r="B18" s="27">
        <v>78</v>
      </c>
      <c r="C18" s="28" t="s">
        <v>426</v>
      </c>
      <c r="D18" s="28">
        <v>1000953430</v>
      </c>
      <c r="E18" s="29" t="s">
        <v>931</v>
      </c>
      <c r="F18" s="28">
        <v>1707140</v>
      </c>
      <c r="G18" s="29" t="s">
        <v>932</v>
      </c>
      <c r="H18" s="104" t="s">
        <v>933</v>
      </c>
      <c r="I18" s="104" t="s">
        <v>1650</v>
      </c>
      <c r="K18" s="154" t="str">
        <f t="shared" si="0"/>
        <v xml:space="preserve">주식회사 컬리 </v>
      </c>
      <c r="L18" t="s">
        <v>1649</v>
      </c>
      <c r="M18" t="s">
        <v>1848</v>
      </c>
      <c r="N18" t="s">
        <v>2366</v>
      </c>
      <c r="O18" t="s">
        <v>2409</v>
      </c>
      <c r="S18" s="151" t="s">
        <v>931</v>
      </c>
      <c r="T18" s="151" t="str">
        <f t="shared" si="1"/>
        <v>sangunlee@kr.kpmg.com</v>
      </c>
      <c r="U18" s="151" t="str">
        <f t="shared" si="2"/>
        <v>jiheonkang@kr.kpmg.com; ckim19@kr.kpmg.com</v>
      </c>
      <c r="V18" t="s">
        <v>2474</v>
      </c>
    </row>
    <row r="19" spans="1:22" hidden="1" x14ac:dyDescent="0.3">
      <c r="A19" s="105">
        <v>1658417</v>
      </c>
      <c r="B19" s="27">
        <v>87</v>
      </c>
      <c r="C19" s="28" t="s">
        <v>613</v>
      </c>
      <c r="D19" s="28">
        <v>1000326224</v>
      </c>
      <c r="E19" s="29" t="s">
        <v>953</v>
      </c>
      <c r="F19" s="28">
        <v>1658417</v>
      </c>
      <c r="G19" s="29" t="s">
        <v>954</v>
      </c>
      <c r="H19" s="104" t="s">
        <v>955</v>
      </c>
      <c r="I19" s="104" t="s">
        <v>1699</v>
      </c>
      <c r="K19" s="154" t="str">
        <f t="shared" si="0"/>
        <v xml:space="preserve">주식회사 아이센스 </v>
      </c>
      <c r="L19" t="s">
        <v>73</v>
      </c>
      <c r="M19" t="s">
        <v>1828</v>
      </c>
      <c r="N19" t="s">
        <v>2367</v>
      </c>
      <c r="O19" t="s">
        <v>2410</v>
      </c>
      <c r="S19" s="151" t="s">
        <v>953</v>
      </c>
      <c r="T19" s="151" t="str">
        <f t="shared" si="1"/>
        <v>yanghoshin@kr.kpmg.com</v>
      </c>
      <c r="U19" s="151" t="str">
        <f t="shared" si="2"/>
        <v>kwanghyunyun@kr.kpmg.com; ckim19@kr.kpmg.com</v>
      </c>
      <c r="V19" t="s">
        <v>2474</v>
      </c>
    </row>
    <row r="20" spans="1:22" hidden="1" x14ac:dyDescent="0.3">
      <c r="A20" s="105">
        <v>1689086</v>
      </c>
      <c r="B20" s="27">
        <v>91</v>
      </c>
      <c r="C20" s="28" t="s">
        <v>613</v>
      </c>
      <c r="D20" s="28">
        <v>1000314686</v>
      </c>
      <c r="E20" s="29" t="s">
        <v>962</v>
      </c>
      <c r="F20" s="28">
        <v>1689086</v>
      </c>
      <c r="G20" s="29" t="s">
        <v>963</v>
      </c>
      <c r="H20" s="104" t="s">
        <v>887</v>
      </c>
      <c r="I20" s="104" t="s">
        <v>1700</v>
      </c>
      <c r="K20" s="154" t="str">
        <f t="shared" si="0"/>
        <v xml:space="preserve">STX </v>
      </c>
      <c r="L20" t="s">
        <v>1741</v>
      </c>
      <c r="M20" t="s">
        <v>1854</v>
      </c>
      <c r="N20" t="s">
        <v>2368</v>
      </c>
      <c r="O20" t="s">
        <v>2411</v>
      </c>
      <c r="S20" s="151" t="s">
        <v>2456</v>
      </c>
      <c r="T20" s="151" t="str">
        <f t="shared" si="1"/>
        <v>juwonpark@kr.kpmg.com</v>
      </c>
      <c r="U20" s="151" t="str">
        <f t="shared" si="2"/>
        <v>slee14@kr.kpmg.com; ckim19@kr.kpmg.com</v>
      </c>
      <c r="V20" t="s">
        <v>2474</v>
      </c>
    </row>
    <row r="21" spans="1:22" hidden="1" x14ac:dyDescent="0.3">
      <c r="A21" s="105">
        <v>1657536</v>
      </c>
      <c r="B21" s="27">
        <v>93</v>
      </c>
      <c r="C21" s="28" t="s">
        <v>444</v>
      </c>
      <c r="D21" s="28">
        <v>1000584416</v>
      </c>
      <c r="E21" s="29" t="s">
        <v>967</v>
      </c>
      <c r="F21" s="28">
        <v>1657536</v>
      </c>
      <c r="G21" s="29" t="s">
        <v>968</v>
      </c>
      <c r="H21" s="104" t="s">
        <v>894</v>
      </c>
      <c r="I21" s="104" t="s">
        <v>969</v>
      </c>
      <c r="K21" s="154" t="str">
        <f t="shared" si="0"/>
        <v xml:space="preserve">한일홀딩스(주) </v>
      </c>
      <c r="L21" t="s">
        <v>1743</v>
      </c>
      <c r="M21" s="152" t="s">
        <v>2479</v>
      </c>
      <c r="N21" t="s">
        <v>2369</v>
      </c>
      <c r="O21" t="s">
        <v>2412</v>
      </c>
      <c r="S21" s="151" t="s">
        <v>967</v>
      </c>
      <c r="T21" s="151" t="str">
        <f t="shared" si="1"/>
        <v>jpark106@kr.kpmg.com</v>
      </c>
      <c r="U21" s="151" t="str">
        <f t="shared" si="2"/>
        <v>changhyunan@kr.kpmg.com; ckim19@kr.kpmg.com</v>
      </c>
      <c r="V21" t="s">
        <v>2474</v>
      </c>
    </row>
    <row r="22" spans="1:22" hidden="1" x14ac:dyDescent="0.3">
      <c r="A22" s="105">
        <v>1684212</v>
      </c>
      <c r="B22" s="27">
        <v>95</v>
      </c>
      <c r="C22" s="28" t="s">
        <v>426</v>
      </c>
      <c r="D22" s="28">
        <v>1000563922</v>
      </c>
      <c r="E22" s="29" t="s">
        <v>972</v>
      </c>
      <c r="F22" s="28">
        <v>1684212</v>
      </c>
      <c r="G22" s="29" t="s">
        <v>973</v>
      </c>
      <c r="H22" s="104" t="s">
        <v>974</v>
      </c>
      <c r="I22" s="104" t="s">
        <v>2283</v>
      </c>
      <c r="K22" s="154" t="str">
        <f t="shared" si="0"/>
        <v xml:space="preserve">풀무원식품 (주) </v>
      </c>
      <c r="L22" t="s">
        <v>2395</v>
      </c>
      <c r="M22" t="s">
        <v>2443</v>
      </c>
      <c r="N22" t="s">
        <v>2370</v>
      </c>
      <c r="O22" t="s">
        <v>2413</v>
      </c>
      <c r="S22" s="151" t="s">
        <v>972</v>
      </c>
      <c r="T22" s="151" t="str">
        <f t="shared" si="1"/>
        <v>kyungjinkwon@kr.kpmg.com</v>
      </c>
      <c r="U22" s="151" t="str">
        <f t="shared" si="2"/>
        <v>soonjaeyang@kr.kpmg.com; ckim19@kr.kpmg.com</v>
      </c>
      <c r="V22" t="s">
        <v>2474</v>
      </c>
    </row>
    <row r="23" spans="1:22" hidden="1" x14ac:dyDescent="0.3">
      <c r="A23" s="105">
        <v>1667347</v>
      </c>
      <c r="B23" s="27">
        <v>97</v>
      </c>
      <c r="C23" s="28" t="s">
        <v>613</v>
      </c>
      <c r="D23" s="28">
        <v>1000316778</v>
      </c>
      <c r="E23" s="29" t="s">
        <v>978</v>
      </c>
      <c r="F23" s="28">
        <v>1667347</v>
      </c>
      <c r="G23" s="29" t="s">
        <v>979</v>
      </c>
      <c r="H23" s="104" t="s">
        <v>916</v>
      </c>
      <c r="I23" s="104" t="s">
        <v>1701</v>
      </c>
      <c r="K23" s="154" t="str">
        <f t="shared" si="0"/>
        <v xml:space="preserve">(주)이엔플러스 </v>
      </c>
      <c r="L23" t="s">
        <v>1746</v>
      </c>
      <c r="M23" t="s">
        <v>1859</v>
      </c>
      <c r="N23" t="s">
        <v>2371</v>
      </c>
      <c r="O23" t="s">
        <v>2414</v>
      </c>
      <c r="S23" s="151" t="s">
        <v>2457</v>
      </c>
      <c r="T23" s="151" t="str">
        <f t="shared" si="1"/>
        <v>rbaek@kr.kpmg.com</v>
      </c>
      <c r="U23" s="151" t="str">
        <f t="shared" si="2"/>
        <v>mingyusong@kr.kpmg.com; ckim19@kr.kpmg.com</v>
      </c>
      <c r="V23" t="s">
        <v>2480</v>
      </c>
    </row>
    <row r="24" spans="1:22" hidden="1" x14ac:dyDescent="0.3">
      <c r="A24" s="105">
        <v>1660093</v>
      </c>
      <c r="B24" s="27">
        <v>98</v>
      </c>
      <c r="C24" s="28" t="s">
        <v>434</v>
      </c>
      <c r="D24" s="28">
        <v>1000317525</v>
      </c>
      <c r="E24" s="29" t="s">
        <v>980</v>
      </c>
      <c r="F24" s="28">
        <v>1660093</v>
      </c>
      <c r="G24" s="29" t="s">
        <v>981</v>
      </c>
      <c r="H24" s="104" t="s">
        <v>851</v>
      </c>
      <c r="I24" s="104" t="s">
        <v>982</v>
      </c>
      <c r="K24" s="154" t="str">
        <f t="shared" si="0"/>
        <v xml:space="preserve">한일현대시멘트(주) </v>
      </c>
      <c r="L24" t="s">
        <v>1747</v>
      </c>
      <c r="M24" t="s">
        <v>1860</v>
      </c>
      <c r="N24" t="s">
        <v>2372</v>
      </c>
      <c r="O24" t="s">
        <v>2415</v>
      </c>
      <c r="S24" s="151" t="s">
        <v>980</v>
      </c>
      <c r="T24" s="151" t="str">
        <f t="shared" si="1"/>
        <v>yeonjuchu@kr.kpmg.com</v>
      </c>
      <c r="U24" s="151" t="str">
        <f t="shared" si="2"/>
        <v>changwonseo@kr.kpmg.com; ckim19@kr.kpmg.com</v>
      </c>
      <c r="V24" t="s">
        <v>2474</v>
      </c>
    </row>
    <row r="25" spans="1:22" hidden="1" x14ac:dyDescent="0.3">
      <c r="A25" s="105">
        <v>1662134</v>
      </c>
      <c r="B25" s="27">
        <v>102</v>
      </c>
      <c r="C25" s="28" t="s">
        <v>434</v>
      </c>
      <c r="D25" s="28">
        <v>1000316306</v>
      </c>
      <c r="E25" s="29" t="s">
        <v>990</v>
      </c>
      <c r="F25" s="28">
        <v>1662134</v>
      </c>
      <c r="G25" s="29" t="s">
        <v>991</v>
      </c>
      <c r="H25" s="104" t="s">
        <v>992</v>
      </c>
      <c r="I25" s="104" t="s">
        <v>1686</v>
      </c>
      <c r="K25" s="154" t="str">
        <f t="shared" si="0"/>
        <v xml:space="preserve">대한화섬(주) </v>
      </c>
      <c r="L25" t="s">
        <v>1749</v>
      </c>
      <c r="M25" t="s">
        <v>1862</v>
      </c>
      <c r="N25" t="s">
        <v>2373</v>
      </c>
      <c r="O25" t="s">
        <v>2416</v>
      </c>
      <c r="S25" s="151" t="s">
        <v>990</v>
      </c>
      <c r="T25" s="151" t="str">
        <f t="shared" si="1"/>
        <v>mkim63@kr.kpmg.com</v>
      </c>
      <c r="U25" s="151" t="str">
        <f t="shared" si="2"/>
        <v>jaewanlim@kr.kpmg.com; ckim19@kr.kpmg.com</v>
      </c>
      <c r="V25" t="s">
        <v>2474</v>
      </c>
    </row>
    <row r="26" spans="1:22" hidden="1" x14ac:dyDescent="0.3">
      <c r="A26" s="105">
        <v>1657987</v>
      </c>
      <c r="B26" s="27">
        <v>107</v>
      </c>
      <c r="C26" s="28" t="s">
        <v>613</v>
      </c>
      <c r="D26" s="28">
        <v>1000326266</v>
      </c>
      <c r="E26" s="29" t="s">
        <v>1003</v>
      </c>
      <c r="F26" s="28">
        <v>1657987</v>
      </c>
      <c r="G26" s="29" t="s">
        <v>1004</v>
      </c>
      <c r="H26" s="104" t="s">
        <v>955</v>
      </c>
      <c r="I26" s="104" t="s">
        <v>1702</v>
      </c>
      <c r="K26" s="154" t="str">
        <f t="shared" si="0"/>
        <v xml:space="preserve">(주)마크로젠 </v>
      </c>
      <c r="L26" t="s">
        <v>1752</v>
      </c>
      <c r="M26" t="s">
        <v>1865</v>
      </c>
      <c r="N26" t="s">
        <v>2367</v>
      </c>
      <c r="O26" t="s">
        <v>2410</v>
      </c>
      <c r="S26" s="151" t="s">
        <v>2458</v>
      </c>
      <c r="T26" s="151" t="str">
        <f t="shared" si="1"/>
        <v>doyoungpark@kr.kpmg.com</v>
      </c>
      <c r="U26" s="151" t="str">
        <f t="shared" si="2"/>
        <v>kwanghyunyun@kr.kpmg.com; ckim19@kr.kpmg.com</v>
      </c>
      <c r="V26" t="s">
        <v>2474</v>
      </c>
    </row>
    <row r="27" spans="1:22" hidden="1" x14ac:dyDescent="0.3">
      <c r="A27" s="105">
        <v>1681016</v>
      </c>
      <c r="B27" s="27">
        <v>109</v>
      </c>
      <c r="C27" s="28" t="s">
        <v>434</v>
      </c>
      <c r="D27" s="28">
        <v>1000317496</v>
      </c>
      <c r="E27" s="29" t="s">
        <v>1007</v>
      </c>
      <c r="F27" s="28">
        <v>1681016</v>
      </c>
      <c r="G27" s="29" t="s">
        <v>1008</v>
      </c>
      <c r="H27" s="104" t="s">
        <v>648</v>
      </c>
      <c r="I27" s="104" t="s">
        <v>1687</v>
      </c>
      <c r="K27" s="154" t="str">
        <f t="shared" si="0"/>
        <v xml:space="preserve">주식회사 씨젠 </v>
      </c>
      <c r="L27" t="s">
        <v>270</v>
      </c>
      <c r="M27" t="s">
        <v>1867</v>
      </c>
      <c r="N27" t="s">
        <v>161</v>
      </c>
      <c r="O27" t="s">
        <v>2417</v>
      </c>
      <c r="S27" s="151" t="s">
        <v>2459</v>
      </c>
      <c r="T27" s="151" t="str">
        <f t="shared" si="1"/>
        <v>kichansung@kr.kpmg.com</v>
      </c>
      <c r="U27" s="151" t="str">
        <f t="shared" si="2"/>
        <v>pjeong@kr.kpmg.com; ckim19@kr.kpmg.com</v>
      </c>
      <c r="V27" t="s">
        <v>2474</v>
      </c>
    </row>
    <row r="28" spans="1:22" hidden="1" x14ac:dyDescent="0.3">
      <c r="A28" s="105">
        <v>1661712</v>
      </c>
      <c r="B28" s="27">
        <v>112</v>
      </c>
      <c r="C28" s="28" t="s">
        <v>637</v>
      </c>
      <c r="D28" s="28">
        <v>1001113322</v>
      </c>
      <c r="E28" s="29" t="s">
        <v>1015</v>
      </c>
      <c r="F28" s="28">
        <v>1661712</v>
      </c>
      <c r="G28" s="29" t="s">
        <v>1016</v>
      </c>
      <c r="H28" s="104" t="s">
        <v>1017</v>
      </c>
      <c r="I28" s="104" t="s">
        <v>1672</v>
      </c>
      <c r="K28" s="154" t="str">
        <f t="shared" si="0"/>
        <v xml:space="preserve">주식회사 코맥스 </v>
      </c>
      <c r="L28" t="s">
        <v>1671</v>
      </c>
      <c r="M28" t="s">
        <v>1869</v>
      </c>
      <c r="N28" t="s">
        <v>2374</v>
      </c>
      <c r="O28" t="s">
        <v>2418</v>
      </c>
      <c r="S28" s="151" t="s">
        <v>1015</v>
      </c>
      <c r="T28" s="151" t="str">
        <f t="shared" si="1"/>
        <v>heeseokseo@kr.kpmg.com</v>
      </c>
      <c r="U28" s="151" t="str">
        <f t="shared" si="2"/>
        <v>donggyulee@kr.kpmg.com; ckim19@kr.kpmg.com</v>
      </c>
      <c r="V28" t="s">
        <v>2474</v>
      </c>
    </row>
    <row r="29" spans="1:22" hidden="1" x14ac:dyDescent="0.3">
      <c r="A29" s="105">
        <v>1667022</v>
      </c>
      <c r="B29" s="27">
        <v>113</v>
      </c>
      <c r="C29" s="28" t="s">
        <v>656</v>
      </c>
      <c r="D29" s="28">
        <v>1000325687</v>
      </c>
      <c r="E29" s="29" t="s">
        <v>1018</v>
      </c>
      <c r="F29" s="28">
        <v>1667022</v>
      </c>
      <c r="G29" s="29" t="s">
        <v>1019</v>
      </c>
      <c r="H29" s="104" t="s">
        <v>806</v>
      </c>
      <c r="I29" s="104" t="s">
        <v>1020</v>
      </c>
      <c r="K29" s="154" t="str">
        <f t="shared" si="0"/>
        <v xml:space="preserve">주식회사켐트로닉스 </v>
      </c>
      <c r="L29" t="s">
        <v>1755</v>
      </c>
      <c r="M29" t="s">
        <v>1870</v>
      </c>
      <c r="N29" t="s">
        <v>2375</v>
      </c>
      <c r="O29" t="s">
        <v>2419</v>
      </c>
      <c r="S29" s="151" t="s">
        <v>1018</v>
      </c>
      <c r="T29" s="151" t="str">
        <f t="shared" si="1"/>
        <v>ylee67@kr.kpmg.com</v>
      </c>
      <c r="U29" s="151" t="str">
        <f t="shared" si="2"/>
        <v>yulcheolpark@kr.kpmg.com; ckim19@kr.kpmg.com</v>
      </c>
      <c r="V29" t="s">
        <v>2474</v>
      </c>
    </row>
    <row r="30" spans="1:22" hidden="1" x14ac:dyDescent="0.3">
      <c r="A30" s="105">
        <v>1685463</v>
      </c>
      <c r="B30" s="27">
        <v>118</v>
      </c>
      <c r="C30" s="28" t="s">
        <v>613</v>
      </c>
      <c r="D30" s="28">
        <v>1000325951</v>
      </c>
      <c r="E30" s="29" t="s">
        <v>1030</v>
      </c>
      <c r="F30" s="28">
        <v>1685463</v>
      </c>
      <c r="G30" s="29" t="s">
        <v>1031</v>
      </c>
      <c r="H30" s="104" t="s">
        <v>1032</v>
      </c>
      <c r="I30" s="104" t="s">
        <v>1033</v>
      </c>
      <c r="K30" s="154" t="str">
        <f t="shared" si="0"/>
        <v xml:space="preserve">일진전기(주) </v>
      </c>
      <c r="L30" t="s">
        <v>1756</v>
      </c>
      <c r="M30" t="s">
        <v>1872</v>
      </c>
      <c r="N30" t="s">
        <v>2376</v>
      </c>
      <c r="O30" t="s">
        <v>2420</v>
      </c>
      <c r="S30" s="151" t="s">
        <v>2460</v>
      </c>
      <c r="T30" s="151" t="str">
        <f t="shared" si="1"/>
        <v>dkim240@kr.kpmg.com</v>
      </c>
      <c r="U30" s="151" t="str">
        <f t="shared" si="2"/>
        <v>mkim175@kr.kpmg.com; ckim19@kr.kpmg.com</v>
      </c>
      <c r="V30" t="s">
        <v>2474</v>
      </c>
    </row>
    <row r="31" spans="1:22" hidden="1" x14ac:dyDescent="0.3">
      <c r="A31" s="105">
        <v>1671190</v>
      </c>
      <c r="B31" s="27">
        <v>122</v>
      </c>
      <c r="C31" s="28" t="s">
        <v>613</v>
      </c>
      <c r="D31" s="28">
        <v>1000718990</v>
      </c>
      <c r="E31" s="29" t="s">
        <v>1041</v>
      </c>
      <c r="F31" s="28">
        <v>1671190</v>
      </c>
      <c r="G31" s="29" t="s">
        <v>1042</v>
      </c>
      <c r="H31" s="104" t="s">
        <v>887</v>
      </c>
      <c r="I31" s="104" t="s">
        <v>1700</v>
      </c>
      <c r="K31" s="154" t="str">
        <f t="shared" si="0"/>
        <v xml:space="preserve">에이치라인해운 주식회사 </v>
      </c>
      <c r="L31" t="s">
        <v>1741</v>
      </c>
      <c r="M31" t="s">
        <v>1854</v>
      </c>
      <c r="N31" t="s">
        <v>2368</v>
      </c>
      <c r="O31" t="s">
        <v>2411</v>
      </c>
      <c r="S31" s="151" t="s">
        <v>1041</v>
      </c>
      <c r="T31" s="151" t="str">
        <f t="shared" si="1"/>
        <v>juwonpark@kr.kpmg.com</v>
      </c>
      <c r="U31" s="151" t="str">
        <f t="shared" si="2"/>
        <v>slee14@kr.kpmg.com; ckim19@kr.kpmg.com</v>
      </c>
      <c r="V31" t="s">
        <v>2474</v>
      </c>
    </row>
    <row r="32" spans="1:22" hidden="1" x14ac:dyDescent="0.3">
      <c r="A32" s="105">
        <v>1684449</v>
      </c>
      <c r="B32" s="27">
        <v>127</v>
      </c>
      <c r="C32" s="28" t="s">
        <v>426</v>
      </c>
      <c r="D32" s="28">
        <v>1000750214</v>
      </c>
      <c r="E32" s="29" t="s">
        <v>1052</v>
      </c>
      <c r="F32" s="28">
        <v>1684449</v>
      </c>
      <c r="G32" s="29" t="s">
        <v>1053</v>
      </c>
      <c r="H32" s="104" t="s">
        <v>2284</v>
      </c>
      <c r="I32" s="104" t="s">
        <v>1653</v>
      </c>
      <c r="K32" s="154" t="str">
        <f t="shared" si="0"/>
        <v xml:space="preserve">(주) 드림텍 </v>
      </c>
      <c r="L32" t="s">
        <v>1758</v>
      </c>
      <c r="M32" t="s">
        <v>2444</v>
      </c>
      <c r="N32" t="s">
        <v>2377</v>
      </c>
      <c r="O32" t="s">
        <v>2421</v>
      </c>
      <c r="S32" s="151" t="s">
        <v>2461</v>
      </c>
      <c r="T32" s="151" t="str">
        <f t="shared" si="1"/>
        <v>hkim31@kr.kpmg.com</v>
      </c>
      <c r="U32" s="151" t="str">
        <f t="shared" si="2"/>
        <v>sunjeongpark@kr.kpmg.com; ckim19@kr.kpmg.com</v>
      </c>
      <c r="V32" t="s">
        <v>2474</v>
      </c>
    </row>
    <row r="33" spans="1:22" hidden="1" x14ac:dyDescent="0.3">
      <c r="A33" s="105">
        <v>1666352</v>
      </c>
      <c r="B33" s="27">
        <v>129</v>
      </c>
      <c r="C33" s="28" t="s">
        <v>434</v>
      </c>
      <c r="D33" s="28">
        <v>1000961585</v>
      </c>
      <c r="E33" s="29" t="s">
        <v>1056</v>
      </c>
      <c r="F33" s="28">
        <v>1666352</v>
      </c>
      <c r="G33" s="29" t="s">
        <v>1057</v>
      </c>
      <c r="H33" s="104" t="s">
        <v>1058</v>
      </c>
      <c r="I33" s="104" t="s">
        <v>1059</v>
      </c>
      <c r="K33" s="154" t="str">
        <f t="shared" si="0"/>
        <v xml:space="preserve">한국철강주식회사 </v>
      </c>
      <c r="L33" t="s">
        <v>254</v>
      </c>
      <c r="M33" t="s">
        <v>1875</v>
      </c>
      <c r="N33" t="s">
        <v>2378</v>
      </c>
      <c r="O33" t="s">
        <v>2422</v>
      </c>
      <c r="S33" s="151" t="s">
        <v>2462</v>
      </c>
      <c r="T33" s="151" t="str">
        <f t="shared" si="1"/>
        <v>jlee177@kr.kpmg.com</v>
      </c>
      <c r="U33" s="151" t="str">
        <f t="shared" si="2"/>
        <v>jaeyeonleem@kr.kpmg.com; ckim19@kr.kpmg.com</v>
      </c>
      <c r="V33" t="s">
        <v>1276</v>
      </c>
    </row>
    <row r="34" spans="1:22" hidden="1" x14ac:dyDescent="0.3">
      <c r="A34" s="105">
        <v>1662602</v>
      </c>
      <c r="B34" s="27">
        <v>130</v>
      </c>
      <c r="C34" s="28" t="s">
        <v>637</v>
      </c>
      <c r="D34" s="28">
        <v>1000805428</v>
      </c>
      <c r="E34" s="29" t="s">
        <v>1060</v>
      </c>
      <c r="F34" s="28">
        <v>1662602</v>
      </c>
      <c r="G34" s="29" t="s">
        <v>1061</v>
      </c>
      <c r="H34" s="104" t="s">
        <v>903</v>
      </c>
      <c r="I34" s="104" t="s">
        <v>1674</v>
      </c>
      <c r="K34" s="154" t="str">
        <f t="shared" si="0"/>
        <v xml:space="preserve">이니텍 주식회사 </v>
      </c>
      <c r="L34" t="s">
        <v>1759</v>
      </c>
      <c r="M34" t="s">
        <v>1876</v>
      </c>
      <c r="N34" t="s">
        <v>2379</v>
      </c>
      <c r="O34" t="s">
        <v>2423</v>
      </c>
      <c r="S34" s="151" t="s">
        <v>2463</v>
      </c>
      <c r="T34" s="151" t="str">
        <f>M34</f>
        <v>kwangsoocho@kr.kpmg.com</v>
      </c>
      <c r="U34" s="151" t="str">
        <f t="shared" si="2"/>
        <v>yoorachoi@kr.kpmg.com; ckim19@kr.kpmg.com</v>
      </c>
      <c r="V34" t="s">
        <v>2474</v>
      </c>
    </row>
    <row r="35" spans="1:22" hidden="1" x14ac:dyDescent="0.3">
      <c r="A35" s="105">
        <v>1684521</v>
      </c>
      <c r="B35" s="27">
        <v>136</v>
      </c>
      <c r="C35" s="28" t="s">
        <v>426</v>
      </c>
      <c r="D35" s="28">
        <v>1000957503</v>
      </c>
      <c r="E35" s="29" t="s">
        <v>1073</v>
      </c>
      <c r="F35" s="28">
        <v>1684521</v>
      </c>
      <c r="G35" s="29" t="s">
        <v>1074</v>
      </c>
      <c r="H35" s="104" t="s">
        <v>2285</v>
      </c>
      <c r="I35" s="104" t="s">
        <v>1075</v>
      </c>
      <c r="K35" s="154" t="str">
        <f t="shared" si="0"/>
        <v xml:space="preserve">깨끗한나라 주식회사 </v>
      </c>
      <c r="L35" t="s">
        <v>1763</v>
      </c>
      <c r="M35" t="s">
        <v>1881</v>
      </c>
      <c r="N35" t="s">
        <v>2380</v>
      </c>
      <c r="O35" t="s">
        <v>2424</v>
      </c>
      <c r="S35" s="151" t="s">
        <v>2464</v>
      </c>
      <c r="T35" s="151" t="str">
        <f t="shared" si="1"/>
        <v>gyeon@kr.kpmg.com</v>
      </c>
      <c r="U35" s="151" t="str">
        <f t="shared" si="2"/>
        <v>hyejunglim@kr.kpmg.com; ckim19@kr.kpmg.com</v>
      </c>
      <c r="V35" t="s">
        <v>2474</v>
      </c>
    </row>
    <row r="36" spans="1:22" hidden="1" x14ac:dyDescent="0.3">
      <c r="A36" s="105">
        <v>1666297</v>
      </c>
      <c r="B36" s="27">
        <v>137</v>
      </c>
      <c r="C36" s="28" t="s">
        <v>637</v>
      </c>
      <c r="D36" s="28">
        <v>1000317156</v>
      </c>
      <c r="E36" s="29" t="s">
        <v>1076</v>
      </c>
      <c r="F36" s="28">
        <v>1666297</v>
      </c>
      <c r="G36" s="29" t="s">
        <v>1077</v>
      </c>
      <c r="H36" s="104" t="s">
        <v>1036</v>
      </c>
      <c r="I36" s="104" t="s">
        <v>1078</v>
      </c>
      <c r="K36" s="154" t="str">
        <f t="shared" si="0"/>
        <v xml:space="preserve">주식회사 케이이씨 </v>
      </c>
      <c r="L36" t="s">
        <v>1764</v>
      </c>
      <c r="M36" t="s">
        <v>1882</v>
      </c>
      <c r="N36" t="s">
        <v>2381</v>
      </c>
      <c r="O36" t="s">
        <v>2425</v>
      </c>
      <c r="S36" s="151" t="s">
        <v>2465</v>
      </c>
      <c r="T36" s="151" t="str">
        <f t="shared" si="1"/>
        <v>sukheehan@kr.kpmg.com</v>
      </c>
      <c r="U36" s="151" t="str">
        <f t="shared" si="2"/>
        <v>woohyunyi@kr.kpmg.com; ckim19@kr.kpmg.com</v>
      </c>
      <c r="V36" t="s">
        <v>2474</v>
      </c>
    </row>
    <row r="37" spans="1:22" hidden="1" x14ac:dyDescent="0.3">
      <c r="A37" s="105">
        <v>1662618</v>
      </c>
      <c r="B37" s="27">
        <v>140</v>
      </c>
      <c r="C37" s="28" t="s">
        <v>843</v>
      </c>
      <c r="D37" s="28">
        <v>1000316806</v>
      </c>
      <c r="E37" s="29" t="s">
        <v>1084</v>
      </c>
      <c r="F37" s="28">
        <v>1662618</v>
      </c>
      <c r="G37" s="29" t="s">
        <v>1085</v>
      </c>
      <c r="H37" s="104" t="s">
        <v>1086</v>
      </c>
      <c r="I37" s="104" t="s">
        <v>1662</v>
      </c>
      <c r="K37" s="154" t="str">
        <f t="shared" si="0"/>
        <v xml:space="preserve">이스트소프트 </v>
      </c>
      <c r="L37" t="s">
        <v>1765</v>
      </c>
      <c r="M37" t="s">
        <v>1883</v>
      </c>
      <c r="N37" t="s">
        <v>1703</v>
      </c>
      <c r="O37" t="s">
        <v>1802</v>
      </c>
      <c r="S37" s="151" t="s">
        <v>2466</v>
      </c>
      <c r="T37" s="151" t="str">
        <f t="shared" si="1"/>
        <v>seungkikim@kr.kpmg.com</v>
      </c>
      <c r="U37" s="151" t="str">
        <f t="shared" si="2"/>
        <v>seongbeomlee@kr.kpmg.com; ckim19@kr.kpmg.com</v>
      </c>
      <c r="V37" t="s">
        <v>2474</v>
      </c>
    </row>
    <row r="38" spans="1:22" hidden="1" x14ac:dyDescent="0.3">
      <c r="A38" s="105">
        <v>1685777</v>
      </c>
      <c r="B38" s="27">
        <v>142</v>
      </c>
      <c r="C38" s="28" t="s">
        <v>434</v>
      </c>
      <c r="D38" s="28">
        <v>1000316408</v>
      </c>
      <c r="E38" s="29" t="s">
        <v>1089</v>
      </c>
      <c r="F38" s="28">
        <v>1685777</v>
      </c>
      <c r="G38" s="29" t="s">
        <v>1090</v>
      </c>
      <c r="H38" s="104" t="s">
        <v>1091</v>
      </c>
      <c r="I38" s="104" t="s">
        <v>1688</v>
      </c>
      <c r="K38" s="154" t="str">
        <f t="shared" si="0"/>
        <v xml:space="preserve">SNT다이내믹스(주) </v>
      </c>
      <c r="L38" t="s">
        <v>1760</v>
      </c>
      <c r="M38" t="s">
        <v>1878</v>
      </c>
      <c r="N38" t="s">
        <v>209</v>
      </c>
      <c r="O38" t="s">
        <v>2426</v>
      </c>
      <c r="S38" s="151" t="s">
        <v>2467</v>
      </c>
      <c r="T38" s="151" t="str">
        <f t="shared" si="1"/>
        <v>jaeminsim@kr.kpmg.com</v>
      </c>
      <c r="U38" s="151" t="str">
        <f t="shared" si="2"/>
        <v>giwoongbae@kr.kpmg.com; ckim19@kr.kpmg.com</v>
      </c>
      <c r="V38" t="s">
        <v>2474</v>
      </c>
    </row>
    <row r="39" spans="1:22" hidden="1" x14ac:dyDescent="0.3">
      <c r="A39" s="105">
        <v>1684057</v>
      </c>
      <c r="B39" s="27">
        <v>147</v>
      </c>
      <c r="C39" s="28" t="s">
        <v>784</v>
      </c>
      <c r="D39" s="28">
        <v>1000317541</v>
      </c>
      <c r="E39" s="29" t="s">
        <v>1100</v>
      </c>
      <c r="F39" s="28">
        <v>1684057</v>
      </c>
      <c r="G39" s="29" t="s">
        <v>1101</v>
      </c>
      <c r="H39" s="104" t="s">
        <v>1102</v>
      </c>
      <c r="I39" s="104" t="s">
        <v>2446</v>
      </c>
      <c r="K39" s="154" t="str">
        <f t="shared" si="0"/>
        <v xml:space="preserve">㈜케이씨 </v>
      </c>
      <c r="L39" t="s">
        <v>153</v>
      </c>
      <c r="M39" t="s">
        <v>2448</v>
      </c>
      <c r="N39" t="s">
        <v>410</v>
      </c>
      <c r="O39" t="s">
        <v>2427</v>
      </c>
      <c r="S39" s="151" t="s">
        <v>1100</v>
      </c>
      <c r="T39" s="151" t="str">
        <f t="shared" si="1"/>
        <v>Jjung9@kr.kpmg.com</v>
      </c>
      <c r="U39" s="151" t="str">
        <f t="shared" si="2"/>
        <v>ykang4@kr.kpmg.com; ckim19@kr.kpmg.com</v>
      </c>
      <c r="V39" t="s">
        <v>2474</v>
      </c>
    </row>
    <row r="40" spans="1:22" hidden="1" x14ac:dyDescent="0.3">
      <c r="A40" s="105">
        <v>1684314</v>
      </c>
      <c r="B40" s="27">
        <v>150</v>
      </c>
      <c r="C40" s="28" t="s">
        <v>637</v>
      </c>
      <c r="D40" s="28">
        <v>1000891310</v>
      </c>
      <c r="E40" s="29" t="s">
        <v>1107</v>
      </c>
      <c r="F40" s="28">
        <v>1684314</v>
      </c>
      <c r="G40" s="29" t="s">
        <v>1108</v>
      </c>
      <c r="H40" s="104" t="s">
        <v>1036</v>
      </c>
      <c r="I40" s="104" t="s">
        <v>1078</v>
      </c>
      <c r="K40" s="154" t="str">
        <f t="shared" si="0"/>
        <v xml:space="preserve">십일번가 주식회사 </v>
      </c>
      <c r="L40" t="s">
        <v>1764</v>
      </c>
      <c r="M40" t="s">
        <v>1882</v>
      </c>
      <c r="N40" t="s">
        <v>2381</v>
      </c>
      <c r="O40" t="s">
        <v>2425</v>
      </c>
      <c r="S40" s="151" t="s">
        <v>1107</v>
      </c>
      <c r="T40" s="151" t="str">
        <f t="shared" si="1"/>
        <v>sukheehan@kr.kpmg.com</v>
      </c>
      <c r="U40" s="151" t="str">
        <f t="shared" si="2"/>
        <v>woohyunyi@kr.kpmg.com; ckim19@kr.kpmg.com</v>
      </c>
      <c r="V40" t="s">
        <v>2474</v>
      </c>
    </row>
    <row r="41" spans="1:22" hidden="1" x14ac:dyDescent="0.3">
      <c r="A41" s="105">
        <v>1684738</v>
      </c>
      <c r="B41" s="27">
        <v>151</v>
      </c>
      <c r="C41" s="28" t="s">
        <v>794</v>
      </c>
      <c r="D41" s="28">
        <v>1000316074</v>
      </c>
      <c r="E41" s="29" t="s">
        <v>1109</v>
      </c>
      <c r="F41" s="28">
        <v>1684738</v>
      </c>
      <c r="G41" s="29" t="s">
        <v>1110</v>
      </c>
      <c r="H41" s="104" t="s">
        <v>840</v>
      </c>
      <c r="I41" s="104" t="s">
        <v>1695</v>
      </c>
      <c r="K41" s="154" t="str">
        <f t="shared" si="0"/>
        <v xml:space="preserve">디와이덕양 </v>
      </c>
      <c r="L41" t="s">
        <v>1767</v>
      </c>
      <c r="M41" t="s">
        <v>1885</v>
      </c>
      <c r="N41" t="s">
        <v>82</v>
      </c>
      <c r="O41" t="s">
        <v>2428</v>
      </c>
      <c r="S41" s="151" t="s">
        <v>2468</v>
      </c>
      <c r="T41" s="151" t="str">
        <f t="shared" si="1"/>
        <v>kichankang@kr.kpmg.com</v>
      </c>
      <c r="U41" s="151" t="str">
        <f t="shared" si="2"/>
        <v>jchoi13@kr.kpmg.com; ckim19@kr.kpmg.com</v>
      </c>
      <c r="V41" t="s">
        <v>2474</v>
      </c>
    </row>
    <row r="42" spans="1:22" hidden="1" x14ac:dyDescent="0.3">
      <c r="A42" s="105">
        <v>1685948</v>
      </c>
      <c r="B42" s="27">
        <v>155</v>
      </c>
      <c r="C42" s="28" t="s">
        <v>613</v>
      </c>
      <c r="D42" s="28">
        <v>1000317239</v>
      </c>
      <c r="E42" s="29" t="s">
        <v>1118</v>
      </c>
      <c r="F42" s="28">
        <v>1685948</v>
      </c>
      <c r="G42" s="29" t="s">
        <v>1119</v>
      </c>
      <c r="H42" s="104" t="s">
        <v>1032</v>
      </c>
      <c r="I42" s="104" t="s">
        <v>1146</v>
      </c>
      <c r="K42" s="154" t="str">
        <f t="shared" si="0"/>
        <v xml:space="preserve">한전KDN 주식회사 </v>
      </c>
      <c r="L42" t="s">
        <v>1769</v>
      </c>
      <c r="M42" t="s">
        <v>1887</v>
      </c>
      <c r="N42" t="s">
        <v>2376</v>
      </c>
      <c r="O42" t="s">
        <v>2420</v>
      </c>
      <c r="S42" s="151" t="s">
        <v>1118</v>
      </c>
      <c r="T42" s="151" t="str">
        <f t="shared" si="1"/>
        <v>tkim50@kr.kpmg.com</v>
      </c>
      <c r="U42" s="151" t="str">
        <f t="shared" si="2"/>
        <v>mkim175@kr.kpmg.com; ckim19@kr.kpmg.com</v>
      </c>
      <c r="V42" t="s">
        <v>2474</v>
      </c>
    </row>
    <row r="43" spans="1:22" hidden="1" x14ac:dyDescent="0.3">
      <c r="A43" s="105">
        <v>1681656</v>
      </c>
      <c r="B43" s="27">
        <v>156</v>
      </c>
      <c r="C43" s="28" t="s">
        <v>434</v>
      </c>
      <c r="D43" s="28">
        <v>1001123145</v>
      </c>
      <c r="E43" s="29" t="s">
        <v>1120</v>
      </c>
      <c r="F43" s="28">
        <v>1681656</v>
      </c>
      <c r="G43" s="29" t="s">
        <v>1121</v>
      </c>
      <c r="H43" s="104" t="s">
        <v>1091</v>
      </c>
      <c r="I43" s="104" t="s">
        <v>1688</v>
      </c>
      <c r="K43" s="154" t="str">
        <f t="shared" si="0"/>
        <v xml:space="preserve">주식회사 리가켐바이오사이언스 </v>
      </c>
      <c r="L43" t="s">
        <v>1760</v>
      </c>
      <c r="M43" t="s">
        <v>1878</v>
      </c>
      <c r="N43" t="s">
        <v>209</v>
      </c>
      <c r="O43" t="s">
        <v>2426</v>
      </c>
      <c r="S43" s="151" t="s">
        <v>1120</v>
      </c>
      <c r="T43" s="151" t="str">
        <f t="shared" si="1"/>
        <v>jaeminsim@kr.kpmg.com</v>
      </c>
      <c r="U43" s="151" t="str">
        <f t="shared" si="2"/>
        <v>giwoongbae@kr.kpmg.com; ckim19@kr.kpmg.com</v>
      </c>
      <c r="V43" t="s">
        <v>2474</v>
      </c>
    </row>
    <row r="44" spans="1:22" hidden="1" x14ac:dyDescent="0.3">
      <c r="A44" s="105">
        <v>1683466</v>
      </c>
      <c r="B44" s="27">
        <v>157</v>
      </c>
      <c r="C44" s="28" t="s">
        <v>637</v>
      </c>
      <c r="D44" s="28">
        <v>1000315052</v>
      </c>
      <c r="E44" s="29" t="s">
        <v>1122</v>
      </c>
      <c r="F44" s="28">
        <v>1683466</v>
      </c>
      <c r="G44" s="29" t="s">
        <v>1123</v>
      </c>
      <c r="H44" s="104" t="s">
        <v>1124</v>
      </c>
      <c r="I44" s="104" t="s">
        <v>1125</v>
      </c>
      <c r="K44" s="154" t="str">
        <f t="shared" si="0"/>
        <v xml:space="preserve">에스케이플래닛 주식회사 </v>
      </c>
      <c r="L44" t="s">
        <v>1770</v>
      </c>
      <c r="M44" t="s">
        <v>1888</v>
      </c>
      <c r="N44" t="s">
        <v>2382</v>
      </c>
      <c r="O44" t="s">
        <v>2429</v>
      </c>
      <c r="S44" s="151" t="s">
        <v>2469</v>
      </c>
      <c r="T44" s="151" t="str">
        <f t="shared" si="1"/>
        <v>doheunkim@kr.kpmg.com</v>
      </c>
      <c r="U44" s="151" t="str">
        <f t="shared" si="2"/>
        <v>taehyunglee@kr.kpmg.com; ckim19@kr.kpmg.com</v>
      </c>
      <c r="V44" t="s">
        <v>2481</v>
      </c>
    </row>
    <row r="45" spans="1:22" hidden="1" x14ac:dyDescent="0.3">
      <c r="A45" s="105">
        <v>1684245</v>
      </c>
      <c r="B45" s="27">
        <v>158</v>
      </c>
      <c r="C45" s="28" t="s">
        <v>656</v>
      </c>
      <c r="D45" s="28">
        <v>1000661436</v>
      </c>
      <c r="E45" s="29" t="s">
        <v>1126</v>
      </c>
      <c r="F45" s="28">
        <v>1684245</v>
      </c>
      <c r="G45" s="29" t="s">
        <v>1127</v>
      </c>
      <c r="H45" s="104" t="s">
        <v>1081</v>
      </c>
      <c r="I45" s="104" t="s">
        <v>1128</v>
      </c>
      <c r="K45" s="154" t="str">
        <f t="shared" si="0"/>
        <v xml:space="preserve">한화임팩트주식회사 </v>
      </c>
      <c r="L45" t="s">
        <v>1771</v>
      </c>
      <c r="M45" t="s">
        <v>1889</v>
      </c>
      <c r="N45" t="s">
        <v>2383</v>
      </c>
      <c r="O45" t="s">
        <v>2430</v>
      </c>
      <c r="S45" s="151" t="s">
        <v>1126</v>
      </c>
      <c r="T45" s="151" t="str">
        <f t="shared" si="1"/>
        <v>dokyunglee@kr.kpmg.com</v>
      </c>
      <c r="U45" s="151" t="str">
        <f t="shared" si="2"/>
        <v>jaehyukjang@kr.kpmg.com; ckim19@kr.kpmg.com</v>
      </c>
      <c r="V45" t="s">
        <v>2474</v>
      </c>
    </row>
    <row r="46" spans="1:22" hidden="1" x14ac:dyDescent="0.3">
      <c r="A46" s="105">
        <v>1688023</v>
      </c>
      <c r="B46" s="27">
        <v>162</v>
      </c>
      <c r="C46" s="28" t="s">
        <v>656</v>
      </c>
      <c r="D46" s="28">
        <v>1001319180</v>
      </c>
      <c r="E46" s="29" t="s">
        <v>1135</v>
      </c>
      <c r="F46" s="28">
        <v>1688023</v>
      </c>
      <c r="G46" s="29" t="s">
        <v>1136</v>
      </c>
      <c r="H46" s="104" t="s">
        <v>1064</v>
      </c>
      <c r="I46" s="104" t="s">
        <v>1137</v>
      </c>
      <c r="K46" s="154" t="str">
        <f t="shared" si="0"/>
        <v xml:space="preserve">한화첨단소재 주식회사 </v>
      </c>
      <c r="L46" t="s">
        <v>1773</v>
      </c>
      <c r="M46" t="s">
        <v>1891</v>
      </c>
      <c r="N46" t="s">
        <v>2384</v>
      </c>
      <c r="O46" t="s">
        <v>2431</v>
      </c>
      <c r="S46" s="151" t="s">
        <v>1135</v>
      </c>
      <c r="T46" s="151" t="str">
        <f t="shared" si="1"/>
        <v>gyucheoloh@kr.kpmg.com</v>
      </c>
      <c r="U46" s="151" t="str">
        <f t="shared" si="2"/>
        <v>jlee92@kr.kpmg.com; ckim19@kr.kpmg.com</v>
      </c>
      <c r="V46" t="s">
        <v>2474</v>
      </c>
    </row>
    <row r="47" spans="1:22" hidden="1" x14ac:dyDescent="0.3">
      <c r="A47" s="105">
        <v>1685926</v>
      </c>
      <c r="B47" s="27">
        <v>164</v>
      </c>
      <c r="C47" s="28" t="s">
        <v>794</v>
      </c>
      <c r="D47" s="28">
        <v>1000316569</v>
      </c>
      <c r="E47" s="29" t="s">
        <v>1140</v>
      </c>
      <c r="F47" s="28">
        <v>1685926</v>
      </c>
      <c r="G47" s="29" t="s">
        <v>1141</v>
      </c>
      <c r="H47" s="104" t="s">
        <v>1023</v>
      </c>
      <c r="I47" s="104" t="s">
        <v>1693</v>
      </c>
      <c r="K47" s="154" t="str">
        <f t="shared" si="0"/>
        <v xml:space="preserve">세메스 주식회사 </v>
      </c>
      <c r="L47" t="s">
        <v>1716</v>
      </c>
      <c r="M47" t="s">
        <v>1822</v>
      </c>
      <c r="N47" t="s">
        <v>2385</v>
      </c>
      <c r="O47" t="s">
        <v>2432</v>
      </c>
      <c r="S47" s="151" t="s">
        <v>1140</v>
      </c>
      <c r="T47" s="151" t="str">
        <f t="shared" si="1"/>
        <v>yiranglim@kr.kpmg.com</v>
      </c>
      <c r="U47" s="151" t="str">
        <f t="shared" si="2"/>
        <v>jlee123@kr.kpmg.com; ckim19@kr.kpmg.com</v>
      </c>
      <c r="V47" t="s">
        <v>2474</v>
      </c>
    </row>
    <row r="48" spans="1:22" hidden="1" x14ac:dyDescent="0.3">
      <c r="A48" s="105">
        <v>1688003</v>
      </c>
      <c r="B48" s="27">
        <v>171</v>
      </c>
      <c r="C48" s="28" t="s">
        <v>784</v>
      </c>
      <c r="D48" s="28">
        <v>1001071556</v>
      </c>
      <c r="E48" s="29" t="s">
        <v>1156</v>
      </c>
      <c r="F48" s="28">
        <v>1688003</v>
      </c>
      <c r="G48" s="29" t="s">
        <v>1157</v>
      </c>
      <c r="H48" s="104" t="s">
        <v>1158</v>
      </c>
      <c r="I48" s="104" t="s">
        <v>1669</v>
      </c>
      <c r="K48" s="154" t="str">
        <f t="shared" si="0"/>
        <v xml:space="preserve">피에스케이 주식회사 </v>
      </c>
      <c r="L48" t="s">
        <v>1776</v>
      </c>
      <c r="M48" t="s">
        <v>1894</v>
      </c>
      <c r="N48" t="s">
        <v>2386</v>
      </c>
      <c r="O48" t="s">
        <v>2433</v>
      </c>
      <c r="S48" s="151" t="s">
        <v>1156</v>
      </c>
      <c r="T48" s="151" t="str">
        <f t="shared" si="1"/>
        <v>seungjunkwak@kr.kpmg.com</v>
      </c>
      <c r="U48" s="151" t="str">
        <f t="shared" si="2"/>
        <v>jboo@kr.kpmg.com; ckim19@kr.kpmg.com</v>
      </c>
      <c r="V48" t="s">
        <v>2474</v>
      </c>
    </row>
    <row r="49" spans="1:22" hidden="1" x14ac:dyDescent="0.3">
      <c r="A49" s="105">
        <v>1684272</v>
      </c>
      <c r="B49" s="27">
        <v>175</v>
      </c>
      <c r="C49" s="28" t="s">
        <v>637</v>
      </c>
      <c r="D49" s="28">
        <v>1000589276</v>
      </c>
      <c r="E49" s="29" t="s">
        <v>1165</v>
      </c>
      <c r="F49" s="28">
        <v>1684272</v>
      </c>
      <c r="G49" s="29" t="s">
        <v>1166</v>
      </c>
      <c r="H49" s="104" t="s">
        <v>783</v>
      </c>
      <c r="I49" s="104" t="s">
        <v>1125</v>
      </c>
      <c r="K49" s="154" t="str">
        <f t="shared" si="0"/>
        <v xml:space="preserve">(주)케이티씨에스 </v>
      </c>
      <c r="L49" t="s">
        <v>1770</v>
      </c>
      <c r="M49" t="s">
        <v>1888</v>
      </c>
      <c r="N49" t="s">
        <v>2387</v>
      </c>
      <c r="O49" t="s">
        <v>2434</v>
      </c>
      <c r="S49" s="151" t="s">
        <v>1165</v>
      </c>
      <c r="T49" s="151" t="str">
        <f t="shared" si="1"/>
        <v>doheunkim@kr.kpmg.com</v>
      </c>
      <c r="U49" s="151" t="str">
        <f t="shared" si="2"/>
        <v>jaeyoungpark@kr.kpmg.com; ckim19@kr.kpmg.com</v>
      </c>
      <c r="V49" t="s">
        <v>2474</v>
      </c>
    </row>
    <row r="50" spans="1:22" hidden="1" x14ac:dyDescent="0.3">
      <c r="A50" s="105">
        <v>1683461</v>
      </c>
      <c r="B50" s="27">
        <v>182</v>
      </c>
      <c r="C50" s="28" t="s">
        <v>637</v>
      </c>
      <c r="D50" s="28">
        <v>1000670005</v>
      </c>
      <c r="E50" s="29" t="s">
        <v>1178</v>
      </c>
      <c r="F50" s="28">
        <v>1683461</v>
      </c>
      <c r="G50" s="29" t="s">
        <v>1179</v>
      </c>
      <c r="H50" s="104" t="s">
        <v>1036</v>
      </c>
      <c r="I50" s="104" t="s">
        <v>1078</v>
      </c>
      <c r="K50" s="154" t="str">
        <f t="shared" si="0"/>
        <v xml:space="preserve">(주)위메이드플레이 </v>
      </c>
      <c r="L50" t="s">
        <v>1764</v>
      </c>
      <c r="M50" t="s">
        <v>1882</v>
      </c>
      <c r="N50" t="s">
        <v>2381</v>
      </c>
      <c r="O50" t="s">
        <v>2425</v>
      </c>
      <c r="S50" s="151" t="s">
        <v>1178</v>
      </c>
      <c r="T50" s="151" t="str">
        <f t="shared" si="1"/>
        <v>sukheehan@kr.kpmg.com</v>
      </c>
      <c r="U50" s="151" t="str">
        <f t="shared" si="2"/>
        <v>woohyunyi@kr.kpmg.com; ckim19@kr.kpmg.com</v>
      </c>
      <c r="V50" t="s">
        <v>2474</v>
      </c>
    </row>
    <row r="51" spans="1:22" hidden="1" x14ac:dyDescent="0.3">
      <c r="A51" s="105">
        <v>1684341</v>
      </c>
      <c r="B51" s="27">
        <v>184</v>
      </c>
      <c r="C51" s="28" t="s">
        <v>637</v>
      </c>
      <c r="D51" s="28">
        <v>1001231251</v>
      </c>
      <c r="E51" s="29" t="s">
        <v>1183</v>
      </c>
      <c r="F51" s="28">
        <v>1684341</v>
      </c>
      <c r="G51" s="29" t="s">
        <v>1184</v>
      </c>
      <c r="H51" s="104" t="s">
        <v>783</v>
      </c>
      <c r="I51" s="104" t="s">
        <v>813</v>
      </c>
      <c r="K51" s="154" t="str">
        <f t="shared" si="0"/>
        <v xml:space="preserve">(주)시노펙스 </v>
      </c>
      <c r="L51" t="s">
        <v>1707</v>
      </c>
      <c r="M51" t="s">
        <v>1807</v>
      </c>
      <c r="N51" t="s">
        <v>2387</v>
      </c>
      <c r="O51" t="s">
        <v>2434</v>
      </c>
      <c r="S51" s="151" t="s">
        <v>1183</v>
      </c>
      <c r="T51" s="151" t="str">
        <f t="shared" si="1"/>
        <v>hyeongcheollee@kr.kpmg.com</v>
      </c>
      <c r="U51" s="151" t="str">
        <f t="shared" si="2"/>
        <v>jaeyoungpark@kr.kpmg.com; ckim19@kr.kpmg.com</v>
      </c>
      <c r="V51" t="s">
        <v>2474</v>
      </c>
    </row>
    <row r="52" spans="1:22" hidden="1" x14ac:dyDescent="0.3">
      <c r="A52" s="105">
        <v>1685371</v>
      </c>
      <c r="B52" s="27">
        <v>189</v>
      </c>
      <c r="C52" s="28" t="s">
        <v>613</v>
      </c>
      <c r="D52" s="28">
        <v>1000314653</v>
      </c>
      <c r="E52" s="29" t="s">
        <v>1194</v>
      </c>
      <c r="F52" s="28">
        <v>1685371</v>
      </c>
      <c r="G52" s="29" t="s">
        <v>1195</v>
      </c>
      <c r="H52" s="104" t="s">
        <v>820</v>
      </c>
      <c r="I52" s="104" t="s">
        <v>1014</v>
      </c>
      <c r="K52" s="154" t="str">
        <f t="shared" si="0"/>
        <v xml:space="preserve">한전원자력연료 (주) </v>
      </c>
      <c r="L52" t="s">
        <v>1784</v>
      </c>
      <c r="M52" t="s">
        <v>1902</v>
      </c>
      <c r="N52" t="s">
        <v>2360</v>
      </c>
      <c r="O52" t="s">
        <v>2399</v>
      </c>
      <c r="S52" s="151" t="s">
        <v>1194</v>
      </c>
      <c r="T52" s="151" t="str">
        <f t="shared" si="1"/>
        <v>junhyunghong@kr.kpmg.com</v>
      </c>
      <c r="U52" s="151" t="str">
        <f t="shared" si="2"/>
        <v>jongsunam@kr.kpmg.com; ckim19@kr.kpmg.com</v>
      </c>
      <c r="V52" t="s">
        <v>2474</v>
      </c>
    </row>
    <row r="53" spans="1:22" hidden="1" x14ac:dyDescent="0.3">
      <c r="A53" s="105">
        <v>1656724</v>
      </c>
      <c r="B53" s="27">
        <v>191</v>
      </c>
      <c r="C53" s="28" t="s">
        <v>843</v>
      </c>
      <c r="D53" s="28">
        <v>1001459652</v>
      </c>
      <c r="E53" s="29" t="s">
        <v>1197</v>
      </c>
      <c r="F53" s="28">
        <v>1656724</v>
      </c>
      <c r="G53" s="29" t="s">
        <v>1198</v>
      </c>
      <c r="H53" s="104" t="s">
        <v>1051</v>
      </c>
      <c r="I53" s="104" t="s">
        <v>1665</v>
      </c>
      <c r="K53" s="154" t="str">
        <f t="shared" si="0"/>
        <v xml:space="preserve">주식회사 아스플로 </v>
      </c>
      <c r="L53" t="s">
        <v>1786</v>
      </c>
      <c r="M53" t="s">
        <v>1904</v>
      </c>
      <c r="N53" t="s">
        <v>2388</v>
      </c>
      <c r="O53" t="s">
        <v>2435</v>
      </c>
      <c r="S53" s="151" t="s">
        <v>1197</v>
      </c>
      <c r="T53" s="151" t="str">
        <f t="shared" si="1"/>
        <v>seulgibae@kr.kpmg.com</v>
      </c>
      <c r="U53" s="151" t="str">
        <f t="shared" si="2"/>
        <v>edo@kr.kpmg.com; ckim19@kr.kpmg.com</v>
      </c>
      <c r="V53" t="s">
        <v>2474</v>
      </c>
    </row>
    <row r="54" spans="1:22" hidden="1" x14ac:dyDescent="0.3">
      <c r="A54" s="105">
        <v>1661228</v>
      </c>
      <c r="B54" s="27">
        <v>192</v>
      </c>
      <c r="C54" s="28" t="s">
        <v>656</v>
      </c>
      <c r="D54" s="28">
        <v>1001142353</v>
      </c>
      <c r="E54" s="29" t="s">
        <v>1199</v>
      </c>
      <c r="F54" s="28">
        <v>1661228</v>
      </c>
      <c r="G54" s="29" t="s">
        <v>1200</v>
      </c>
      <c r="H54" s="104" t="s">
        <v>660</v>
      </c>
      <c r="I54" s="104" t="s">
        <v>1201</v>
      </c>
      <c r="K54" s="154" t="str">
        <f t="shared" si="0"/>
        <v xml:space="preserve">주식회사 비씨월드제약 </v>
      </c>
      <c r="L54" t="s">
        <v>1787</v>
      </c>
      <c r="M54" t="s">
        <v>1905</v>
      </c>
      <c r="N54" t="s">
        <v>357</v>
      </c>
      <c r="O54" t="s">
        <v>2436</v>
      </c>
      <c r="S54" s="151" t="s">
        <v>1199</v>
      </c>
      <c r="T54" s="151" t="str">
        <f t="shared" si="1"/>
        <v>dasanyoun@kr.kpmg.com</v>
      </c>
      <c r="U54" s="151" t="str">
        <f t="shared" si="2"/>
        <v>mingyulee@kr.kpmg.com; ckim19@kr.kpmg.com</v>
      </c>
      <c r="V54" t="s">
        <v>2474</v>
      </c>
    </row>
    <row r="55" spans="1:22" hidden="1" x14ac:dyDescent="0.3">
      <c r="A55" s="105">
        <v>1683852</v>
      </c>
      <c r="B55" s="27">
        <v>193</v>
      </c>
      <c r="C55" s="28" t="s">
        <v>637</v>
      </c>
      <c r="D55" s="28">
        <v>1000316257</v>
      </c>
      <c r="E55" s="29" t="s">
        <v>1202</v>
      </c>
      <c r="F55" s="28">
        <v>1683852</v>
      </c>
      <c r="G55" s="29" t="s">
        <v>1203</v>
      </c>
      <c r="H55" s="104" t="s">
        <v>1204</v>
      </c>
      <c r="I55" s="104" t="s">
        <v>1675</v>
      </c>
      <c r="K55" s="154" t="str">
        <f t="shared" si="0"/>
        <v xml:space="preserve">주식회사 딜라이브 </v>
      </c>
      <c r="L55" t="s">
        <v>1788</v>
      </c>
      <c r="M55" t="s">
        <v>1906</v>
      </c>
      <c r="N55" t="s">
        <v>2389</v>
      </c>
      <c r="O55" t="s">
        <v>2437</v>
      </c>
      <c r="S55" s="151" t="s">
        <v>1202</v>
      </c>
      <c r="T55" s="151" t="str">
        <f t="shared" si="1"/>
        <v>ajungkim@kr.kpmg.com</v>
      </c>
      <c r="U55" s="151" t="str">
        <f t="shared" si="2"/>
        <v>hyeonggilwi@kr.kpmg.com; ckim19@kr.kpmg.com</v>
      </c>
      <c r="V55" t="s">
        <v>2474</v>
      </c>
    </row>
    <row r="56" spans="1:22" x14ac:dyDescent="0.3">
      <c r="A56" s="105">
        <v>1685786</v>
      </c>
      <c r="B56" s="27">
        <v>194</v>
      </c>
      <c r="C56" s="28" t="s">
        <v>434</v>
      </c>
      <c r="D56" s="28">
        <v>1001302399</v>
      </c>
      <c r="E56" s="29" t="s">
        <v>1205</v>
      </c>
      <c r="F56" s="28">
        <v>1685786</v>
      </c>
      <c r="G56" s="29" t="s">
        <v>1206</v>
      </c>
      <c r="H56" s="104" t="s">
        <v>867</v>
      </c>
      <c r="I56" s="104" t="s">
        <v>1689</v>
      </c>
      <c r="K56" s="154" t="str">
        <f t="shared" si="0"/>
        <v xml:space="preserve">갤럭시아머니트리 주식회사 </v>
      </c>
      <c r="L56" t="s">
        <v>1789</v>
      </c>
      <c r="M56" t="s">
        <v>1907</v>
      </c>
      <c r="N56" t="s">
        <v>2362</v>
      </c>
      <c r="O56" t="s">
        <v>2404</v>
      </c>
      <c r="S56" s="151" t="s">
        <v>2470</v>
      </c>
      <c r="T56" s="151" t="str">
        <f t="shared" si="1"/>
        <v>jinjulee@kr.kpmg.com</v>
      </c>
      <c r="U56" s="151" t="str">
        <f t="shared" si="2"/>
        <v>sorakim@kr.kpmg.com; ckim19@kr.kpmg.com</v>
      </c>
      <c r="V56" t="s">
        <v>2474</v>
      </c>
    </row>
    <row r="57" spans="1:22" hidden="1" x14ac:dyDescent="0.3">
      <c r="A57" s="105">
        <v>1706226</v>
      </c>
      <c r="B57" s="27">
        <v>195</v>
      </c>
      <c r="C57" s="28" t="s">
        <v>784</v>
      </c>
      <c r="D57" s="28">
        <v>1001248071</v>
      </c>
      <c r="E57" s="29" t="s">
        <v>1207</v>
      </c>
      <c r="F57" s="28">
        <v>1706226</v>
      </c>
      <c r="G57" s="29" t="s">
        <v>1208</v>
      </c>
      <c r="H57" s="104" t="s">
        <v>1209</v>
      </c>
      <c r="I57" s="104" t="s">
        <v>1210</v>
      </c>
      <c r="K57" s="154" t="str">
        <f t="shared" si="0"/>
        <v xml:space="preserve">(주)고스트스튜디오 </v>
      </c>
      <c r="L57" t="s">
        <v>1790</v>
      </c>
      <c r="M57" t="s">
        <v>1908</v>
      </c>
      <c r="N57" t="s">
        <v>2390</v>
      </c>
      <c r="O57" t="s">
        <v>2438</v>
      </c>
      <c r="S57" s="151" t="s">
        <v>1207</v>
      </c>
      <c r="T57" s="151" t="str">
        <f t="shared" si="1"/>
        <v>joonggimin@kr.kpmg.com</v>
      </c>
      <c r="U57" s="151" t="str">
        <f t="shared" si="2"/>
        <v>seoyoungnam@kr.kpmg.com; ckim19@kr.kpmg.com</v>
      </c>
      <c r="V57" t="s">
        <v>2474</v>
      </c>
    </row>
    <row r="58" spans="1:22" hidden="1" x14ac:dyDescent="0.3">
      <c r="A58" s="105">
        <v>1686025</v>
      </c>
      <c r="B58" s="27">
        <v>196</v>
      </c>
      <c r="C58" s="28" t="s">
        <v>426</v>
      </c>
      <c r="D58" s="28">
        <v>1000317500</v>
      </c>
      <c r="E58" s="29" t="s">
        <v>1211</v>
      </c>
      <c r="F58" s="28">
        <v>1686025</v>
      </c>
      <c r="G58" s="29" t="s">
        <v>1212</v>
      </c>
      <c r="H58" s="104" t="s">
        <v>933</v>
      </c>
      <c r="I58" s="104" t="s">
        <v>1652</v>
      </c>
      <c r="K58" s="154" t="str">
        <f t="shared" si="0"/>
        <v xml:space="preserve">티케이지태광(주) </v>
      </c>
      <c r="L58" t="s">
        <v>1791</v>
      </c>
      <c r="M58" t="s">
        <v>1909</v>
      </c>
      <c r="N58" t="s">
        <v>2366</v>
      </c>
      <c r="O58" t="s">
        <v>2409</v>
      </c>
      <c r="S58" s="151" t="s">
        <v>1211</v>
      </c>
      <c r="T58" s="151" t="str">
        <f t="shared" si="1"/>
        <v>minhyuckyoo@kr.kpmg.com</v>
      </c>
      <c r="U58" s="151" t="str">
        <f t="shared" si="2"/>
        <v>jiheonkang@kr.kpmg.com; ckim19@kr.kpmg.com</v>
      </c>
      <c r="V58" t="s">
        <v>2474</v>
      </c>
    </row>
    <row r="59" spans="1:22" hidden="1" x14ac:dyDescent="0.3">
      <c r="A59" s="105">
        <v>1660186</v>
      </c>
      <c r="B59" s="27">
        <v>199</v>
      </c>
      <c r="C59" s="28" t="s">
        <v>794</v>
      </c>
      <c r="D59" s="28">
        <v>1001459672</v>
      </c>
      <c r="E59" s="29" t="s">
        <v>1218</v>
      </c>
      <c r="F59" s="28">
        <v>1660186</v>
      </c>
      <c r="G59" s="29" t="s">
        <v>1219</v>
      </c>
      <c r="H59" s="104" t="s">
        <v>1134</v>
      </c>
      <c r="I59" s="104" t="s">
        <v>1694</v>
      </c>
      <c r="K59" s="154" t="str">
        <f t="shared" si="0"/>
        <v xml:space="preserve">(주)앤에스 </v>
      </c>
      <c r="L59" t="s">
        <v>1793</v>
      </c>
      <c r="M59" t="s">
        <v>1911</v>
      </c>
      <c r="N59" t="s">
        <v>2391</v>
      </c>
      <c r="O59" t="s">
        <v>2439</v>
      </c>
      <c r="S59" s="151" t="s">
        <v>1218</v>
      </c>
      <c r="T59" s="151" t="str">
        <f t="shared" si="1"/>
        <v>sangeonpark@kr.kpmg.com</v>
      </c>
      <c r="U59" s="151" t="str">
        <f t="shared" si="2"/>
        <v>dlee34@kr.kpmg.com; ckim19@kr.kpmg.com</v>
      </c>
      <c r="V59" t="s">
        <v>2474</v>
      </c>
    </row>
    <row r="60" spans="1:22" hidden="1" x14ac:dyDescent="0.3">
      <c r="A60" s="105">
        <v>1659469</v>
      </c>
      <c r="B60" s="27">
        <v>201</v>
      </c>
      <c r="C60" s="28" t="s">
        <v>434</v>
      </c>
      <c r="D60" s="28">
        <v>1001196541</v>
      </c>
      <c r="E60" s="29" t="s">
        <v>1222</v>
      </c>
      <c r="F60" s="28">
        <v>1659469</v>
      </c>
      <c r="G60" s="29" t="s">
        <v>1223</v>
      </c>
      <c r="H60" s="104" t="s">
        <v>1058</v>
      </c>
      <c r="I60" s="104" t="s">
        <v>1224</v>
      </c>
      <c r="K60" s="154" t="str">
        <f t="shared" si="0"/>
        <v xml:space="preserve">주식회사 이수앱지스 </v>
      </c>
      <c r="L60" t="s">
        <v>1734</v>
      </c>
      <c r="M60" t="s">
        <v>1845</v>
      </c>
      <c r="N60" t="s">
        <v>2378</v>
      </c>
      <c r="O60" t="s">
        <v>2422</v>
      </c>
      <c r="S60" s="151" t="s">
        <v>1222</v>
      </c>
      <c r="T60" s="151" t="str">
        <f t="shared" si="1"/>
        <v>jkim508@kr.kpmg.com</v>
      </c>
      <c r="U60" s="151" t="str">
        <f t="shared" si="2"/>
        <v>jaeyeonleem@kr.kpmg.com; ckim19@kr.kpmg.com</v>
      </c>
      <c r="V60" t="s">
        <v>2474</v>
      </c>
    </row>
    <row r="61" spans="1:22" hidden="1" x14ac:dyDescent="0.3">
      <c r="A61" s="105">
        <v>1667666</v>
      </c>
      <c r="B61" s="27">
        <v>203</v>
      </c>
      <c r="C61" s="28" t="s">
        <v>444</v>
      </c>
      <c r="D61" s="28">
        <v>1001340335</v>
      </c>
      <c r="E61" s="29" t="s">
        <v>1227</v>
      </c>
      <c r="F61" s="28">
        <v>1667666</v>
      </c>
      <c r="G61" s="29" t="s">
        <v>1228</v>
      </c>
      <c r="H61" s="104" t="s">
        <v>872</v>
      </c>
      <c r="I61" s="104" t="s">
        <v>1655</v>
      </c>
      <c r="K61" s="154" t="str">
        <f t="shared" si="0"/>
        <v xml:space="preserve">아이에스지주 주식회사 </v>
      </c>
      <c r="L61" t="s">
        <v>1720</v>
      </c>
      <c r="M61" t="s">
        <v>1826</v>
      </c>
      <c r="N61" t="s">
        <v>2363</v>
      </c>
      <c r="O61" t="s">
        <v>2405</v>
      </c>
      <c r="S61" s="151" t="s">
        <v>2471</v>
      </c>
      <c r="T61" s="151" t="str">
        <f t="shared" si="1"/>
        <v>youngjoojin@kr.kpmg.com</v>
      </c>
      <c r="U61" s="151" t="str">
        <f t="shared" si="2"/>
        <v>junheehan@kr.kpmg.com; ckim19@kr.kpmg.com</v>
      </c>
      <c r="V61" t="s">
        <v>2476</v>
      </c>
    </row>
    <row r="62" spans="1:22" hidden="1" x14ac:dyDescent="0.3">
      <c r="A62" s="105">
        <v>1685841</v>
      </c>
      <c r="B62" s="27">
        <v>206</v>
      </c>
      <c r="C62" s="28" t="s">
        <v>426</v>
      </c>
      <c r="D62" s="28">
        <v>1000560765</v>
      </c>
      <c r="E62" s="29" t="s">
        <v>1233</v>
      </c>
      <c r="F62" s="28">
        <v>1685841</v>
      </c>
      <c r="G62" s="29" t="s">
        <v>1234</v>
      </c>
      <c r="H62" s="104" t="s">
        <v>933</v>
      </c>
      <c r="I62" s="104" t="s">
        <v>1651</v>
      </c>
      <c r="K62" s="154" t="str">
        <f t="shared" si="0"/>
        <v xml:space="preserve">메가스터디교육 주식회사 </v>
      </c>
      <c r="L62" t="s">
        <v>1795</v>
      </c>
      <c r="M62" t="s">
        <v>1913</v>
      </c>
      <c r="N62" t="s">
        <v>2366</v>
      </c>
      <c r="O62" t="s">
        <v>2409</v>
      </c>
      <c r="S62" s="151" t="s">
        <v>1233</v>
      </c>
      <c r="T62" s="151" t="str">
        <f t="shared" si="1"/>
        <v>gkwak@kr.kpmg.com</v>
      </c>
      <c r="U62" s="151" t="str">
        <f t="shared" si="2"/>
        <v>jiheonkang@kr.kpmg.com; ckim19@kr.kpmg.com</v>
      </c>
      <c r="V62" t="s">
        <v>2474</v>
      </c>
    </row>
    <row r="63" spans="1:22" hidden="1" x14ac:dyDescent="0.3">
      <c r="A63" s="105">
        <v>1685098</v>
      </c>
      <c r="B63" s="27">
        <v>208</v>
      </c>
      <c r="C63" s="28" t="s">
        <v>434</v>
      </c>
      <c r="D63" s="28">
        <v>1000315866</v>
      </c>
      <c r="E63" s="29" t="s">
        <v>1237</v>
      </c>
      <c r="F63" s="28">
        <v>1685098</v>
      </c>
      <c r="G63" s="29" t="s">
        <v>1238</v>
      </c>
      <c r="H63" s="104" t="s">
        <v>867</v>
      </c>
      <c r="I63" s="104" t="s">
        <v>1687</v>
      </c>
      <c r="K63" s="154" t="str">
        <f t="shared" si="0"/>
        <v xml:space="preserve">케이지에코솔루션 주식회사 </v>
      </c>
      <c r="L63" t="s">
        <v>270</v>
      </c>
      <c r="M63" t="s">
        <v>1867</v>
      </c>
      <c r="N63" t="s">
        <v>2362</v>
      </c>
      <c r="O63" t="s">
        <v>2404</v>
      </c>
      <c r="S63" s="151" t="s">
        <v>1237</v>
      </c>
      <c r="T63" s="151" t="str">
        <f t="shared" si="1"/>
        <v>kichansung@kr.kpmg.com</v>
      </c>
      <c r="U63" s="151" t="str">
        <f t="shared" si="2"/>
        <v>sorakim@kr.kpmg.com; ckim19@kr.kpmg.com</v>
      </c>
      <c r="V63" t="s">
        <v>2474</v>
      </c>
    </row>
    <row r="64" spans="1:22" hidden="1" x14ac:dyDescent="0.3">
      <c r="A64" s="105">
        <v>1657787</v>
      </c>
      <c r="B64" s="27">
        <v>210</v>
      </c>
      <c r="C64" s="28" t="s">
        <v>843</v>
      </c>
      <c r="D64" s="28">
        <v>1000317619</v>
      </c>
      <c r="E64" s="29" t="s">
        <v>1240</v>
      </c>
      <c r="F64" s="28">
        <v>1657787</v>
      </c>
      <c r="G64" s="29" t="s">
        <v>1241</v>
      </c>
      <c r="H64" s="104" t="s">
        <v>859</v>
      </c>
      <c r="I64" s="104" t="s">
        <v>1099</v>
      </c>
      <c r="K64" s="154" t="str">
        <f t="shared" si="0"/>
        <v xml:space="preserve">(주) 우주일렉트로닉스 </v>
      </c>
      <c r="L64" t="s">
        <v>1762</v>
      </c>
      <c r="M64" t="s">
        <v>1880</v>
      </c>
      <c r="N64" t="s">
        <v>103</v>
      </c>
      <c r="O64" t="s">
        <v>2403</v>
      </c>
      <c r="S64" s="151" t="s">
        <v>1240</v>
      </c>
      <c r="T64" s="151" t="str">
        <f t="shared" si="1"/>
        <v>slee336@kr.kpmg.com</v>
      </c>
      <c r="U64" s="151" t="str">
        <f t="shared" si="2"/>
        <v>hlee42@kr.kpmg.com; ckim19@kr.kpmg.com</v>
      </c>
      <c r="V64" t="s">
        <v>2474</v>
      </c>
    </row>
    <row r="65" spans="1:22" hidden="1" x14ac:dyDescent="0.3">
      <c r="A65" s="105">
        <v>1666203</v>
      </c>
      <c r="B65" s="27">
        <v>212</v>
      </c>
      <c r="C65" s="28" t="s">
        <v>444</v>
      </c>
      <c r="D65" s="28">
        <v>1000638810</v>
      </c>
      <c r="E65" s="29" t="s">
        <v>1244</v>
      </c>
      <c r="F65" s="28">
        <v>1666203</v>
      </c>
      <c r="G65" s="29" t="s">
        <v>1245</v>
      </c>
      <c r="H65" s="104" t="s">
        <v>817</v>
      </c>
      <c r="I65" s="104" t="s">
        <v>1177</v>
      </c>
      <c r="K65" s="154" t="str">
        <f t="shared" si="0"/>
        <v xml:space="preserve">주식회사 스타코링크 </v>
      </c>
      <c r="L65" t="s">
        <v>1779</v>
      </c>
      <c r="M65" t="s">
        <v>1897</v>
      </c>
      <c r="N65" t="s">
        <v>2392</v>
      </c>
      <c r="O65" t="s">
        <v>2440</v>
      </c>
      <c r="S65" s="151" t="s">
        <v>1244</v>
      </c>
      <c r="T65" s="151" t="str">
        <f t="shared" si="1"/>
        <v>jihoonchoo@kr.kpmg.com</v>
      </c>
      <c r="U65" s="151" t="str">
        <f t="shared" si="2"/>
        <v>clee60@kr.kpmg.com; ckim19@kr.kpmg.com</v>
      </c>
      <c r="V65" t="s">
        <v>2474</v>
      </c>
    </row>
    <row r="66" spans="1:22" hidden="1" x14ac:dyDescent="0.3">
      <c r="A66" s="105">
        <v>1683977</v>
      </c>
      <c r="B66" s="27">
        <v>217</v>
      </c>
      <c r="C66" s="28" t="s">
        <v>784</v>
      </c>
      <c r="D66" s="28">
        <v>1001149648</v>
      </c>
      <c r="E66" s="29" t="s">
        <v>1251</v>
      </c>
      <c r="F66" s="28">
        <v>1683977</v>
      </c>
      <c r="G66" s="29" t="s">
        <v>1252</v>
      </c>
      <c r="H66" s="104" t="s">
        <v>1209</v>
      </c>
      <c r="I66" s="104" t="s">
        <v>1253</v>
      </c>
      <c r="K66" s="154" t="str">
        <f t="shared" si="0"/>
        <v xml:space="preserve">삼성전자판매 주식회사 </v>
      </c>
      <c r="L66" t="s">
        <v>1797</v>
      </c>
      <c r="M66" t="s">
        <v>1915</v>
      </c>
      <c r="N66" t="s">
        <v>2390</v>
      </c>
      <c r="O66" t="s">
        <v>2438</v>
      </c>
      <c r="S66" s="151" t="s">
        <v>1251</v>
      </c>
      <c r="T66" s="151" t="str">
        <f t="shared" si="1"/>
        <v>mincheolyun@kr.kpmg.com</v>
      </c>
      <c r="U66" s="151" t="str">
        <f t="shared" si="2"/>
        <v>seoyoungnam@kr.kpmg.com; ckim19@kr.kpmg.com</v>
      </c>
      <c r="V66" t="s">
        <v>2474</v>
      </c>
    </row>
    <row r="67" spans="1:22" hidden="1" x14ac:dyDescent="0.3">
      <c r="A67" s="105">
        <v>1707994</v>
      </c>
      <c r="B67" s="27">
        <v>218</v>
      </c>
      <c r="C67" s="28" t="s">
        <v>613</v>
      </c>
      <c r="D67" s="28">
        <v>1001212855</v>
      </c>
      <c r="E67" s="29" t="s">
        <v>1254</v>
      </c>
      <c r="F67" s="28">
        <v>1707994</v>
      </c>
      <c r="G67" s="29" t="s">
        <v>1255</v>
      </c>
      <c r="H67" s="104" t="s">
        <v>1032</v>
      </c>
      <c r="I67" s="104" t="s">
        <v>855</v>
      </c>
      <c r="K67" s="154" t="str">
        <f t="shared" ref="K67:K71" si="3">E67</f>
        <v xml:space="preserve">주식회사 엔알비 </v>
      </c>
      <c r="L67" t="s">
        <v>246</v>
      </c>
      <c r="M67" t="s">
        <v>1820</v>
      </c>
      <c r="N67" t="s">
        <v>2376</v>
      </c>
      <c r="O67" t="s">
        <v>2420</v>
      </c>
      <c r="S67" s="151" t="s">
        <v>1254</v>
      </c>
      <c r="T67" s="151" t="str">
        <f t="shared" ref="T67:T71" si="4">M67</f>
        <v>taeseoblee@kr.kpmg.com</v>
      </c>
      <c r="U67" s="151" t="str">
        <f t="shared" ref="U67:U71" si="5">_xlfn.TEXTJOIN("; ",TRUE,O67,$U$1)</f>
        <v>mkim175@kr.kpmg.com; ckim19@kr.kpmg.com</v>
      </c>
      <c r="V67" t="s">
        <v>2474</v>
      </c>
    </row>
    <row r="68" spans="1:22" hidden="1" x14ac:dyDescent="0.3">
      <c r="A68" s="105">
        <v>1682798</v>
      </c>
      <c r="B68" s="27">
        <v>219</v>
      </c>
      <c r="C68" s="28" t="s">
        <v>444</v>
      </c>
      <c r="D68" s="28">
        <v>1000316316</v>
      </c>
      <c r="E68" s="29" t="s">
        <v>1256</v>
      </c>
      <c r="F68" s="28">
        <v>1682798</v>
      </c>
      <c r="G68" s="29" t="s">
        <v>1257</v>
      </c>
      <c r="H68" s="104" t="s">
        <v>817</v>
      </c>
      <c r="I68" s="104" t="s">
        <v>1258</v>
      </c>
      <c r="K68" s="154" t="str">
        <f t="shared" si="3"/>
        <v xml:space="preserve">니프코코리아 </v>
      </c>
      <c r="L68" t="s">
        <v>1798</v>
      </c>
      <c r="M68" t="s">
        <v>1916</v>
      </c>
      <c r="N68" t="s">
        <v>2392</v>
      </c>
      <c r="O68" t="s">
        <v>2440</v>
      </c>
      <c r="S68" s="151" t="s">
        <v>1256</v>
      </c>
      <c r="T68" s="151" t="str">
        <f t="shared" si="4"/>
        <v>jkim181@kr.kpmg.com</v>
      </c>
      <c r="U68" s="151" t="str">
        <f t="shared" si="5"/>
        <v>clee60@kr.kpmg.com; ckim19@kr.kpmg.com</v>
      </c>
      <c r="V68" t="s">
        <v>2474</v>
      </c>
    </row>
    <row r="69" spans="1:22" hidden="1" x14ac:dyDescent="0.3">
      <c r="A69" s="105">
        <v>1669081</v>
      </c>
      <c r="B69" s="27">
        <v>220</v>
      </c>
      <c r="C69" s="28" t="s">
        <v>434</v>
      </c>
      <c r="D69" s="28">
        <v>1001304267</v>
      </c>
      <c r="E69" s="29" t="s">
        <v>1259</v>
      </c>
      <c r="F69" s="28">
        <v>1669081</v>
      </c>
      <c r="G69" s="29" t="s">
        <v>1260</v>
      </c>
      <c r="H69" s="104" t="s">
        <v>851</v>
      </c>
      <c r="I69" s="104" t="s">
        <v>1059</v>
      </c>
      <c r="K69" s="154" t="str">
        <f t="shared" si="3"/>
        <v xml:space="preserve">환영철강공업(주) </v>
      </c>
      <c r="L69" t="s">
        <v>254</v>
      </c>
      <c r="M69" t="s">
        <v>1875</v>
      </c>
      <c r="N69" t="s">
        <v>2372</v>
      </c>
      <c r="O69" t="s">
        <v>2415</v>
      </c>
      <c r="S69" s="151" t="s">
        <v>2472</v>
      </c>
      <c r="T69" s="151" t="str">
        <f t="shared" si="4"/>
        <v>jlee177@kr.kpmg.com</v>
      </c>
      <c r="U69" s="151" t="str">
        <f t="shared" si="5"/>
        <v>changwonseo@kr.kpmg.com; ckim19@kr.kpmg.com</v>
      </c>
      <c r="V69" t="s">
        <v>1276</v>
      </c>
    </row>
    <row r="70" spans="1:22" hidden="1" x14ac:dyDescent="0.3">
      <c r="A70" s="105">
        <v>1683669</v>
      </c>
      <c r="B70" s="27">
        <v>224</v>
      </c>
      <c r="C70" s="28" t="s">
        <v>444</v>
      </c>
      <c r="D70" s="28">
        <v>1000695209</v>
      </c>
      <c r="E70" s="29" t="s">
        <v>1266</v>
      </c>
      <c r="F70" s="28">
        <v>1683669</v>
      </c>
      <c r="G70" s="29" t="s">
        <v>1267</v>
      </c>
      <c r="H70" s="104" t="s">
        <v>908</v>
      </c>
      <c r="I70" s="104" t="s">
        <v>1177</v>
      </c>
      <c r="K70" s="154" t="str">
        <f t="shared" si="3"/>
        <v xml:space="preserve">(주)베베쿡 </v>
      </c>
      <c r="L70" t="s">
        <v>1779</v>
      </c>
      <c r="M70" t="s">
        <v>1897</v>
      </c>
      <c r="N70" t="s">
        <v>2393</v>
      </c>
      <c r="O70" t="s">
        <v>2441</v>
      </c>
      <c r="S70" s="151" t="s">
        <v>1266</v>
      </c>
      <c r="T70" s="151" t="str">
        <f t="shared" si="4"/>
        <v>jihoonchoo@kr.kpmg.com</v>
      </c>
      <c r="U70" s="151" t="str">
        <f t="shared" si="5"/>
        <v>mjang3@kr.kpmg.com; ckim19@kr.kpmg.com</v>
      </c>
      <c r="V70" t="s">
        <v>2474</v>
      </c>
    </row>
    <row r="71" spans="1:22" hidden="1" x14ac:dyDescent="0.3">
      <c r="A71" s="105"/>
      <c r="B71" s="27">
        <v>225</v>
      </c>
      <c r="C71" s="28" t="s">
        <v>444</v>
      </c>
      <c r="D71" s="28" t="s">
        <v>1282</v>
      </c>
      <c r="E71" s="29" t="s">
        <v>1283</v>
      </c>
      <c r="F71" s="28">
        <v>1659410</v>
      </c>
      <c r="G71" s="29" t="s">
        <v>1284</v>
      </c>
      <c r="H71" s="104" t="s">
        <v>782</v>
      </c>
      <c r="I71" s="104" t="s">
        <v>1286</v>
      </c>
      <c r="K71" s="154" t="str">
        <f t="shared" si="3"/>
        <v>전진바이오팜</v>
      </c>
      <c r="L71" t="s">
        <v>1800</v>
      </c>
      <c r="M71" t="s">
        <v>1918</v>
      </c>
      <c r="N71" t="s">
        <v>2394</v>
      </c>
      <c r="O71" t="s">
        <v>2442</v>
      </c>
      <c r="S71" s="151" t="s">
        <v>2473</v>
      </c>
      <c r="T71" s="151" t="str">
        <f t="shared" si="4"/>
        <v>youngmokoo@kr.kpmg.com</v>
      </c>
      <c r="U71" s="151" t="str">
        <f t="shared" si="5"/>
        <v>jkim143@kr.kpmg.com; ckim19@kr.kpmg.com</v>
      </c>
      <c r="V71" t="s">
        <v>2474</v>
      </c>
    </row>
  </sheetData>
  <autoFilter ref="A1:O71" xr:uid="{6F7A3C8D-800A-4307-92F3-822CC1AB77B1}">
    <filterColumn colId="11">
      <filters>
        <filter val="이진주"/>
      </filters>
    </filterColumn>
  </autoFilter>
  <phoneticPr fontId="7" type="noConversion"/>
  <hyperlinks>
    <hyperlink ref="U1" r:id="rId1" xr:uid="{AD64D634-2577-4234-815D-FA753C39D18E}"/>
    <hyperlink ref="M21" r:id="rId2" xr:uid="{3245893F-8331-433F-86BB-1B4F3293126E}"/>
  </hyperlinks>
  <pageMargins left="0.7" right="0.7" top="0.75" bottom="0.75" header="0.3" footer="0.3"/>
  <customProperties>
    <customPr name="OrphanNamesChecke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FA35BCA756C294C822BB85B431F45D8" ma:contentTypeVersion="16" ma:contentTypeDescription="Create a new document." ma:contentTypeScope="" ma:versionID="69a240d69e521eaf281e969213d3ab20">
  <xsd:schema xmlns:xsd="http://www.w3.org/2001/XMLSchema" xmlns:xs="http://www.w3.org/2001/XMLSchema" xmlns:p="http://schemas.microsoft.com/office/2006/metadata/properties" xmlns:ns2="4f7d03ab-8e14-41c0-8ed5-1d94379c3015" xmlns:ns3="762acbf4-1be2-4f61-b230-898566f34607" targetNamespace="http://schemas.microsoft.com/office/2006/metadata/properties" ma:root="true" ma:fieldsID="41d5b4d984975357d004afb9b98e1dcb" ns2:_="" ns3:_="">
    <xsd:import namespace="4f7d03ab-8e14-41c0-8ed5-1d94379c3015"/>
    <xsd:import namespace="762acbf4-1be2-4f61-b230-898566f3460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3:SharedWithUsers" minOccurs="0"/>
                <xsd:element ref="ns3:SharedWithDetail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d03ab-8e14-41c0-8ed5-1d94379c30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2acbf4-1be2-4f61-b230-898566f3460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d96ed3c-67f5-4140-b0b7-79af8d200edc}" ma:internalName="TaxCatchAll" ma:showField="CatchAllData" ma:web="762acbf4-1be2-4f61-b230-898566f3460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f7d03ab-8e14-41c0-8ed5-1d94379c3015">
      <Terms xmlns="http://schemas.microsoft.com/office/infopath/2007/PartnerControls"/>
    </lcf76f155ced4ddcb4097134ff3c332f>
    <TaxCatchAll xmlns="762acbf4-1be2-4f61-b230-898566f34607" xsi:nil="true"/>
  </documentManagement>
</p:properties>
</file>

<file path=customXml/itemProps1.xml><?xml version="1.0" encoding="utf-8"?>
<ds:datastoreItem xmlns:ds="http://schemas.openxmlformats.org/officeDocument/2006/customXml" ds:itemID="{A7FC5800-D31D-4D46-95BF-C2C949C3803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d03ab-8e14-41c0-8ed5-1d94379c3015"/>
    <ds:schemaRef ds:uri="762acbf4-1be2-4f61-b230-898566f346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D38814-E4C7-433E-9615-14DC8C212A7D}">
  <ds:schemaRefs>
    <ds:schemaRef ds:uri="http://schemas.microsoft.com/sharepoint/v3/contenttype/forms"/>
  </ds:schemaRefs>
</ds:datastoreItem>
</file>

<file path=customXml/itemProps3.xml><?xml version="1.0" encoding="utf-8"?>
<ds:datastoreItem xmlns:ds="http://schemas.openxmlformats.org/officeDocument/2006/customXml" ds:itemID="{609A0A73-4192-42C9-96E8-682364239A76}">
  <ds:schemaRefs>
    <ds:schemaRef ds:uri="http://schemas.openxmlformats.org/package/2006/metadata/core-properties"/>
    <ds:schemaRef ds:uri="http://purl.org/dc/terms/"/>
    <ds:schemaRef ds:uri="4f7d03ab-8e14-41c0-8ed5-1d94379c3015"/>
    <ds:schemaRef ds:uri="http://purl.org/dc/dcmitype/"/>
    <ds:schemaRef ds:uri="http://www.w3.org/XML/1998/namespace"/>
    <ds:schemaRef ds:uri="http://schemas.microsoft.com/office/2006/documentManagement/types"/>
    <ds:schemaRef ds:uri="762acbf4-1be2-4f61-b230-898566f34607"/>
    <ds:schemaRef ds:uri="http://purl.org/dc/elements/1.1/"/>
    <ds:schemaRef ds:uri="http://schemas.microsoft.com/office/infopath/2007/PartnerControls"/>
    <ds:schemaRef ds:uri="http://schemas.microsoft.com/office/2006/metadata/properties"/>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16</vt:i4>
      </vt:variant>
    </vt:vector>
  </HeadingPairs>
  <TitlesOfParts>
    <vt:vector size="16" baseType="lpstr">
      <vt:lpstr>교육대상자</vt:lpstr>
      <vt:lpstr>보고자료</vt:lpstr>
      <vt:lpstr>FY25&gt;&gt;&gt;</vt:lpstr>
      <vt:lpstr>FY25_현황</vt:lpstr>
      <vt:lpstr>이메일 주소(전체)</vt:lpstr>
      <vt:lpstr>이메일 주소(ICA)</vt:lpstr>
      <vt:lpstr>FY25_결과</vt:lpstr>
      <vt:lpstr>FY25_비용</vt:lpstr>
      <vt:lpstr>FY24&gt;&gt;&gt;</vt:lpstr>
      <vt:lpstr>FY24_현황</vt:lpstr>
      <vt:lpstr>FY24_결과</vt:lpstr>
      <vt:lpstr>FY24_비용</vt:lpstr>
      <vt:lpstr>FY23&gt;&gt;&gt;</vt:lpstr>
      <vt:lpstr>FY23_결과</vt:lpstr>
      <vt:lpstr>FY23_비용</vt:lpstr>
      <vt:lpstr>251029 메일</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Koo, Ja-Eun (KR/Q&amp;RM-DPP)</dc:creator>
  <cp:keywords/>
  <dc:description/>
  <cp:lastModifiedBy>Kim, Chan-Young (KR/Q&amp;RM-DPP)</cp:lastModifiedBy>
  <cp:revision/>
  <cp:lastPrinted>2026-01-26T12:18:42Z</cp:lastPrinted>
  <dcterms:created xsi:type="dcterms:W3CDTF">2024-07-01T07:48:02Z</dcterms:created>
  <dcterms:modified xsi:type="dcterms:W3CDTF">2026-03-18T07:43:34Z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0x010100CFA35BCA756C294C822BB85B431F45D8</vt:lpwstr>
  </property>
  <property fmtid="{D5CDD505-2E9C-101B-9397-08002B2CF9AE}" pid="3" name="MediaServiceImageTags">
    <vt:lpwstr/>
  </property>
</Properties>
</file>